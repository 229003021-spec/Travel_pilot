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stinations" sheetId="2" state="visible" r:id="rId4"/>
    <sheet name="Attractions" sheetId="3" state="visible" r:id="rId5"/>
    <sheet name="Hotels" sheetId="4" state="visible" r:id="rId6"/>
    <sheet name="Restaurants" sheetId="5" state="visible" r:id="rId7"/>
    <sheet name="Transport" sheetId="6" state="visible" r:id="rId8"/>
    <sheet name="Seasons" sheetId="7" state="visible" r:id="rId9"/>
    <sheet name="Month_Grid" sheetId="8" state="visible" r:id="rId10"/>
    <sheet name="Budget_Tiers" sheetId="9" state="visible" r:id="rId11"/>
    <sheet name="Budget_Estimator" sheetId="10" state="visible" r:id="rId12"/>
    <sheet name="Festivals" sheetId="11" state="visible" r:id="rId13"/>
    <sheet name="Practical_Info" sheetId="12" state="visible" r:id="rId14"/>
    <sheet name="Circuits" sheetId="13" state="visible" r:id="rId15"/>
  </sheets>
  <definedNames>
    <definedName function="false" hidden="true" localSheetId="2" name="_xlnm._FilterDatabase" vbProcedure="false">Attractions!$A$1:$N$136</definedName>
    <definedName function="false" hidden="true" localSheetId="8" name="_xlnm._FilterDatabase" vbProcedure="false">Budget_Tiers!$A$1:$L$46</definedName>
    <definedName function="false" hidden="true" localSheetId="12" name="_xlnm._FilterDatabase" vbProcedure="false">Circuits!$A$1:$E$11</definedName>
    <definedName function="false" hidden="true" localSheetId="1" name="_xlnm._FilterDatabase" vbProcedure="false">Destinations!$A$1:$V$16</definedName>
    <definedName function="false" hidden="true" localSheetId="10" name="_xlnm._FilterDatabase" vbProcedure="false">Festivals!$A$1:$E$26</definedName>
    <definedName function="false" hidden="true" localSheetId="3" name="_xlnm._FilterDatabase" vbProcedure="false">Hotels!$A$1:$L$102</definedName>
    <definedName function="false" hidden="true" localSheetId="11" name="_xlnm._FilterDatabase" vbProcedure="false">Practical_Info!$A$1:$H$16</definedName>
    <definedName function="false" hidden="true" localSheetId="4" name="_xlnm._FilterDatabase" vbProcedure="false">Restaurants!$A$1:$M$85</definedName>
    <definedName function="false" hidden="true" localSheetId="6" name="_xlnm._FilterDatabase" vbProcedure="false">Seasons!$A$1:$H$61</definedName>
    <definedName function="false" hidden="true" localSheetId="5" name="_xlnm._FilterDatabase" vbProcedure="false">Transport!$A$1:$J$92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<sst xmlns="http://schemas.openxmlformats.org/spreadsheetml/2006/main" count="5625" uniqueCount="2530">
  <si>
    <t xml:space="preserve">India Travel Guide &amp; Budget Finder - Dataset (15 destinations)</t>
  </si>
  <si>
    <t xml:space="preserve">Compiled 20 Sep 2026 for app development. Read the 'Data quality' section before publishing anything to end users.</t>
  </si>
  <si>
    <t xml:space="preserve">PURPOSE</t>
  </si>
  <si>
    <t xml:space="preserve">What this is</t>
  </si>
  <si>
    <t xml:space="preserve">A structured starter dataset for a travel-guide + budget-finder app covering 15 destinations: New Delhi, Taj Mahal (Agra), Jaipur, Udaipur, Hampi, Ajanta &amp; Ellora, Goa, Kerala Backwaters, Andaman &amp; Nicobar, Pondicherry, Varanasi, Amritsar, Mysore, Leh-Ladakh, Darjeeling.</t>
  </si>
  <si>
    <t xml:space="preserve">Key idea</t>
  </si>
  <si>
    <t xml:space="preserve">Every destination has multiple options in every category across Budget / Mid-range / Premium / Luxury, so your app can filter by budget. Dest_ID (DEL, AGR, JAI, ...) is the join key across all sheets.</t>
  </si>
  <si>
    <t xml:space="preserve">SHEETS</t>
  </si>
  <si>
    <t xml:space="preserve">Destinations</t>
  </si>
  <si>
    <t xml:space="preserve">One row per destination: state, coordinates, altitude, airport/rail, best/avoid months, ideal days, languages, official info source, and formula-driven per-day budget per person for 3 tiers + counts of records.</t>
  </si>
  <si>
    <t xml:space="preserve">Attractions</t>
  </si>
  <si>
    <t xml:space="preserve">Monuments, temples, museums, beaches, viewpoints, experiences: fees (Indians/foreigners), timings, closed days, time needed, best time, UNESCO flag, tips, confidence grade.</t>
  </si>
  <si>
    <t xml:space="preserve">Hotels</t>
  </si>
  <si>
    <t xml:space="preserve">Hostels to palace hotels with Tier, Type, area, indicative price range per room per night.</t>
  </si>
  <si>
    <t xml:space="preserve">Restaurants</t>
  </si>
  <si>
    <t xml:space="preserve">Iconic eateries, street food, cafes and fine dining; price for two; veg/non-veg; must-try dishes.</t>
  </si>
  <si>
    <t xml:space="preserve">Transport</t>
  </si>
  <si>
    <t xml:space="preserve">Getting there (flight/train/road) and local transport with duration and indicative cost.</t>
  </si>
  <si>
    <t xml:space="preserve">Seasons</t>
  </si>
  <si>
    <t xml:space="preserve">Season-wise temperature, rainfall, crowd/price level for each destination.</t>
  </si>
  <si>
    <t xml:space="preserve">Month_Grid</t>
  </si>
  <si>
    <t xml:space="preserve">Month suitability score 1 (avoid) to 5 (best) per destination, colour-scaled.</t>
  </si>
  <si>
    <t xml:space="preserve">Budget_Tiers</t>
  </si>
  <si>
    <t xml:space="preserve">INPUT table (blue): per-tier daily cost components per destination. Feeds Destinations and Budget_Estimator.</t>
  </si>
  <si>
    <t xml:space="preserve">Budget_Estimator</t>
  </si>
  <si>
    <t xml:space="preserve">Interactive calculator: choose destination, tier, days, travellers -&gt; full breakdown + 3-tier comparison (formulas).</t>
  </si>
  <si>
    <t xml:space="preserve">Festivals</t>
  </si>
  <si>
    <t xml:space="preserve">Major festivals/events by destination (timings approximate; verify yearly).</t>
  </si>
  <si>
    <t xml:space="preserve">Practical_Info</t>
  </si>
  <si>
    <t xml:space="preserve">Emergency numbers, health/safety, connectivity/cash, dress code, permits and common scams.</t>
  </si>
  <si>
    <t xml:space="preserve">Circuits</t>
  </si>
  <si>
    <t xml:space="preserve">Multi-destination trip ideas with ideal days and connection notes.</t>
  </si>
  <si>
    <t xml:space="preserve">TIER DEFINITIONS</t>
  </si>
  <si>
    <t xml:space="preserve">Hotels (per room/night)</t>
  </si>
  <si>
    <t xml:space="preserve">Budget: up to Rs2,500 | Mid-range: Rs2,500-7,000 | Premium: Rs7,000-20,000 | Luxury: above Rs20,000 (double occupancy; peak season/festivals can be 1.5-3x).</t>
  </si>
  <si>
    <t xml:space="preserve">Restaurants (for two)</t>
  </si>
  <si>
    <t xml:space="preserve">Price columns are approximate cost for TWO people before tax/service unless the row says otherwise.</t>
  </si>
  <si>
    <t xml:space="preserve">DATA QUALITY (IMPORTANT)</t>
  </si>
  <si>
    <t xml:space="preserve">Confidence grades (Attractions)</t>
  </si>
  <si>
    <t xml:space="preserve">A = cross-checked against live web sources on 20 Sep 2026 (only the Taj Mahal entry/timing details and Ladakh permit/fee rules); B = standard published information (name, location, typical timings, historically stable fee) - verify before publishing; C = indicative/approximate value (fees that change often, or estimates) - must be verified.</t>
  </si>
  <si>
    <t xml:space="preserve">What is reliable</t>
  </si>
  <si>
    <t xml:space="preserve">Place names, locations, categories, closed-day patterns, tier assignment, and the overall structure are drawn from well-established public information.</t>
  </si>
  <si>
    <t xml:space="preserve">What is NOT guaranteed</t>
  </si>
  <si>
    <t xml:space="preserve">Exact ticket prices, timings, hotel/restaurant prices and transport fares change often (ASI revisions, seasons, dynamic pricing). Hotel and restaurant prices are indicative ranges only - not live rates. Some hotel/hostel branches, ferry operators and train schedules may have changed.</t>
  </si>
  <si>
    <t xml:space="preserve">Known conflict found</t>
  </si>
  <si>
    <t xml:space="preserve">Taj Mahal foreign-tourist fee: the official ASI page lists Rs1,100 (+Rs200 mausoleum) 'inclusive of ASI &amp; ADA fees'; another government page lists an extra Rs500 ADA fee; a third-party site shows Rs1,300. Treat foreign fee as Rs1,100-1,600 until you confirm on the ASI/Agra Development Authority portal.</t>
  </si>
  <si>
    <t xml:space="preserve">Before going live</t>
  </si>
  <si>
    <t xml:space="preserve">1) Verify each fee/timing on the official source (see Destinations &gt; Official_Info_Source). 2) Use live APIs for hotel/flight/train prices (e.g., partner APIs, IRCTC). 3) Add Last_Verified and Source_URL columns per row in your database. 4) Re-verify high-change items (fees, closures, ferry/train schedules) each season.</t>
  </si>
  <si>
    <t xml:space="preserve">Seasonal caveat</t>
  </si>
  <si>
    <t xml:space="preserve">Ladakh roads, Andaman ferries, Goa shacks, Hampi coracles, Dudhsagar jeep trips and several Kerala boats are weather- or season-dependent.</t>
  </si>
  <si>
    <t xml:space="preserve">Suggested DB schema</t>
  </si>
  <si>
    <t xml:space="preserve">destinations(dest_id PK), attractions(attraction_id PK, dest_id FK), hotels(hotel_id PK, dest_id FK), restaurants(restaurant_id PK, dest_id FK), transport(dest_id FK), seasons(dest_id FK), budget_tiers(dest_id, tier). Add: latitude/longitude per place, images, rating, last_verified, source_url.</t>
  </si>
  <si>
    <t xml:space="preserve">Dest_ID</t>
  </si>
  <si>
    <t xml:space="preserve">Destination</t>
  </si>
  <si>
    <t xml:space="preserve">State / UT</t>
  </si>
  <si>
    <t xml:space="preserve">Region</t>
  </si>
  <si>
    <t xml:space="preserve">Category</t>
  </si>
  <si>
    <t xml:space="preserve">Latitude</t>
  </si>
  <si>
    <t xml:space="preserve">Longitude</t>
  </si>
  <si>
    <t xml:space="preserve">Altitude (m)</t>
  </si>
  <si>
    <t xml:space="preserve">Nearest airport</t>
  </si>
  <si>
    <t xml:space="preserve">Nearest railway</t>
  </si>
  <si>
    <t xml:space="preserve">Best months</t>
  </si>
  <si>
    <t xml:space="preserve">Months to avoid</t>
  </si>
  <si>
    <t xml:space="preserve">Ideal days</t>
  </si>
  <si>
    <t xml:space="preserve">Languages</t>
  </si>
  <si>
    <t xml:space="preserve">Known for</t>
  </si>
  <si>
    <t xml:space="preserve">Budget tier: INR/person/day</t>
  </si>
  <si>
    <t xml:space="preserve">Mid-range tier: INR/person/day</t>
  </si>
  <si>
    <t xml:space="preserve">Premium tier: INR/person/day</t>
  </si>
  <si>
    <t xml:space="preserve">Attractions (count)</t>
  </si>
  <si>
    <t xml:space="preserve">Hotels (count)</t>
  </si>
  <si>
    <t xml:space="preserve">Restaurants (count)</t>
  </si>
  <si>
    <t xml:space="preserve">Official info source (confirm URL)</t>
  </si>
  <si>
    <t xml:space="preserve">DEL</t>
  </si>
  <si>
    <t xml:space="preserve">New Delhi</t>
  </si>
  <si>
    <t xml:space="preserve">Delhi (NCT)</t>
  </si>
  <si>
    <t xml:space="preserve">North</t>
  </si>
  <si>
    <t xml:space="preserve">City / Heritage / Capital</t>
  </si>
  <si>
    <t xml:space="preserve">Indira Gandhi Intl (DEL) - 15-20 km</t>
  </si>
  <si>
    <t xml:space="preserve">New Delhi (NDLS), Old Delhi (DLI), H. Nizamuddin (NZM)</t>
  </si>
  <si>
    <t xml:space="preserve">Oct-Mar (peak Nov-Feb)</t>
  </si>
  <si>
    <t xml:space="preserve">May-Jun (extreme heat); Nov-Jan (air pollution / fog)</t>
  </si>
  <si>
    <t xml:space="preserve">Hindi, English, Punjabi, Urdu</t>
  </si>
  <si>
    <t xml:space="preserve">Mughal monuments, Lutyens' Delhi, Old Delhi street food, museums, gateway hub for the Golden Triangle</t>
  </si>
  <si>
    <t xml:space="preserve">delhitourism.gov.in; incredibleindia.gov.in; asi.nic.in</t>
  </si>
  <si>
    <t xml:space="preserve">AGR</t>
  </si>
  <si>
    <t xml:space="preserve">Taj Mahal (Agra)</t>
  </si>
  <si>
    <t xml:space="preserve">Uttar Pradesh</t>
  </si>
  <si>
    <t xml:space="preserve">Heritage / UNESCO</t>
  </si>
  <si>
    <t xml:space="preserve">Agra Kheria (AGR) - limited flights; most fly into Delhi (DEL, ~230 km)</t>
  </si>
  <si>
    <t xml:space="preserve">Agra Cantt (AGC), Agra Fort (AF), Raja Ki Mandi (RKM)</t>
  </si>
  <si>
    <t xml:space="preserve">Oct-Mar</t>
  </si>
  <si>
    <t xml:space="preserve">Apr-Jun (up to 45C); Dec-Jan mornings can be foggy (Taj hidden)</t>
  </si>
  <si>
    <t xml:space="preserve">Hindi, English, Braj</t>
  </si>
  <si>
    <t xml:space="preserve">Taj Mahal, Agra Fort, Fatehpur Sikri, Mughal food &amp; marble inlay craft</t>
  </si>
  <si>
    <t xml:space="preserve">tajmahal.gov.in; uptourism.gov.in; asi.nic.in</t>
  </si>
  <si>
    <t xml:space="preserve">JAI</t>
  </si>
  <si>
    <t xml:space="preserve">Jaipur</t>
  </si>
  <si>
    <t xml:space="preserve">Rajasthan</t>
  </si>
  <si>
    <t xml:space="preserve">North-West</t>
  </si>
  <si>
    <t xml:space="preserve">Heritage / City / Shopping</t>
  </si>
  <si>
    <t xml:space="preserve">Jaipur Intl (JAI) - 13 km</t>
  </si>
  <si>
    <t xml:space="preserve">Jaipur Jn (JP), Gandhinagar Jaipur (GADJ)</t>
  </si>
  <si>
    <t xml:space="preserve">Apr-Jun (hot); peak monsoon Jul-Aug is humid but green</t>
  </si>
  <si>
    <t xml:space="preserve">Hindi, Rajasthani, English</t>
  </si>
  <si>
    <t xml:space="preserve">Pink City, Amber Fort, City Palace, Hawa Mahal, bazaars, block-print &amp; jewellery, Rajasthani cuisine</t>
  </si>
  <si>
    <t xml:space="preserve">tourism.rajasthan.gov.in; asi.nic.in</t>
  </si>
  <si>
    <t xml:space="preserve">UDR</t>
  </si>
  <si>
    <t xml:space="preserve">Udaipur</t>
  </si>
  <si>
    <t xml:space="preserve">Heritage / Lakes / Romantic</t>
  </si>
  <si>
    <t xml:space="preserve">Maharana Pratap (Dabok, UDR) - 22 km</t>
  </si>
  <si>
    <t xml:space="preserve">Udaipur City (UDZ)</t>
  </si>
  <si>
    <t xml:space="preserve">Sep-Mar (monsoon Aug-Sep = full lakes &amp; green hills)</t>
  </si>
  <si>
    <t xml:space="preserve">Apr-Jun (hot)</t>
  </si>
  <si>
    <t xml:space="preserve">Hindi, Mewari, English</t>
  </si>
  <si>
    <t xml:space="preserve">Lake Pichola, City Palace, lake-view havelis, Kumbhalgarh &amp; Ranakpur day trips</t>
  </si>
  <si>
    <t xml:space="preserve">tourism.rajasthan.gov.in; city palace museum site</t>
  </si>
  <si>
    <t xml:space="preserve">HMP</t>
  </si>
  <si>
    <t xml:space="preserve">Hampi</t>
  </si>
  <si>
    <t xml:space="preserve">Karnataka</t>
  </si>
  <si>
    <t xml:space="preserve">South</t>
  </si>
  <si>
    <t xml:space="preserve">Heritage / UNESCO / Backpacker</t>
  </si>
  <si>
    <t xml:space="preserve">Jindal Vijaynagar (VDY, ~40 km); Hubballi (HBX, ~145 km); Bengaluru (BLR, ~340 km)</t>
  </si>
  <si>
    <t xml:space="preserve">Hosapete Jn / Hospet (HPT) - 13 km</t>
  </si>
  <si>
    <t xml:space="preserve">Oct-Feb</t>
  </si>
  <si>
    <t xml:space="preserve">Mar-May (very hot, 38-42C)</t>
  </si>
  <si>
    <t xml:space="preserve">Kannada, English, Hindi, Telugu</t>
  </si>
  <si>
    <t xml:space="preserve">Vijayanagara ruins, boulder landscapes, Virupaksha &amp; Vittala temples, sunrise hills, Tungabhadra coracles</t>
  </si>
  <si>
    <t xml:space="preserve">karnatakatourism.org; asi.nic.in</t>
  </si>
  <si>
    <t xml:space="preserve">AEL</t>
  </si>
  <si>
    <t xml:space="preserve">Ajanta &amp; Ellora Caves</t>
  </si>
  <si>
    <t xml:space="preserve">Maharashtra</t>
  </si>
  <si>
    <t xml:space="preserve">West</t>
  </si>
  <si>
    <t xml:space="preserve">Heritage / UNESCO / Caves</t>
  </si>
  <si>
    <t xml:space="preserve">Chhatrapati Sambhajinagar (Aurangabad, IXU) - base city, 10 km</t>
  </si>
  <si>
    <t xml:space="preserve">Chhatrapati Sambhajinagar (AWB)</t>
  </si>
  <si>
    <t xml:space="preserve">Oct-Mar (Jul-Sep monsoon = lush waterfalls at Ellora)</t>
  </si>
  <si>
    <t xml:space="preserve">Apr-Jun (up to 42C)</t>
  </si>
  <si>
    <t xml:space="preserve">Marathi, Hindi, English</t>
  </si>
  <si>
    <t xml:space="preserve">Rock-cut Buddhist murals (Ajanta), Kailasa Temple (Ellora), Daulatabad Fort, Bibi Ka Maqbara; base = Chhatrapati Sambhajinagar (formerly Aurangabad)</t>
  </si>
  <si>
    <t xml:space="preserve">maharashtratourism.gov.in; asi.nic.in</t>
  </si>
  <si>
    <t xml:space="preserve">GOA</t>
  </si>
  <si>
    <t xml:space="preserve">Goa</t>
  </si>
  <si>
    <t xml:space="preserve">Beach / Nightlife / Heritage</t>
  </si>
  <si>
    <t xml:space="preserve">Manohar Intl, Mopa (GOX, North Goa); Dabolim (GOI, South Goa)</t>
  </si>
  <si>
    <t xml:space="preserve">Madgaon (MAO), Thivim (THVM), Karmali (KRMI), Vasco (VSG)</t>
  </si>
  <si>
    <t xml:space="preserve">Nov-Feb (peak Dec-Jan); Oct &amp; Mar shoulder</t>
  </si>
  <si>
    <t xml:space="preserve">Jun-Sep (heavy monsoon, many shacks closed, sea rough)</t>
  </si>
  <si>
    <t xml:space="preserve">Konkani, English, Hindi, Marathi</t>
  </si>
  <si>
    <t xml:space="preserve">Beaches, Portuguese churches &amp; Latin quarter, seafood, flea markets, nightlife, water sports</t>
  </si>
  <si>
    <t xml:space="preserve">goa-tourism.com</t>
  </si>
  <si>
    <t xml:space="preserve">KER</t>
  </si>
  <si>
    <t xml:space="preserve">Kerala Backwaters (Alleppey / Kumarakom / Kochi)</t>
  </si>
  <si>
    <t xml:space="preserve">Kerala</t>
  </si>
  <si>
    <t xml:space="preserve">Nature / Backwaters / Wellness</t>
  </si>
  <si>
    <t xml:space="preserve">Cochin Intl (COK) - ~85 km to Alleppey, ~90 km to Kumarakom</t>
  </si>
  <si>
    <t xml:space="preserve">Alappuzha (ALLP), Kottayam (KTYM), Ernakulam Jn (ERS)</t>
  </si>
  <si>
    <t xml:space="preserve">Oct-Mar (peak Dec-Feb)</t>
  </si>
  <si>
    <t xml:space="preserve">Jun-Aug (heavy rain; but good for Ayurveda)</t>
  </si>
  <si>
    <t xml:space="preserve">Malayalam, English, Hindi</t>
  </si>
  <si>
    <t xml:space="preserve">Houseboats (kettuvallam), Vembanad Lake, Kuttanad paddy fields, Kumarakom birds, Fort Kochi, Ayurveda, Kerala cuisine</t>
  </si>
  <si>
    <t xml:space="preserve">keralatourism.org; DTPC Alappuzha</t>
  </si>
  <si>
    <t xml:space="preserve">AND</t>
  </si>
  <si>
    <t xml:space="preserve">Andaman &amp; Nicobar Islands</t>
  </si>
  <si>
    <t xml:space="preserve">Andaman &amp; Nicobar (UT)</t>
  </si>
  <si>
    <t xml:space="preserve">East (Bay of Bengal)</t>
  </si>
  <si>
    <t xml:space="preserve">Island / Beach / Scuba</t>
  </si>
  <si>
    <t xml:space="preserve">Veer Savarkar Intl, Port Blair (IXZ)</t>
  </si>
  <si>
    <t xml:space="preserve">No rail - ship/ferry from Chennai, Kolkata, Visakhapatnam</t>
  </si>
  <si>
    <t xml:space="preserve">Nov-Apr (peak Dec-Feb)</t>
  </si>
  <si>
    <t xml:space="preserve">Jun-Sep (monsoon), Oct-Nov &amp; Apr-May cyclone spells</t>
  </si>
  <si>
    <t xml:space="preserve">Hindi, English, Bengali, Tamil, Telugu</t>
  </si>
  <si>
    <t xml:space="preserve">Radhanagar &amp; Elephant beaches, scuba/snorkelling, Cellular Jail, Ross Island, Neil Island</t>
  </si>
  <si>
    <t xml:space="preserve">andaman.gov.in; A&amp;N Tourism</t>
  </si>
  <si>
    <t xml:space="preserve">PON</t>
  </si>
  <si>
    <t xml:space="preserve">Pondicherry (Puducherry)</t>
  </si>
  <si>
    <t xml:space="preserve">Puducherry (UT)</t>
  </si>
  <si>
    <t xml:space="preserve">Beach / French Quarter / Spiritual</t>
  </si>
  <si>
    <t xml:space="preserve">Puducherry (PNY) - small; Chennai (MAA) ~150 km is main gateway</t>
  </si>
  <si>
    <t xml:space="preserve">Puducherry (PDY); Villupuram Jn (VM) ~38 km is main junction</t>
  </si>
  <si>
    <t xml:space="preserve">Apr-Jun (hot); Oct-Dec can have heavy NE-monsoon showers</t>
  </si>
  <si>
    <t xml:space="preserve">Tamil, French, English, Telugu, Malayalam</t>
  </si>
  <si>
    <t xml:space="preserve">White Town French colonial streets, cafes, Auroville, Sri Aurobindo Ashram, Promenade beach, surfing at Serenity Beach</t>
  </si>
  <si>
    <t xml:space="preserve">Puducherry Tourism; auroville.org</t>
  </si>
  <si>
    <t xml:space="preserve">VNS</t>
  </si>
  <si>
    <t xml:space="preserve">Varanasi</t>
  </si>
  <si>
    <t xml:space="preserve">Spiritual / Heritage / Ghats</t>
  </si>
  <si>
    <t xml:space="preserve">Lal Bahadur Shastri Intl (VNS) - ~26 km</t>
  </si>
  <si>
    <t xml:space="preserve">Varanasi Jn (BSB), Banaras (BSBS), Kashi (KEI)</t>
  </si>
  <si>
    <t xml:space="preserve">Oct-Mar (Nov Dev Deepawali is spectacular)</t>
  </si>
  <si>
    <t xml:space="preserve">Apr-Jun (45C); Jul-Sep (Ganga floods, ghats submerged)</t>
  </si>
  <si>
    <t xml:space="preserve">Hindi, Bhojpuri, English</t>
  </si>
  <si>
    <t xml:space="preserve">Ganga ghats &amp; aarti, Kashi Vishwanath, Sarnath, silk, street food, boat rides</t>
  </si>
  <si>
    <t xml:space="preserve">uptourism.gov.in; Varanasi Nagar Nigam / Kashi Vishwanath Trust</t>
  </si>
  <si>
    <t xml:space="preserve">AMR</t>
  </si>
  <si>
    <t xml:space="preserve">Amritsar</t>
  </si>
  <si>
    <t xml:space="preserve">Punjab</t>
  </si>
  <si>
    <t xml:space="preserve">Spiritual / Heritage / Food</t>
  </si>
  <si>
    <t xml:space="preserve">Sri Guru Ram Dass Jee Intl (ATQ) - ~12 km</t>
  </si>
  <si>
    <t xml:space="preserve">Amritsar Jn (ASR)</t>
  </si>
  <si>
    <t xml:space="preserve">Oct-Mar (Oct-Nov &amp; Feb-Mar most pleasant)</t>
  </si>
  <si>
    <t xml:space="preserve">May-Jun (45C); Dec-Jan cold &amp; foggy</t>
  </si>
  <si>
    <t xml:space="preserve">Punjabi, Hindi, English</t>
  </si>
  <si>
    <t xml:space="preserve">Golden Temple &amp; langar, Jallianwala Bagh, Wagah-Attari border ceremony, Amritsari kulcha &amp; lassi</t>
  </si>
  <si>
    <t xml:space="preserve">punjabtourism.gov.in; goldentempleamritsar.org (SGPC)</t>
  </si>
  <si>
    <t xml:space="preserve">MYS</t>
  </si>
  <si>
    <t xml:space="preserve">Mysore (Mysuru)</t>
  </si>
  <si>
    <t xml:space="preserve">Heritage / Palace / Culture</t>
  </si>
  <si>
    <t xml:space="preserve">Mysuru (MYQ) - small; Bengaluru (BLR) ~145 km is main gateway</t>
  </si>
  <si>
    <t xml:space="preserve">Mysuru Jn (MYS)</t>
  </si>
  <si>
    <t xml:space="preserve">Oct-Mar (Dasara Sep/Oct is peak)</t>
  </si>
  <si>
    <t xml:space="preserve">Rarely bad; hottest Apr-May</t>
  </si>
  <si>
    <t xml:space="preserve">Kannada, English, Hindi</t>
  </si>
  <si>
    <t xml:space="preserve">Mysore Palace (lit on Sundays), Chamundi Hills, silk &amp; sandalwood, Mysore Pak, Dasara festival, Hoysala temples nearby</t>
  </si>
  <si>
    <t xml:space="preserve">karnatakatourism.org; mysorepalace.karnataka.gov.in</t>
  </si>
  <si>
    <t xml:space="preserve">LEH</t>
  </si>
  <si>
    <t xml:space="preserve">Leh-Ladakh</t>
  </si>
  <si>
    <t xml:space="preserve">Ladakh (UT)</t>
  </si>
  <si>
    <t xml:space="preserve">North (Himalaya)</t>
  </si>
  <si>
    <t xml:space="preserve">Mountain / Adventure / Buddhist</t>
  </si>
  <si>
    <t xml:space="preserve">Kushok Bakula Rimpochee (IXL), Leh</t>
  </si>
  <si>
    <t xml:space="preserve">No rail - nearest Jammu Tawi / Chandigarh; roads Manali-Leh &amp; Srinagar-Leh seasonal</t>
  </si>
  <si>
    <t xml:space="preserve">Jun-Sep (May &amp; Oct partial)</t>
  </si>
  <si>
    <t xml:space="preserve">Nov-Mar (roads shut, -20C); AMS (altitude sickness) risk year-round</t>
  </si>
  <si>
    <t xml:space="preserve">Ladakhi, Hindi, English, Urdu</t>
  </si>
  <si>
    <t xml:space="preserve">Monasteries, Pangong Tso, Nubra Valley, Khardung La, road trips, treks, rafting</t>
  </si>
  <si>
    <t xml:space="preserve">lahdclehpermit.in; leh.nic.in; ladakh tourism</t>
  </si>
  <si>
    <t xml:space="preserve">DAR</t>
  </si>
  <si>
    <t xml:space="preserve">Darjeeling</t>
  </si>
  <si>
    <t xml:space="preserve">West Bengal</t>
  </si>
  <si>
    <t xml:space="preserve">East (Himalaya)</t>
  </si>
  <si>
    <t xml:space="preserve">Hill Station / Tea / Toy Train</t>
  </si>
  <si>
    <t xml:space="preserve">Bagdogra (IXB) - ~90 km</t>
  </si>
  <si>
    <t xml:space="preserve">New Jalpaiguri (NJP) ~88 km; Darjeeling (DJ) toy-train station</t>
  </si>
  <si>
    <t xml:space="preserve">Mar-May &amp; Oct-Nov (Dec-Feb cold but clearest Kanchenjunga views)</t>
  </si>
  <si>
    <t xml:space="preserve">Jun-Sep (monsoon, landslides, fog)</t>
  </si>
  <si>
    <t xml:space="preserve">Nepali, Bengali, Hindi, English</t>
  </si>
  <si>
    <t xml:space="preserve">Tea estates, Tiger Hill sunrise over Kanchenjunga, Darjeeling Himalayan Railway (UNESCO), monasteries, Tibetan culture</t>
  </si>
  <si>
    <t xml:space="preserve">wbtourism.gov.in; IRCTC (DHR tickets)</t>
  </si>
  <si>
    <t xml:space="preserve">Attraction_ID</t>
  </si>
  <si>
    <t xml:space="preserve">Attraction</t>
  </si>
  <si>
    <t xml:space="preserve">Entry fee - Indians (INR)</t>
  </si>
  <si>
    <t xml:space="preserve">Entry fee - Foreigners (INR)</t>
  </si>
  <si>
    <t xml:space="preserve">Typical timings</t>
  </si>
  <si>
    <t xml:space="preserve">Weekly closure</t>
  </si>
  <si>
    <t xml:space="preserve">Time needed (hrs)</t>
  </si>
  <si>
    <t xml:space="preserve">Best time</t>
  </si>
  <si>
    <t xml:space="preserve">UNESCO</t>
  </si>
  <si>
    <t xml:space="preserve">Notes / tips</t>
  </si>
  <si>
    <t xml:space="preserve">Confidence (A/B/C)</t>
  </si>
  <si>
    <t xml:space="preserve">ATT-DEL-01</t>
  </si>
  <si>
    <t xml:space="preserve">Red Fort (Lal Qila)</t>
  </si>
  <si>
    <t xml:space="preserve">Monument</t>
  </si>
  <si>
    <t xml:space="preserve">9:30-16:30 (last entry ~16:00)</t>
  </si>
  <si>
    <t xml:space="preserve">Monday</t>
  </si>
  <si>
    <t xml:space="preserve">2</t>
  </si>
  <si>
    <t xml:space="preserve">Morning</t>
  </si>
  <si>
    <t xml:space="preserve">Y</t>
  </si>
  <si>
    <t xml:space="preserve">Mughal fort; evening sound &amp; light show is ticketed separately; ID + bag checks at entry.</t>
  </si>
  <si>
    <t xml:space="preserve">B</t>
  </si>
  <si>
    <t xml:space="preserve">ATT-DEL-02</t>
  </si>
  <si>
    <t xml:space="preserve">Humayun's Tomb</t>
  </si>
  <si>
    <t xml:space="preserve">Sunrise-sunset (~6:00-18:00)</t>
  </si>
  <si>
    <t xml:space="preserve">None</t>
  </si>
  <si>
    <t xml:space="preserve">1.5</t>
  </si>
  <si>
    <t xml:space="preserve">Late afternoon (golden light)</t>
  </si>
  <si>
    <t xml:space="preserve">Precursor to the Taj Mahal; adjoining Sunder Nursery (small fee) is a good pairing.</t>
  </si>
  <si>
    <t xml:space="preserve">ATT-DEL-03</t>
  </si>
  <si>
    <t xml:space="preserve">Qutub Minar Complex</t>
  </si>
  <si>
    <t xml:space="preserve">7:00-17:00</t>
  </si>
  <si>
    <t xml:space="preserve">73 m red-sandstone minaret, Iron Pillar, Alai Darwaza.</t>
  </si>
  <si>
    <t xml:space="preserve">ATT-DEL-04</t>
  </si>
  <si>
    <t xml:space="preserve">India Gate &amp; Kartavya Path</t>
  </si>
  <si>
    <t xml:space="preserve">Monument / Landmark</t>
  </si>
  <si>
    <t xml:space="preserve">Open 24 hrs (best after 17:00)</t>
  </si>
  <si>
    <t xml:space="preserve">1</t>
  </si>
  <si>
    <t xml:space="preserve">Evening</t>
  </si>
  <si>
    <t xml:space="preserve">N</t>
  </si>
  <si>
    <t xml:space="preserve">War memorial; Kartavya Path (formerly Rajpath) is the ceremonial boulevard to Rashtrapati Bhavan.</t>
  </si>
  <si>
    <t xml:space="preserve">ATT-DEL-05</t>
  </si>
  <si>
    <t xml:space="preserve">Lotus Temple (Bahai)</t>
  </si>
  <si>
    <t xml:space="preserve">Temple / Religious</t>
  </si>
  <si>
    <t xml:space="preserve">9:00-17:00 (summer to ~19:00)</t>
  </si>
  <si>
    <t xml:space="preserve">Late afternoon</t>
  </si>
  <si>
    <t xml:space="preserve">Silent prayer hall; no photography inside.</t>
  </si>
  <si>
    <t xml:space="preserve">ATT-DEL-06</t>
  </si>
  <si>
    <t xml:space="preserve">Akshardham Temple</t>
  </si>
  <si>
    <t xml:space="preserve">10:00-18:30</t>
  </si>
  <si>
    <t xml:space="preserve">3-4</t>
  </si>
  <si>
    <t xml:space="preserve">Afternoon-evening</t>
  </si>
  <si>
    <t xml:space="preserve">Temple entry free; exhibitions &amp; musical fountain show are separately ticketed. Phones, cameras, bags NOT allowed - lockers provided.</t>
  </si>
  <si>
    <t xml:space="preserve">ATT-DEL-07</t>
  </si>
  <si>
    <t xml:space="preserve">Jama Masjid</t>
  </si>
  <si>
    <t xml:space="preserve">Non-prayer times (roughly 7:00-12:00, 13:30-18:30)</t>
  </si>
  <si>
    <t xml:space="preserve">Camera fee and minaret climb are extra (small amounts). Modest dress; cover head/legs.</t>
  </si>
  <si>
    <t xml:space="preserve">ATT-DEL-08</t>
  </si>
  <si>
    <t xml:space="preserve">Chandni Chowk &amp; Old Delhi food walk</t>
  </si>
  <si>
    <t xml:space="preserve">Market / Food</t>
  </si>
  <si>
    <t xml:space="preserve">~10:00-20:00 (Sunday many shops shut)</t>
  </si>
  <si>
    <t xml:space="preserve">Sunday (partial)</t>
  </si>
  <si>
    <t xml:space="preserve">3</t>
  </si>
  <si>
    <t xml:space="preserve">Late morning-evening</t>
  </si>
  <si>
    <t xml:space="preserve">Paranthe Wali Gali, jalebi, kebabs, Spice Market (Khari Baoli). Use cycle-rickshaw for lanes.</t>
  </si>
  <si>
    <t xml:space="preserve">ATT-DEL-09</t>
  </si>
  <si>
    <t xml:space="preserve">National Museum</t>
  </si>
  <si>
    <t xml:space="preserve">Museum</t>
  </si>
  <si>
    <t xml:space="preserve">10:00-18:00</t>
  </si>
  <si>
    <t xml:space="preserve">2-3</t>
  </si>
  <si>
    <t xml:space="preserve">Weekday morning</t>
  </si>
  <si>
    <t xml:space="preserve">Harappan artefacts, miniatures, Buddhist art.</t>
  </si>
  <si>
    <t xml:space="preserve">C</t>
  </si>
  <si>
    <t xml:space="preserve">ATT-DEL-10</t>
  </si>
  <si>
    <t xml:space="preserve">Jantar Mantar (Delhi)</t>
  </si>
  <si>
    <t xml:space="preserve">Sunrise-sunset</t>
  </si>
  <si>
    <t xml:space="preserve">0.5</t>
  </si>
  <si>
    <t xml:space="preserve">18th-century astronomical observatory; short visit.</t>
  </si>
  <si>
    <t xml:space="preserve">ATT-DEL-11</t>
  </si>
  <si>
    <t xml:space="preserve">Lodhi Garden</t>
  </si>
  <si>
    <t xml:space="preserve">Nature / Park</t>
  </si>
  <si>
    <t xml:space="preserve">6:00-20:00</t>
  </si>
  <si>
    <t xml:space="preserve">Early morning</t>
  </si>
  <si>
    <t xml:space="preserve">15th-century tombs in a landscaped park; joggers' favourite.</t>
  </si>
  <si>
    <t xml:space="preserve">ATT-DEL-12</t>
  </si>
  <si>
    <t xml:space="preserve">Hauz Khas Village</t>
  </si>
  <si>
    <t xml:space="preserve">Market / Nightlife</t>
  </si>
  <si>
    <t xml:space="preserve">Cafes ~11:00-late</t>
  </si>
  <si>
    <t xml:space="preserve">Ruined madrasa &amp; tank + cafes/boutiques. Deer park adjacent.</t>
  </si>
  <si>
    <t xml:space="preserve">ATT-AGR-01</t>
  </si>
  <si>
    <t xml:space="preserve">Taj Mahal</t>
  </si>
  <si>
    <t xml:space="preserve">30 min before sunrise to 30 min before sunset (~6:00-18:30)</t>
  </si>
  <si>
    <t xml:space="preserve">Friday</t>
  </si>
  <si>
    <t xml:space="preserve">Sunrise</t>
  </si>
  <si>
    <t xml:space="preserve">Indians: Rs50 + Rs200 to enter main mausoleum. Foreigners: Rs1,100 + Rs200 mausoleum per official ASI site; other sources quote ~Rs1,300-1,600 total incl. ADA fees - SOURCES CONFLICT, verify on tajmahal.gov.in. SAARC/BIMSTEC Rs540. Children under 15 free. Night viewing only 5 nights/month around full moon (not Fri/Ramzan), ticket booked a day ahead. Tickets at Western/Eastern gate or online.</t>
  </si>
  <si>
    <t xml:space="preserve">A</t>
  </si>
  <si>
    <t xml:space="preserve">ATT-AGR-02</t>
  </si>
  <si>
    <t xml:space="preserve">Agra Fort</t>
  </si>
  <si>
    <t xml:space="preserve">Mughal red-sandstone fort 2.5 km from Taj; excellent Taj views.</t>
  </si>
  <si>
    <t xml:space="preserve">ATT-AGR-03</t>
  </si>
  <si>
    <t xml:space="preserve">Fatehpur Sikri</t>
  </si>
  <si>
    <t xml:space="preserve">Day trip / Monument</t>
  </si>
  <si>
    <t xml:space="preserve">Akbar's abandoned capital, ~40 km from Agra; Buland Darwaza, Jama Masjid; guides insist - agree price first.</t>
  </si>
  <si>
    <t xml:space="preserve">ATT-AGR-04</t>
  </si>
  <si>
    <t xml:space="preserve">Itimad-ud-Daulah (Baby Taj)</t>
  </si>
  <si>
    <t xml:space="preserve">Delicate marble inlay, Yamuna riverside.</t>
  </si>
  <si>
    <t xml:space="preserve">ATT-AGR-05</t>
  </si>
  <si>
    <t xml:space="preserve">Mehtab Bagh (Taj sunset view)</t>
  </si>
  <si>
    <t xml:space="preserve">Monument / Viewpoint</t>
  </si>
  <si>
    <t xml:space="preserve">Sunset</t>
  </si>
  <si>
    <t xml:space="preserve">Garden across the Yamuna with a rear view of the Taj; fee approximate, verify.</t>
  </si>
  <si>
    <t xml:space="preserve">ATT-AGR-06</t>
  </si>
  <si>
    <t xml:space="preserve">Akbar's Tomb, Sikandra</t>
  </si>
  <si>
    <t xml:space="preserve">Red-sandstone tomb with deer park.</t>
  </si>
  <si>
    <t xml:space="preserve">ATT-AGR-07</t>
  </si>
  <si>
    <t xml:space="preserve">Marble inlay &amp; leather bazaars (Sadar / Kinari)</t>
  </si>
  <si>
    <t xml:space="preserve">Market / Shopping</t>
  </si>
  <si>
    <t xml:space="preserve">~10:00-20:00</t>
  </si>
  <si>
    <t xml:space="preserve">Varies</t>
  </si>
  <si>
    <t xml:space="preserve">Afternoon</t>
  </si>
  <si>
    <t xml:space="preserve">Buy from govt-approved emporiums or bargain hard; commission-driven 'factory' visits common.</t>
  </si>
  <si>
    <t xml:space="preserve">ATT-AGR-08</t>
  </si>
  <si>
    <t xml:space="preserve">Mohabbat The Taj (Kalakriti show)</t>
  </si>
  <si>
    <t xml:space="preserve">Activity / Show</t>
  </si>
  <si>
    <t xml:space="preserve">Evening shows (~18:30 &amp; 20:30)</t>
  </si>
  <si>
    <t xml:space="preserve">Live dance-drama on the Taj love story at Kalakriti Cultural Centre; ticket typically ~Rs1,000-1,500 (indicative).</t>
  </si>
  <si>
    <t xml:space="preserve">ATT-JAI-01</t>
  </si>
  <si>
    <t xml:space="preserve">Amber (Amer) Fort</t>
  </si>
  <si>
    <t xml:space="preserve">8:00-17:30</t>
  </si>
  <si>
    <t xml:space="preserve">Morning (arrive by 8:30)</t>
  </si>
  <si>
    <t xml:space="preserve">Hilltop fort-palace; Sheesh Mahal. Jeep or walking up; elephant rides run but raise welfare concerns. Evening sound &amp; light show extra.</t>
  </si>
  <si>
    <t xml:space="preserve">ATT-JAI-02</t>
  </si>
  <si>
    <t xml:space="preserve">City Palace</t>
  </si>
  <si>
    <t xml:space="preserve">Museum / Palace</t>
  </si>
  <si>
    <t xml:space="preserve">9:30-17:00</t>
  </si>
  <si>
    <t xml:space="preserve">2.5</t>
  </si>
  <si>
    <t xml:space="preserve">Royal residence-museum; special 'Palace' tickets cost more.</t>
  </si>
  <si>
    <t xml:space="preserve">ATT-JAI-03</t>
  </si>
  <si>
    <t xml:space="preserve">Hawa Mahal</t>
  </si>
  <si>
    <t xml:space="preserve">9:00-16:30</t>
  </si>
  <si>
    <t xml:space="preserve">Sunrise (facade)</t>
  </si>
  <si>
    <t xml:space="preserve">Facade best photographed from cafes opposite in early light.</t>
  </si>
  <si>
    <t xml:space="preserve">ATT-JAI-04</t>
  </si>
  <si>
    <t xml:space="preserve">Jantar Mantar</t>
  </si>
  <si>
    <t xml:space="preserve">Late morning</t>
  </si>
  <si>
    <t xml:space="preserve">World's largest stone sundial (Samrat Yantra).</t>
  </si>
  <si>
    <t xml:space="preserve">ATT-JAI-05</t>
  </si>
  <si>
    <t xml:space="preserve">Nahargarh Fort</t>
  </si>
  <si>
    <t xml:space="preserve">10:00-17:30 (sunset cafes open later)</t>
  </si>
  <si>
    <t xml:space="preserve">City panorama; Padao restaurant on premises.</t>
  </si>
  <si>
    <t xml:space="preserve">ATT-JAI-06</t>
  </si>
  <si>
    <t xml:space="preserve">Jaigarh Fort</t>
  </si>
  <si>
    <t xml:space="preserve">Houses Jaivana cannon; fee indicative - verify.</t>
  </si>
  <si>
    <t xml:space="preserve">ATT-JAI-07</t>
  </si>
  <si>
    <t xml:space="preserve">Albert Hall Museum</t>
  </si>
  <si>
    <t xml:space="preserve">9:00-17:00 (evening 19:00-22:00 also)</t>
  </si>
  <si>
    <t xml:space="preserve">Evening (lit up)</t>
  </si>
  <si>
    <t xml:space="preserve">Indo-Saracenic building.</t>
  </si>
  <si>
    <t xml:space="preserve">ATT-JAI-08</t>
  </si>
  <si>
    <t xml:space="preserve">Patrika Gate</t>
  </si>
  <si>
    <t xml:space="preserve">Landmark</t>
  </si>
  <si>
    <t xml:space="preserve">Open 24 hrs</t>
  </si>
  <si>
    <t xml:space="preserve">Photo spot at Jawahar Circle.</t>
  </si>
  <si>
    <t xml:space="preserve">ATT-JAI-09</t>
  </si>
  <si>
    <t xml:space="preserve">Jal Mahal (view only)</t>
  </si>
  <si>
    <t xml:space="preserve">Open 24 hrs (viewing promenade)</t>
  </si>
  <si>
    <t xml:space="preserve">Palace in Man Sagar Lake; no entry to building.</t>
  </si>
  <si>
    <t xml:space="preserve">ATT-JAI-10</t>
  </si>
  <si>
    <t xml:space="preserve">Johari &amp; Bapu Bazaars</t>
  </si>
  <si>
    <t xml:space="preserve">~10:30-20:30</t>
  </si>
  <si>
    <t xml:space="preserve">Jewellery, block-print textiles, mojari shoes, lac bangles.</t>
  </si>
  <si>
    <t xml:space="preserve">ATT-UDR-01</t>
  </si>
  <si>
    <t xml:space="preserve">City Palace Udaipur</t>
  </si>
  <si>
    <t xml:space="preserve">9:30-17:30</t>
  </si>
  <si>
    <t xml:space="preserve">Largest palace complex in Rajasthan on Lake Pichola; camera ticket extra.</t>
  </si>
  <si>
    <t xml:space="preserve">ATT-UDR-02</t>
  </si>
  <si>
    <t xml:space="preserve">Lake Pichola Boat Ride</t>
  </si>
  <si>
    <t xml:space="preserve">Activity / Experience</t>
  </si>
  <si>
    <t xml:space="preserve">~10:00-18:00</t>
  </si>
  <si>
    <t xml:space="preserve">Weather-dependent</t>
  </si>
  <si>
    <t xml:space="preserve">30-45 min boat from City Palace jetty; Jag Mandir island stop costs more.</t>
  </si>
  <si>
    <t xml:space="preserve">ATT-UDR-03</t>
  </si>
  <si>
    <t xml:space="preserve">Jagdish Temple</t>
  </si>
  <si>
    <t xml:space="preserve">~5:00-22:00</t>
  </si>
  <si>
    <t xml:space="preserve">Indo-Aryan Vishnu temple next to City Palace.</t>
  </si>
  <si>
    <t xml:space="preserve">ATT-UDR-04</t>
  </si>
  <si>
    <t xml:space="preserve">Saheliyon Ki Bari</t>
  </si>
  <si>
    <t xml:space="preserve">Garden</t>
  </si>
  <si>
    <t xml:space="preserve">~9:00-19:00</t>
  </si>
  <si>
    <t xml:space="preserve">Fountain garden; fee small - verify.</t>
  </si>
  <si>
    <t xml:space="preserve">ATT-UDR-05</t>
  </si>
  <si>
    <t xml:space="preserve">Bagore Ki Haveli + Dharohar Folk Show</t>
  </si>
  <si>
    <t xml:space="preserve">Museum / Show</t>
  </si>
  <si>
    <t xml:space="preserve">Museum ~10:00-19:00; show ~19:00</t>
  </si>
  <si>
    <t xml:space="preserve">Folk dance &amp; puppet show at Gangaur Ghat (ticket ~Rs100-150, indicative).</t>
  </si>
  <si>
    <t xml:space="preserve">ATT-UDR-06</t>
  </si>
  <si>
    <t xml:space="preserve">Monsoon Palace (Sajjangarh)</t>
  </si>
  <si>
    <t xml:space="preserve">~9:30-17:30</t>
  </si>
  <si>
    <t xml:space="preserve">Hilltop palace; per-person + vehicle fees vary (verify at gate).</t>
  </si>
  <si>
    <t xml:space="preserve">ATT-UDR-07</t>
  </si>
  <si>
    <t xml:space="preserve">Vintage &amp; Classic Car Museum</t>
  </si>
  <si>
    <t xml:space="preserve">~9:00-20:00</t>
  </si>
  <si>
    <t xml:space="preserve">Maharana's car collection; ticket ~Rs350 (indicative).</t>
  </si>
  <si>
    <t xml:space="preserve">ATT-UDR-08</t>
  </si>
  <si>
    <t xml:space="preserve">Kumbhalgarh Fort (day trip ~85 km)</t>
  </si>
  <si>
    <t xml:space="preserve">~8:00-18:00</t>
  </si>
  <si>
    <t xml:space="preserve">2nd-longest continuous wall in the world (~36 km). Nominal entry; verify fee.</t>
  </si>
  <si>
    <t xml:space="preserve">ATT-UDR-09</t>
  </si>
  <si>
    <t xml:space="preserve">Ranakpur Jain Temple (day trip ~95 km)</t>
  </si>
  <si>
    <t xml:space="preserve">Day trip / Temple</t>
  </si>
  <si>
    <t xml:space="preserve">Non-Jains ~12:00-17:00</t>
  </si>
  <si>
    <t xml:space="preserve">1,444 carved marble pillars; combine with Kumbhalgarh.</t>
  </si>
  <si>
    <t xml:space="preserve">ATT-HMP-01</t>
  </si>
  <si>
    <t xml:space="preserve">Virupaksha Temple &amp; Hampi Bazaar</t>
  </si>
  <si>
    <t xml:space="preserve">~6:00-13:00, 15:00-20:00</t>
  </si>
  <si>
    <t xml:space="preserve">Living 7th-century Shiva temple; temple elephant Lakshmi blesses morning visitors.</t>
  </si>
  <si>
    <t xml:space="preserve">ATT-HMP-02</t>
  </si>
  <si>
    <t xml:space="preserve">Vittala Temple (Stone Chariot)</t>
  </si>
  <si>
    <t xml:space="preserve">8:30-17:30</t>
  </si>
  <si>
    <t xml:space="preserve">Musical pillars, iconic stone chariot. ASI ticket also valid for Zenana Enclosure same day (verify).</t>
  </si>
  <si>
    <t xml:space="preserve">ATT-HMP-03</t>
  </si>
  <si>
    <t xml:space="preserve">Lotus Mahal &amp; Elephant Stables (Zenana Enclosure)</t>
  </si>
  <si>
    <t xml:space="preserve">Indo-Islamic royal quarter.</t>
  </si>
  <si>
    <t xml:space="preserve">ATT-HMP-04</t>
  </si>
  <si>
    <t xml:space="preserve">Hemakuta Hill sunset</t>
  </si>
  <si>
    <t xml:space="preserve">Nature / Viewpoint</t>
  </si>
  <si>
    <t xml:space="preserve">Pre-Vijayanagara shrines with Virupaksha view.</t>
  </si>
  <si>
    <t xml:space="preserve">ATT-HMP-05</t>
  </si>
  <si>
    <t xml:space="preserve">Matanga Hill sunrise trek</t>
  </si>
  <si>
    <t xml:space="preserve">Nature / Trek</t>
  </si>
  <si>
    <t xml:space="preserve">Sunrise (leave ~5:15)</t>
  </si>
  <si>
    <t xml:space="preserve">Short steep climb; go in a group.</t>
  </si>
  <si>
    <t xml:space="preserve">ATT-HMP-06</t>
  </si>
  <si>
    <t xml:space="preserve">Anjaneyanadri Hill (Hanuman Temple)</t>
  </si>
  <si>
    <t xml:space="preserve">Temple / Trek</t>
  </si>
  <si>
    <t xml:space="preserve">~5:30-18:00</t>
  </si>
  <si>
    <t xml:space="preserve">~570 steps across the river (Anegundi side).</t>
  </si>
  <si>
    <t xml:space="preserve">ATT-HMP-07</t>
  </si>
  <si>
    <t xml:space="preserve">Achyutaraya Temple &amp; Sule Bazaar</t>
  </si>
  <si>
    <t xml:space="preserve">Quiet ruins beyond the main tourist circuit.</t>
  </si>
  <si>
    <t xml:space="preserve">ATT-HMP-08</t>
  </si>
  <si>
    <t xml:space="preserve">Coracle ride on Tungabhadra</t>
  </si>
  <si>
    <t xml:space="preserve">~8:00-17:30 (season-dependent)</t>
  </si>
  <si>
    <t xml:space="preserve">Monsoon (rough water)</t>
  </si>
  <si>
    <t xml:space="preserve">Round wicker boats; per-boat fares (indicative Rs300-700). Availability varies by authorities' rules and water level.</t>
  </si>
  <si>
    <t xml:space="preserve">ATT-HMP-09</t>
  </si>
  <si>
    <t xml:space="preserve">Archaeological Museum, Kamalapura</t>
  </si>
  <si>
    <t xml:space="preserve">10:00-17:00</t>
  </si>
  <si>
    <t xml:space="preserve">Small museum with a Hampi model; fee nominal - verify.</t>
  </si>
  <si>
    <t xml:space="preserve">ATT-AEL-01</t>
  </si>
  <si>
    <t xml:space="preserve">Ajanta Caves</t>
  </si>
  <si>
    <t xml:space="preserve">Monument / Caves</t>
  </si>
  <si>
    <t xml:space="preserve">9:00-17:30</t>
  </si>
  <si>
    <t xml:space="preserve">4</t>
  </si>
  <si>
    <t xml:space="preserve">Morning (9:00 start)</t>
  </si>
  <si>
    <t xml:space="preserve">30 Buddhist rock-cut caves (2nd century BCE-5th CE) with famed murals; ~105 km from Aurangabad. Private vehicles stop at T-junction (~4 km) - take MTDC bus (small fee). Flash photography prohibited.</t>
  </si>
  <si>
    <t xml:space="preserve">ATT-AEL-02</t>
  </si>
  <si>
    <t xml:space="preserve">Ellora Caves</t>
  </si>
  <si>
    <t xml:space="preserve">Tuesday</t>
  </si>
  <si>
    <t xml:space="preserve">34 caves (Buddhist, Hindu, Jain); Cave 16 = monolithic Kailasa Temple. ~30 km from Aurangabad.</t>
  </si>
  <si>
    <t xml:space="preserve">ATT-AEL-03</t>
  </si>
  <si>
    <t xml:space="preserve">Grishneshwar Jyotirlinga Temple</t>
  </si>
  <si>
    <t xml:space="preserve">~5:30-22:00</t>
  </si>
  <si>
    <t xml:space="preserve">One of 12 Jyotirlingas, next to Ellora; men remove shirts in sanctum.</t>
  </si>
  <si>
    <t xml:space="preserve">ATT-AEL-04</t>
  </si>
  <si>
    <t xml:space="preserve">Daulatabad (Devagiri) Fort</t>
  </si>
  <si>
    <t xml:space="preserve">~6:00-18:00</t>
  </si>
  <si>
    <t xml:space="preserve">Formidable hilltop fort with dark labyrinth passage; ~15 km from Ellora.</t>
  </si>
  <si>
    <t xml:space="preserve">ATT-AEL-05</t>
  </si>
  <si>
    <t xml:space="preserve">Bibi Ka Maqbara</t>
  </si>
  <si>
    <t xml:space="preserve">~6:00-20:00</t>
  </si>
  <si>
    <t xml:space="preserve">'Mini Taj' built 1660 in Aurangabad.</t>
  </si>
  <si>
    <t xml:space="preserve">ATT-AEL-06</t>
  </si>
  <si>
    <t xml:space="preserve">Aurangabad Caves</t>
  </si>
  <si>
    <t xml:space="preserve">~8:30-17:30</t>
  </si>
  <si>
    <t xml:space="preserve">Buddhist caves on a hill near the city; also Panchakki water mill (small fee).</t>
  </si>
  <si>
    <t xml:space="preserve">ATT-AEL-07</t>
  </si>
  <si>
    <t xml:space="preserve">Khuldabad (Aurangzeb's Tomb)</t>
  </si>
  <si>
    <t xml:space="preserve">Simple tomb of the last great Mughal; on the road to Ellora.</t>
  </si>
  <si>
    <t xml:space="preserve">ATT-GOA-01</t>
  </si>
  <si>
    <t xml:space="preserve">Basilica of Bom Jesus (Old Goa)</t>
  </si>
  <si>
    <t xml:space="preserve">Church / Religious</t>
  </si>
  <si>
    <t xml:space="preserve">~9:00-18:30</t>
  </si>
  <si>
    <t xml:space="preserve">Holds St Francis Xavier's relics; Se Cathedral &amp; Church of St Francis of Assisi nearby.</t>
  </si>
  <si>
    <t xml:space="preserve">ATT-GOA-02</t>
  </si>
  <si>
    <t xml:space="preserve">Se Cathedral &amp; Old Goa churches</t>
  </si>
  <si>
    <t xml:space="preserve">~7:30-18:30</t>
  </si>
  <si>
    <t xml:space="preserve">One of the largest churches in Asia; combine with the Basilica.</t>
  </si>
  <si>
    <t xml:space="preserve">ATT-GOA-03</t>
  </si>
  <si>
    <t xml:space="preserve">Fort Aguada &amp; Lighthouse</t>
  </si>
  <si>
    <t xml:space="preserve">~9:30-18:00</t>
  </si>
  <si>
    <t xml:space="preserve">17th-century Portuguese fort, Sinquerim.</t>
  </si>
  <si>
    <t xml:space="preserve">ATT-GOA-04</t>
  </si>
  <si>
    <t xml:space="preserve">Chapora Fort</t>
  </si>
  <si>
    <t xml:space="preserve">Open sunrise-sunset</t>
  </si>
  <si>
    <t xml:space="preserve">'Dil Chahta Hai' fort; steep short climb.</t>
  </si>
  <si>
    <t xml:space="preserve">ATT-GOA-05</t>
  </si>
  <si>
    <t xml:space="preserve">Baga-Calangute Beach &amp; water sports</t>
  </si>
  <si>
    <t xml:space="preserve">Beach</t>
  </si>
  <si>
    <t xml:space="preserve">Open 24 hrs (water sports ~9:00-18:00)</t>
  </si>
  <si>
    <t xml:space="preserve">Monsoon (Jun-Sep)</t>
  </si>
  <si>
    <t xml:space="preserve">Morning/sunset</t>
  </si>
  <si>
    <t xml:space="preserve">Parasailing, jet ski, banana boat ~Rs400-1,500 each (indicative).</t>
  </si>
  <si>
    <t xml:space="preserve">ATT-GOA-06</t>
  </si>
  <si>
    <t xml:space="preserve">Anjuna Wednesday Flea Market</t>
  </si>
  <si>
    <t xml:space="preserve">~9:00-late (Wed, Oct-May)</t>
  </si>
  <si>
    <t xml:space="preserve">Not Wed</t>
  </si>
  <si>
    <t xml:space="preserve">Also Saturday Night Market at Arpora (Nov-Mar); seasonal.</t>
  </si>
  <si>
    <t xml:space="preserve">ATT-GOA-07</t>
  </si>
  <si>
    <t xml:space="preserve">Palolem Beach (South Goa)</t>
  </si>
  <si>
    <t xml:space="preserve">Monsoon</t>
  </si>
  <si>
    <t xml:space="preserve">Calmer crescent beach; dolphin trips &amp; kayaking.</t>
  </si>
  <si>
    <t xml:space="preserve">ATT-GOA-08</t>
  </si>
  <si>
    <t xml:space="preserve">Dudhsagar Falls (jeep trip)</t>
  </si>
  <si>
    <t xml:space="preserve">Nature / Day trip</t>
  </si>
  <si>
    <t xml:space="preserve">~8:00-17:00</t>
  </si>
  <si>
    <t xml:space="preserve">Jun-Sep (closed / unsafe)</t>
  </si>
  <si>
    <t xml:space="preserve">5</t>
  </si>
  <si>
    <t xml:space="preserve">4-tier waterfall on Goa-Karnataka border; jeep + forest fees ~Rs500-800 per person (indicative).</t>
  </si>
  <si>
    <t xml:space="preserve">ATT-GOA-09</t>
  </si>
  <si>
    <t xml:space="preserve">Fontainhas Latin Quarter (Panjim)</t>
  </si>
  <si>
    <t xml:space="preserve">Heritage Walk</t>
  </si>
  <si>
    <t xml:space="preserve">Open 24 hrs (visit daytime)</t>
  </si>
  <si>
    <t xml:space="preserve">Portuguese-era houses &amp; chapel; also Panjim Church.</t>
  </si>
  <si>
    <t xml:space="preserve">ATT-GOA-10</t>
  </si>
  <si>
    <t xml:space="preserve">Spice Plantation Tour (Ponda)</t>
  </si>
  <si>
    <t xml:space="preserve">~9:00-16:00</t>
  </si>
  <si>
    <t xml:space="preserve">Guided plantation walk with lunch ~Rs400-800 (indicative).</t>
  </si>
  <si>
    <t xml:space="preserve">ATT-KER-01</t>
  </si>
  <si>
    <t xml:space="preserve">Alleppey Houseboat Cruise (Kettuvallam)</t>
  </si>
  <si>
    <t xml:space="preserve">Check-in ~12:00, check-out ~9:00 next day</t>
  </si>
  <si>
    <t xml:space="preserve">Weather</t>
  </si>
  <si>
    <t xml:space="preserve">22</t>
  </si>
  <si>
    <t xml:space="preserve">Overnight</t>
  </si>
  <si>
    <t xml:space="preserve">1-bedroom deluxe overnight ~Rs6,500-12,000 for 2 incl. meals; day cruise (~10:00-17:00) cheaper. Choose govt-approved (DTPC / Green Palm) boats.</t>
  </si>
  <si>
    <t xml:space="preserve">ATT-KER-02</t>
  </si>
  <si>
    <t xml:space="preserve">Vembanad Lake / Kuttanad Canoe Tour</t>
  </si>
  <si>
    <t xml:space="preserve">~7:00-18:00</t>
  </si>
  <si>
    <t xml:space="preserve">Monsoon storms</t>
  </si>
  <si>
    <t xml:space="preserve">Small village canoes through narrow canals; ~Rs500-1,500 pp (indicative).</t>
  </si>
  <si>
    <t xml:space="preserve">ATT-KER-03</t>
  </si>
  <si>
    <t xml:space="preserve">Kumarakom Bird Sanctuary</t>
  </si>
  <si>
    <t xml:space="preserve">Nature</t>
  </si>
  <si>
    <t xml:space="preserve">6:00-18:00</t>
  </si>
  <si>
    <t xml:space="preserve">Migratory birds Nov-Mar; fee indicative - verify.</t>
  </si>
  <si>
    <t xml:space="preserve">ATT-KER-04</t>
  </si>
  <si>
    <t xml:space="preserve">Alappuzha Beach &amp; Lighthouse</t>
  </si>
  <si>
    <t xml:space="preserve">Beach open; lighthouse ~15:00-17:00</t>
  </si>
  <si>
    <t xml:space="preserve">Historic pier; lighthouse fee nominal.</t>
  </si>
  <si>
    <t xml:space="preserve">ATT-KER-05</t>
  </si>
  <si>
    <t xml:space="preserve">Fort Kochi (Chinese nets, Mattancherry Palace, Jew Town)</t>
  </si>
  <si>
    <t xml:space="preserve">Sights ~9:00-17:00</t>
  </si>
  <si>
    <t xml:space="preserve">Friday (Mattancherry Palace)</t>
  </si>
  <si>
    <t xml:space="preserve">Kathakali shows evenings (~Rs300-500). Mattancherry Palace nominal ticket.</t>
  </si>
  <si>
    <t xml:space="preserve">ATT-KER-06</t>
  </si>
  <si>
    <t xml:space="preserve">Kathakali Performance (Kochi)</t>
  </si>
  <si>
    <t xml:space="preserve">~18:00-19:30 (make-up from 17:00)</t>
  </si>
  <si>
    <t xml:space="preserve">Indicative Rs300-500.</t>
  </si>
  <si>
    <t xml:space="preserve">ATT-KER-07</t>
  </si>
  <si>
    <t xml:space="preserve">Ayurveda Massage / Treatment</t>
  </si>
  <si>
    <t xml:space="preserve">Activity / Wellness</t>
  </si>
  <si>
    <t xml:space="preserve">Daily ~9:00-19:00</t>
  </si>
  <si>
    <t xml:space="preserve">Any</t>
  </si>
  <si>
    <t xml:space="preserve">Single sessions ~Rs1,500-4,000; check practitioner credentials (NABH / Ayush recognised).</t>
  </si>
  <si>
    <t xml:space="preserve">ATT-KER-08</t>
  </si>
  <si>
    <t xml:space="preserve">Marari Beach</t>
  </si>
  <si>
    <t xml:space="preserve">Quiet fishing-village beach ~15 km from Alleppey.</t>
  </si>
  <si>
    <t xml:space="preserve">ATT-AND-01</t>
  </si>
  <si>
    <t xml:space="preserve">Cellular Jail National Memorial</t>
  </si>
  <si>
    <t xml:space="preserve">Museum / Monument</t>
  </si>
  <si>
    <t xml:space="preserve">~9:00-17:00</t>
  </si>
  <si>
    <t xml:space="preserve">National holidays</t>
  </si>
  <si>
    <t xml:space="preserve">Colonial prison; evening Light &amp; Sound show ~Rs300 (indicative), timings seasonal.</t>
  </si>
  <si>
    <t xml:space="preserve">ATT-AND-02</t>
  </si>
  <si>
    <t xml:space="preserve">Radhanagar Beach (Havelock / Swaraj Dweep)</t>
  </si>
  <si>
    <t xml:space="preserve">Consistently ranked among Asia's best beaches; no water sports here.</t>
  </si>
  <si>
    <t xml:space="preserve">ATT-AND-03</t>
  </si>
  <si>
    <t xml:space="preserve">Elephant Beach (Havelock)</t>
  </si>
  <si>
    <t xml:space="preserve">Beach / Snorkel</t>
  </si>
  <si>
    <t xml:space="preserve">~8:00-16:00</t>
  </si>
  <si>
    <t xml:space="preserve">By boat (~Rs1,000-1,500 pp, weather dependent) or jungle trek; snorkelling ~Rs500-1,000 (indicative).</t>
  </si>
  <si>
    <t xml:space="preserve">ATT-AND-04</t>
  </si>
  <si>
    <t xml:space="preserve">Neil Island (Shaheed Dweep)</t>
  </si>
  <si>
    <t xml:space="preserve">Beach / Day trip</t>
  </si>
  <si>
    <t xml:space="preserve">6</t>
  </si>
  <si>
    <t xml:space="preserve">Bharatpur Beach, Laxmanpur sunset, Natural Bridge (Howrah Bridge) at low tide.</t>
  </si>
  <si>
    <t xml:space="preserve">ATT-AND-05</t>
  </si>
  <si>
    <t xml:space="preserve">Ross Island (NSCB Dweep)</t>
  </si>
  <si>
    <t xml:space="preserve">~8:30-17:00</t>
  </si>
  <si>
    <t xml:space="preserve">One weekday (verify)</t>
  </si>
  <si>
    <t xml:space="preserve">British-era ruins with deer &amp; peacocks; fee indicative.</t>
  </si>
  <si>
    <t xml:space="preserve">ATT-AND-06</t>
  </si>
  <si>
    <t xml:space="preserve">Scuba Diving - Havelock / Neil</t>
  </si>
  <si>
    <t xml:space="preserve">Activity / Adventure</t>
  </si>
  <si>
    <t xml:space="preserve">Batches ~7:30 &amp; 11:00</t>
  </si>
  <si>
    <t xml:space="preserve">Rough weather</t>
  </si>
  <si>
    <t xml:space="preserve">Discover-scuba ~Rs3,500-6,500 (PADI shops). Book licensed operators only.</t>
  </si>
  <si>
    <t xml:space="preserve">ATT-AND-07</t>
  </si>
  <si>
    <t xml:space="preserve">North Bay Island (Coral Island)</t>
  </si>
  <si>
    <t xml:space="preserve">Snorkel / Water Sports</t>
  </si>
  <si>
    <t xml:space="preserve">~9:00-15:00</t>
  </si>
  <si>
    <t xml:space="preserve">Snorkelling &amp; glass-bottom boat; on the Rs20 note view. Fees vary by operator.</t>
  </si>
  <si>
    <t xml:space="preserve">ATT-AND-08</t>
  </si>
  <si>
    <t xml:space="preserve">Baratang Island (Limestone Caves &amp; Mud Volcano)</t>
  </si>
  <si>
    <t xml:space="preserve">Day trip</t>
  </si>
  <si>
    <t xml:space="preserve">Convoy departs ~6:00 from Port Blair</t>
  </si>
  <si>
    <t xml:space="preserve">10</t>
  </si>
  <si>
    <t xml:space="preserve">Long day trip via Jarawa Reserve road; NO photography/stopping in reserve; permit arranged by operators. Approx Rs1,200-2,500 all-in.</t>
  </si>
  <si>
    <t xml:space="preserve">ATT-AND-09</t>
  </si>
  <si>
    <t xml:space="preserve">Chidiya Tapu Sunset</t>
  </si>
  <si>
    <t xml:space="preserve">'Bird Island' 25 km from Port Blair, mangrove trail.</t>
  </si>
  <si>
    <t xml:space="preserve">ATT-PON-01</t>
  </si>
  <si>
    <t xml:space="preserve">Promenade Beach (Rock Beach)</t>
  </si>
  <si>
    <t xml:space="preserve">Beach / Seafront</t>
  </si>
  <si>
    <t xml:space="preserve">Open 24 hrs (car-free early morning)</t>
  </si>
  <si>
    <t xml:space="preserve">1.5 km seafront with Gandhi statue &amp; war memorial.</t>
  </si>
  <si>
    <t xml:space="preserve">ATT-PON-02</t>
  </si>
  <si>
    <t xml:space="preserve">White Town (French Quarter) Heritage Walk</t>
  </si>
  <si>
    <t xml:space="preserve">Mustard-yellow colonial villas, Rue Dumas, bougainvillea lanes.</t>
  </si>
  <si>
    <t xml:space="preserve">ATT-PON-03</t>
  </si>
  <si>
    <t xml:space="preserve">Auroville &amp; Matrimandir</t>
  </si>
  <si>
    <t xml:space="preserve">Spiritual</t>
  </si>
  <si>
    <t xml:space="preserve">Visitors Centre ~9:00-17:00</t>
  </si>
  <si>
    <t xml:space="preserve">Matrimandir viewing point via free pass from Visitors Centre; Inner Chamber needs prior booking; cameras restricted.</t>
  </si>
  <si>
    <t xml:space="preserve">ATT-PON-04</t>
  </si>
  <si>
    <t xml:space="preserve">Sri Aurobindo Ashram</t>
  </si>
  <si>
    <t xml:space="preserve">~8:00-12:00, 14:00-18:00</t>
  </si>
  <si>
    <t xml:space="preserve">Silence; modest dress.</t>
  </si>
  <si>
    <t xml:space="preserve">ATT-PON-05</t>
  </si>
  <si>
    <t xml:space="preserve">Basilica of the Sacred Heart of Jesus</t>
  </si>
  <si>
    <t xml:space="preserve">~6:00-12:00, 16:00-20:00</t>
  </si>
  <si>
    <t xml:space="preserve">Gothic basilica with stained glass.</t>
  </si>
  <si>
    <t xml:space="preserve">ATT-PON-06</t>
  </si>
  <si>
    <t xml:space="preserve">Manakula Vinayagar Temple</t>
  </si>
  <si>
    <t xml:space="preserve">~5:45-12:30, 16:00-21:00</t>
  </si>
  <si>
    <t xml:space="preserve">French-era Ganesha temple; temple elephant Lakshmi.</t>
  </si>
  <si>
    <t xml:space="preserve">ATT-PON-07</t>
  </si>
  <si>
    <t xml:space="preserve">Paradise Beach (Chunnambar Boat House)</t>
  </si>
  <si>
    <t xml:space="preserve">Beach / Boat</t>
  </si>
  <si>
    <t xml:space="preserve">Rough sea</t>
  </si>
  <si>
    <t xml:space="preserve">Ferry through backwaters to sandbar beach; combined ticket approx Rs200-400 (indicative).</t>
  </si>
  <si>
    <t xml:space="preserve">ATT-PON-08</t>
  </si>
  <si>
    <t xml:space="preserve">Serenity Beach (Surf / Yoga)</t>
  </si>
  <si>
    <t xml:space="preserve">Beach / Activity</t>
  </si>
  <si>
    <t xml:space="preserve">Monsoon surf</t>
  </si>
  <si>
    <t xml:space="preserve">Surf lessons ~Rs1,500-2,500 (indicative).</t>
  </si>
  <si>
    <t xml:space="preserve">ATT-PON-09</t>
  </si>
  <si>
    <t xml:space="preserve">Puducherry Museum</t>
  </si>
  <si>
    <t xml:space="preserve">~10:00-17:00</t>
  </si>
  <si>
    <t xml:space="preserve">Small archaeology &amp; French colonial collection; verify timings.</t>
  </si>
  <si>
    <t xml:space="preserve">ATT-VNS-01</t>
  </si>
  <si>
    <t xml:space="preserve">Ganga Aarti at Dashashwamedh Ghat</t>
  </si>
  <si>
    <t xml:space="preserve">Spiritual / Experience</t>
  </si>
  <si>
    <t xml:space="preserve">~18:45-19:45 (seasonal)</t>
  </si>
  <si>
    <t xml:space="preserve">Evening (arrive 45 min early)</t>
  </si>
  <si>
    <t xml:space="preserve">Also Assi Ghat morning 'Subah-e-Banaras' ~5:30-6:30. Boat seat viewing costs extra.</t>
  </si>
  <si>
    <t xml:space="preserve">ATT-VNS-02</t>
  </si>
  <si>
    <t xml:space="preserve">Sunrise Boat Ride on the Ganges</t>
  </si>
  <si>
    <t xml:space="preserve">Sunrise (~5:30-7:30 by season)</t>
  </si>
  <si>
    <t xml:space="preserve">Flood season</t>
  </si>
  <si>
    <t xml:space="preserve">Shared boat ~Rs300-500 pp; private boat ~Rs1,000-2,000/hr (indicative). Manikarnika Ghat: NO photography.</t>
  </si>
  <si>
    <t xml:space="preserve">ATT-VNS-03</t>
  </si>
  <si>
    <t xml:space="preserve">Kashi Vishwanath Temple &amp; Corridor</t>
  </si>
  <si>
    <t xml:space="preserve">~3:00-23:00 (with breaks)</t>
  </si>
  <si>
    <t xml:space="preserve">Mangala Aarti ~3:00. Phones/leather not allowed inside; paid fast-track darshan available.</t>
  </si>
  <si>
    <t xml:space="preserve">ATT-VNS-04</t>
  </si>
  <si>
    <t xml:space="preserve">Sarnath (Dhamek Stupa &amp; Museum)</t>
  </si>
  <si>
    <t xml:space="preserve">Monument / Buddhist</t>
  </si>
  <si>
    <t xml:space="preserve">Sunrise-sunset; museum ~9:00-17:00</t>
  </si>
  <si>
    <t xml:space="preserve">Friday (museum)</t>
  </si>
  <si>
    <t xml:space="preserve">Where Buddha gave his first sermon, ~10 km away. Museum small fee.</t>
  </si>
  <si>
    <t xml:space="preserve">ATT-VNS-05</t>
  </si>
  <si>
    <t xml:space="preserve">Assi Ghat</t>
  </si>
  <si>
    <t xml:space="preserve">Ghat / Walk</t>
  </si>
  <si>
    <t xml:space="preserve">Cafes, yoga, evening aarti; southern end of the ghats.</t>
  </si>
  <si>
    <t xml:space="preserve">ATT-VNS-06</t>
  </si>
  <si>
    <t xml:space="preserve">Ramnagar Fort &amp; Museum</t>
  </si>
  <si>
    <t xml:space="preserve">Museum / Fort</t>
  </si>
  <si>
    <t xml:space="preserve">Across the river (Ramnagar); vintage cars &amp; weapons; verify fee.</t>
  </si>
  <si>
    <t xml:space="preserve">ATT-VNS-07</t>
  </si>
  <si>
    <t xml:space="preserve">Bharat Kala Bhavan (BHU)</t>
  </si>
  <si>
    <t xml:space="preserve">~10:30-16:30</t>
  </si>
  <si>
    <t xml:space="preserve">Sunday</t>
  </si>
  <si>
    <t xml:space="preserve">Weekday</t>
  </si>
  <si>
    <t xml:space="preserve">Miniatures &amp; sculpture; BHU campus with New Vishwanath Temple.</t>
  </si>
  <si>
    <t xml:space="preserve">ATT-VNS-08</t>
  </si>
  <si>
    <t xml:space="preserve">Kachori Gali &amp; Old City Food Trail</t>
  </si>
  <si>
    <t xml:space="preserve">Food Walk</t>
  </si>
  <si>
    <t xml:space="preserve">~7:00-21:00</t>
  </si>
  <si>
    <t xml:space="preserve">Kachori-sabzi, malaiyo (winter), lassi, thandai, Banarasi paan.</t>
  </si>
  <si>
    <t xml:space="preserve">ATT-VNS-09</t>
  </si>
  <si>
    <t xml:space="preserve">Banarasi Silk Weavers (Lallapura / Madanpura)</t>
  </si>
  <si>
    <t xml:space="preserve">Shopping</t>
  </si>
  <si>
    <t xml:space="preserve">Daytime</t>
  </si>
  <si>
    <t xml:space="preserve">Ask for silk-mark tagged fabric.</t>
  </si>
  <si>
    <t xml:space="preserve">ATT-AMR-01</t>
  </si>
  <si>
    <t xml:space="preserve">Golden Temple (Harmandir Sahib)</t>
  </si>
  <si>
    <t xml:space="preserve">Open 24 hrs (Palki Sahib ceremonies ~4:00 &amp; ~22:00)</t>
  </si>
  <si>
    <t xml:space="preserve">Dawn / night</t>
  </si>
  <si>
    <t xml:space="preserve">Free langar 24 h; cover head, remove shoes, wash feet; no alcohol/tobacco.</t>
  </si>
  <si>
    <t xml:space="preserve">ATT-AMR-02</t>
  </si>
  <si>
    <t xml:space="preserve">Jallianwala Bagh</t>
  </si>
  <si>
    <t xml:space="preserve">Monument / Memorial</t>
  </si>
  <si>
    <t xml:space="preserve">~6:30-19:30 (season)</t>
  </si>
  <si>
    <t xml:space="preserve">Site of 1919 massacre; evening light &amp; sound show (check timings).</t>
  </si>
  <si>
    <t xml:space="preserve">ATT-AMR-03</t>
  </si>
  <si>
    <t xml:space="preserve">Wagah-Attari Border Beating Retreat</t>
  </si>
  <si>
    <t xml:space="preserve">Experience</t>
  </si>
  <si>
    <t xml:space="preserve">~1-1.5 h before sunset (seasonal, check BSF)</t>
  </si>
  <si>
    <t xml:space="preserve">~30 km from city. Format was scaled down after April 2025 (no handshake / gates kept closed); check current BSF notice. Arrive 2 h early; no bags.</t>
  </si>
  <si>
    <t xml:space="preserve">ATT-AMR-04</t>
  </si>
  <si>
    <t xml:space="preserve">Partition Museum</t>
  </si>
  <si>
    <t xml:space="preserve">Oral-history museum in Town Hall; nominal fee - verify.</t>
  </si>
  <si>
    <t xml:space="preserve">ATT-AMR-05</t>
  </si>
  <si>
    <t xml:space="preserve">Gobindgarh Fort</t>
  </si>
  <si>
    <t xml:space="preserve">Monument / Experience</t>
  </si>
  <si>
    <t xml:space="preserve">~10:30-22:00</t>
  </si>
  <si>
    <t xml:space="preserve">Living-history fort with shows (extra tickets); fees vary.</t>
  </si>
  <si>
    <t xml:space="preserve">ATT-AMR-06</t>
  </si>
  <si>
    <t xml:space="preserve">Durgiana Temple</t>
  </si>
  <si>
    <t xml:space="preserve">Silver-doored Hindu temple modelled on Golden Temple.</t>
  </si>
  <si>
    <t xml:space="preserve">ATT-AMR-07</t>
  </si>
  <si>
    <t xml:space="preserve">Ram Bagh &amp; Maharaja Ranjit Singh Museum</t>
  </si>
  <si>
    <t xml:space="preserve">Garden / Museum</t>
  </si>
  <si>
    <t xml:space="preserve">~5:00-21:00</t>
  </si>
  <si>
    <t xml:space="preserve">Summer palace &amp; gardens.</t>
  </si>
  <si>
    <t xml:space="preserve">ATT-AMR-08</t>
  </si>
  <si>
    <t xml:space="preserve">Amritsari Food Trail (kulcha, lassi, jalebi)</t>
  </si>
  <si>
    <t xml:space="preserve">~7:00-23:00</t>
  </si>
  <si>
    <t xml:space="preserve">Morning / evening</t>
  </si>
  <si>
    <t xml:space="preserve">Kesar Da Dhaba, Bharawan Da Dhaba, Kulcha Land, Gurdas Ram jalebi.</t>
  </si>
  <si>
    <t xml:space="preserve">ATT-MYS-01</t>
  </si>
  <si>
    <t xml:space="preserve">Mysore Palace (Amba Vilas)</t>
  </si>
  <si>
    <t xml:space="preserve">Monument / Palace</t>
  </si>
  <si>
    <t xml:space="preserve">10:00-17:30</t>
  </si>
  <si>
    <t xml:space="preserve">Sunday evening (lit-up 19:00-19:45)</t>
  </si>
  <si>
    <t xml:space="preserve">Illuminated on Sundays &amp; holidays; Dasara period nightly. Phones/cameras inside palace restricted (lockers) - verify current rule.</t>
  </si>
  <si>
    <t xml:space="preserve">ATT-MYS-02</t>
  </si>
  <si>
    <t xml:space="preserve">Chamundi Hills &amp; Temple</t>
  </si>
  <si>
    <t xml:space="preserve">Temple / Viewpoint</t>
  </si>
  <si>
    <t xml:space="preserve">~7:30-14:00, 15:30-18:00, 19:30-21:00</t>
  </si>
  <si>
    <t xml:space="preserve">1,000+ steps or road; Nandi statue; special darshan tickets available.</t>
  </si>
  <si>
    <t xml:space="preserve">ATT-MYS-03</t>
  </si>
  <si>
    <t xml:space="preserve">Brindavan Gardens (KRS Dam)</t>
  </si>
  <si>
    <t xml:space="preserve">Garden / Show</t>
  </si>
  <si>
    <t xml:space="preserve">~6:30-20:30 (musical fountain evening)</t>
  </si>
  <si>
    <t xml:space="preserve">~20 km; fountain show seasonal; fee small.</t>
  </si>
  <si>
    <t xml:space="preserve">ATT-MYS-04</t>
  </si>
  <si>
    <t xml:space="preserve">Jaganmohan Palace (Art Gallery)</t>
  </si>
  <si>
    <t xml:space="preserve">Paintings incl. Raja Ravi Varma; verify fee.</t>
  </si>
  <si>
    <t xml:space="preserve">ATT-MYS-05</t>
  </si>
  <si>
    <t xml:space="preserve">Mysore Zoo (Sri Chamarajendra Zoological Gardens)</t>
  </si>
  <si>
    <t xml:space="preserve">Zoo / Park</t>
  </si>
  <si>
    <t xml:space="preserve">One of India's oldest zoos.</t>
  </si>
  <si>
    <t xml:space="preserve">ATT-MYS-06</t>
  </si>
  <si>
    <t xml:space="preserve">Devaraja Market &amp; Sandalwood Shops</t>
  </si>
  <si>
    <t xml:space="preserve">Flowers, spices, kumkum, sandalwood, Mysore silk.</t>
  </si>
  <si>
    <t xml:space="preserve">ATT-MYS-07</t>
  </si>
  <si>
    <t xml:space="preserve">Somanathapura Chennakesava Temple (day trip ~35 km)</t>
  </si>
  <si>
    <t xml:space="preserve">Hoysala star-shaped temple (UNESCO 2023 with Belur &amp; Halebidu).</t>
  </si>
  <si>
    <t xml:space="preserve">ATT-MYS-08</t>
  </si>
  <si>
    <t xml:space="preserve">Srirangapatna (Tipu Sultan's Summer Palace)</t>
  </si>
  <si>
    <t xml:space="preserve">Dariya Daulat Bagh, Ranganathaswamy Temple, Tipu's tomb; ~15 km.</t>
  </si>
  <si>
    <t xml:space="preserve">ATT-LEH-01</t>
  </si>
  <si>
    <t xml:space="preserve">Leh Palace</t>
  </si>
  <si>
    <t xml:space="preserve">~7:00-17:00</t>
  </si>
  <si>
    <t xml:space="preserve">9-storey 17th-century Namgyal palace; fee small - verify.</t>
  </si>
  <si>
    <t xml:space="preserve">ATT-LEH-02</t>
  </si>
  <si>
    <t xml:space="preserve">Shanti Stupa</t>
  </si>
  <si>
    <t xml:space="preserve">Buddhist / Viewpoint</t>
  </si>
  <si>
    <t xml:space="preserve">Sunrise / sunset</t>
  </si>
  <si>
    <t xml:space="preserve">Japanese-built stupa above Leh; road or 500 steps.</t>
  </si>
  <si>
    <t xml:space="preserve">ATT-LEH-03</t>
  </si>
  <si>
    <t xml:space="preserve">Thiksey Monastery</t>
  </si>
  <si>
    <t xml:space="preserve">Monastery</t>
  </si>
  <si>
    <t xml:space="preserve">~7:00-17:00 (morning puja 6:00-7:00)</t>
  </si>
  <si>
    <t xml:space="preserve">12-storey monastery ~19 km; small fee.</t>
  </si>
  <si>
    <t xml:space="preserve">ATT-LEH-04</t>
  </si>
  <si>
    <t xml:space="preserve">Hemis Monastery</t>
  </si>
  <si>
    <t xml:space="preserve">~45 km; Hemis Tsechu festival ~June/July.</t>
  </si>
  <si>
    <t xml:space="preserve">ATT-LEH-05</t>
  </si>
  <si>
    <t xml:space="preserve">Pangong Tso (Lake)</t>
  </si>
  <si>
    <t xml:space="preserve">Nature / Scenic</t>
  </si>
  <si>
    <t xml:space="preserve">Open (day/night stays in tent camps)</t>
  </si>
  <si>
    <t xml:space="preserve">Roads closed in heavy snow</t>
  </si>
  <si>
    <t xml:space="preserve">2 days</t>
  </si>
  <si>
    <t xml:space="preserve">Morning light</t>
  </si>
  <si>
    <t xml:space="preserve">~160 km / 5-6 h via Chang La (5,360 m); 4,350 m altitude. Requires Ladakh Environment/Development Fee receipt (~Rs400 + ~Rs20/day wildlife fee; foreigners need PAP via registered Leh agent). Tent stays ~Rs2,500-6,000/night.</t>
  </si>
  <si>
    <t xml:space="preserve">ATT-LEH-06</t>
  </si>
  <si>
    <t xml:space="preserve">Nubra Valley (Diskit, Hunder dunes)</t>
  </si>
  <si>
    <t xml:space="preserve">Open</t>
  </si>
  <si>
    <t xml:space="preserve">Passes closed in winter</t>
  </si>
  <si>
    <t xml:space="preserve">2-3 days</t>
  </si>
  <si>
    <t xml:space="preserve">Via Khardung La (5,359 m). Bactrian camel rides ~Rs300-500 (indicative). Same EDF receipt as Pangong.</t>
  </si>
  <si>
    <t xml:space="preserve">ATT-LEH-07</t>
  </si>
  <si>
    <t xml:space="preserve">Magnetic Hill / Sangam (Indus-Zanskar) / Gurudwara Pathar Sahib</t>
  </si>
  <si>
    <t xml:space="preserve">Scenic / Day trip</t>
  </si>
  <si>
    <t xml:space="preserve">Half-day local circuit west of Leh (~30-40 km).</t>
  </si>
  <si>
    <t xml:space="preserve">ATT-LEH-08</t>
  </si>
  <si>
    <t xml:space="preserve">Hall of Fame (Indian Army Museum)</t>
  </si>
  <si>
    <t xml:space="preserve">~9:00-19:00 (lunch break)</t>
  </si>
  <si>
    <t xml:space="preserve">Kargil war &amp; Siachen displays; fee indicative.</t>
  </si>
  <si>
    <t xml:space="preserve">ATT-LEH-09</t>
  </si>
  <si>
    <t xml:space="preserve">Alchi Monastery (Indus valley)</t>
  </si>
  <si>
    <t xml:space="preserve">Monastery / Day trip</t>
  </si>
  <si>
    <t xml:space="preserve">11th-century murals; ~65 km from Leh.</t>
  </si>
  <si>
    <t xml:space="preserve">ATT-LEH-10</t>
  </si>
  <si>
    <t xml:space="preserve">Zanskar River Rafting</t>
  </si>
  <si>
    <t xml:space="preserve">Jun-Sep</t>
  </si>
  <si>
    <t xml:space="preserve">Winter</t>
  </si>
  <si>
    <t xml:space="preserve">Midday</t>
  </si>
  <si>
    <t xml:space="preserve">Chilling-Nimmu / Nimmu-Sangam stretches; Rs2,500-3,500 pp (indicative).</t>
  </si>
  <si>
    <t xml:space="preserve">ATT-DAR-01</t>
  </si>
  <si>
    <t xml:space="preserve">Tiger Hill Sunrise (Kanchenjunga)</t>
  </si>
  <si>
    <t xml:space="preserve">Viewpoint</t>
  </si>
  <si>
    <t xml:space="preserve">Leave hotel ~3:45; viewing ~5:00-6:30</t>
  </si>
  <si>
    <t xml:space="preserve">Cloudy days</t>
  </si>
  <si>
    <t xml:space="preserve">Jeep ~Rs1,500-2,500 (shared seat ~Rs300-500, indicative); go on clear winter/spring mornings.</t>
  </si>
  <si>
    <t xml:space="preserve">ATT-DAR-02</t>
  </si>
  <si>
    <t xml:space="preserve">Darjeeling Himalayan Railway (Toy Train Joy Ride)</t>
  </si>
  <si>
    <t xml:space="preserve">Experience / Heritage</t>
  </si>
  <si>
    <t xml:space="preserve">~10:30 &amp; 13:30 departures (seasonal)</t>
  </si>
  <si>
    <t xml:space="preserve">Landslide days</t>
  </si>
  <si>
    <t xml:space="preserve">Steam joy ride Darjeeling-Ghum-Darjeeling; fare indicative ~Rs1,500 Indian; book via IRCTC.</t>
  </si>
  <si>
    <t xml:space="preserve">ATT-DAR-03</t>
  </si>
  <si>
    <t xml:space="preserve">Batasia Loop &amp; War Memorial</t>
  </si>
  <si>
    <t xml:space="preserve">Heritage / Viewpoint</t>
  </si>
  <si>
    <t xml:space="preserve">~5:00-20:00</t>
  </si>
  <si>
    <t xml:space="preserve">Toy-train spiral loop + Gorkha memorial; near Ghum.</t>
  </si>
  <si>
    <t xml:space="preserve">ATT-DAR-04</t>
  </si>
  <si>
    <t xml:space="preserve">Himalayan Mountaineering Institute &amp; Zoo</t>
  </si>
  <si>
    <t xml:space="preserve">Museum / Zoo</t>
  </si>
  <si>
    <t xml:space="preserve">~8:30-16:30</t>
  </si>
  <si>
    <t xml:space="preserve">Thursday</t>
  </si>
  <si>
    <t xml:space="preserve">Tenzing Norgay's memorial, snow leopard &amp; red panda breeding; combined ticket.</t>
  </si>
  <si>
    <t xml:space="preserve">ATT-DAR-05</t>
  </si>
  <si>
    <t xml:space="preserve">Happy Valley Tea Estate</t>
  </si>
  <si>
    <t xml:space="preserve">Tea Estate</t>
  </si>
  <si>
    <t xml:space="preserve">Sunday (factory)</t>
  </si>
  <si>
    <t xml:space="preserve">Free factory tour for tasting; many private estates (Glenburn, Makaibari) offer paid tours.</t>
  </si>
  <si>
    <t xml:space="preserve">ATT-DAR-06</t>
  </si>
  <si>
    <t xml:space="preserve">Peace Pagoda &amp; Japanese Temple</t>
  </si>
  <si>
    <t xml:space="preserve">~4:30-19:00</t>
  </si>
  <si>
    <t xml:space="preserve">Serene hillside stupa.</t>
  </si>
  <si>
    <t xml:space="preserve">ATT-DAR-07</t>
  </si>
  <si>
    <t xml:space="preserve">Ghum Monastery (Yiga Choeling)</t>
  </si>
  <si>
    <t xml:space="preserve">Yellow-hat Tibetan monastery, ~7 km from town.</t>
  </si>
  <si>
    <t xml:space="preserve">ATT-DAR-08</t>
  </si>
  <si>
    <t xml:space="preserve">Chowrasta &amp; Mall Road</t>
  </si>
  <si>
    <t xml:space="preserve">Walk / Market</t>
  </si>
  <si>
    <t xml:space="preserve">Open 24 hrs (shops ~9:00-20:00)</t>
  </si>
  <si>
    <t xml:space="preserve">Central promenade; Keventer's &amp; Glenary's nearby.</t>
  </si>
  <si>
    <t xml:space="preserve">ATT-DAR-09</t>
  </si>
  <si>
    <t xml:space="preserve">Tibetan Refugee Self-Help Centre</t>
  </si>
  <si>
    <t xml:space="preserve">Craft / Shopping</t>
  </si>
  <si>
    <t xml:space="preserve">Carpets, woodwork, souvenirs.</t>
  </si>
  <si>
    <t xml:space="preserve">Hotel_ID</t>
  </si>
  <si>
    <t xml:space="preserve">Name</t>
  </si>
  <si>
    <t xml:space="preserve">Tier</t>
  </si>
  <si>
    <t xml:space="preserve">Type</t>
  </si>
  <si>
    <t xml:space="preserve">Area / location</t>
  </si>
  <si>
    <t xml:space="preserve">Price low (INR/night)</t>
  </si>
  <si>
    <t xml:space="preserve">Price high (INR/night)</t>
  </si>
  <si>
    <t xml:space="preserve">Best for</t>
  </si>
  <si>
    <t xml:space="preserve">Notes</t>
  </si>
  <si>
    <t xml:space="preserve">Confidence</t>
  </si>
  <si>
    <t xml:space="preserve">HOT-DEL-01</t>
  </si>
  <si>
    <t xml:space="preserve">Zostel Delhi</t>
  </si>
  <si>
    <t xml:space="preserve">Budget</t>
  </si>
  <si>
    <t xml:space="preserve">Hostel</t>
  </si>
  <si>
    <t xml:space="preserve">Central Delhi (near metro)</t>
  </si>
  <si>
    <t xml:space="preserve">Solo / backpackers</t>
  </si>
  <si>
    <t xml:space="preserve">Dorm beds + private rooms; social common area. Check current branch address.</t>
  </si>
  <si>
    <t xml:space="preserve">Price = C (indicative)</t>
  </si>
  <si>
    <t xml:space="preserve">HOT-DEL-02</t>
  </si>
  <si>
    <t xml:space="preserve">Hotel Hari Piorko</t>
  </si>
  <si>
    <t xml:space="preserve">Guesthouse</t>
  </si>
  <si>
    <t xml:space="preserve">Paharganj (near New Delhi station)</t>
  </si>
  <si>
    <t xml:space="preserve">Budget / short stays</t>
  </si>
  <si>
    <t xml:space="preserve">Rooftop restaurant; noisy area; good for early train.</t>
  </si>
  <si>
    <t xml:space="preserve">HOT-DEL-03</t>
  </si>
  <si>
    <t xml:space="preserve">Bloomrooms @ Janpath</t>
  </si>
  <si>
    <t xml:space="preserve">Mid-range</t>
  </si>
  <si>
    <t xml:space="preserve">Boutique Hotel</t>
  </si>
  <si>
    <t xml:space="preserve">Connaught Place / Janpath</t>
  </si>
  <si>
    <t xml:space="preserve">Couples / central location</t>
  </si>
  <si>
    <t xml:space="preserve">Design budget-boutique; walk to CP, metro.</t>
  </si>
  <si>
    <t xml:space="preserve">HOT-DEL-04</t>
  </si>
  <si>
    <t xml:space="preserve">Ibis New Delhi Aerocity</t>
  </si>
  <si>
    <t xml:space="preserve">Hotel</t>
  </si>
  <si>
    <t xml:space="preserve">Aerocity (near airport)</t>
  </si>
  <si>
    <t xml:space="preserve">Airport transits / business</t>
  </si>
  <si>
    <t xml:space="preserve">Far from sights; good for late/early flights.</t>
  </si>
  <si>
    <t xml:space="preserve">HOT-DEL-05</t>
  </si>
  <si>
    <t xml:space="preserve">The Lalit New Delhi</t>
  </si>
  <si>
    <t xml:space="preserve">Premium</t>
  </si>
  <si>
    <t xml:space="preserve">Barakhamba Road / CP</t>
  </si>
  <si>
    <t xml:space="preserve">Business / families</t>
  </si>
  <si>
    <t xml:space="preserve">Central with metro access.</t>
  </si>
  <si>
    <t xml:space="preserve">HOT-DEL-06</t>
  </si>
  <si>
    <t xml:space="preserve">The Claridges</t>
  </si>
  <si>
    <t xml:space="preserve">Heritage Hotel</t>
  </si>
  <si>
    <t xml:space="preserve">Aurangzeb Road (Lutyens' Delhi)</t>
  </si>
  <si>
    <t xml:space="preserve">Heritage feel / couples</t>
  </si>
  <si>
    <t xml:space="preserve">Classic 1950s luxury hotel.</t>
  </si>
  <si>
    <t xml:space="preserve">HOT-DEL-07</t>
  </si>
  <si>
    <t xml:space="preserve">The Imperial New Delhi</t>
  </si>
  <si>
    <t xml:space="preserve">Luxury</t>
  </si>
  <si>
    <t xml:space="preserve">Janpath</t>
  </si>
  <si>
    <t xml:space="preserve">Colonial luxury / special occasion</t>
  </si>
  <si>
    <t xml:space="preserve">1931 Art Deco landmark; excellent garden &amp; dining.</t>
  </si>
  <si>
    <t xml:space="preserve">HOT-AGR-01</t>
  </si>
  <si>
    <t xml:space="preserve">Zostel Agra</t>
  </si>
  <si>
    <t xml:space="preserve">Agra city (near Taj area)</t>
  </si>
  <si>
    <t xml:space="preserve">Dorms &amp; privates; check exact branch location.</t>
  </si>
  <si>
    <t xml:space="preserve">HOT-AGR-02</t>
  </si>
  <si>
    <t xml:space="preserve">Hotel Kamal</t>
  </si>
  <si>
    <t xml:space="preserve">Taj Ganj (South Gate)</t>
  </si>
  <si>
    <t xml:space="preserve">Budget + Taj views</t>
  </si>
  <si>
    <t xml:space="preserve">Walking distance to Taj; some rooms with rooftop view.</t>
  </si>
  <si>
    <t xml:space="preserve">HOT-AGR-03</t>
  </si>
  <si>
    <t xml:space="preserve">Hotel Amar Yatri Niwas</t>
  </si>
  <si>
    <t xml:space="preserve">Fatehabad Road</t>
  </si>
  <si>
    <t xml:space="preserve">Families / value</t>
  </si>
  <si>
    <t xml:space="preserve">Pool; near Taj East Gate.</t>
  </si>
  <si>
    <t xml:space="preserve">HOT-AGR-04</t>
  </si>
  <si>
    <t xml:space="preserve">Clarks Shiraz Hotel</t>
  </si>
  <si>
    <t xml:space="preserve">Taj Road</t>
  </si>
  <si>
    <t xml:space="preserve">Families / groups</t>
  </si>
  <si>
    <t xml:space="preserve">Well-known 5-star; rooftop restaurant.</t>
  </si>
  <si>
    <t xml:space="preserve">HOT-AGR-05</t>
  </si>
  <si>
    <t xml:space="preserve">Trident Agra</t>
  </si>
  <si>
    <t xml:space="preserve">Taj East Gate Road</t>
  </si>
  <si>
    <t xml:space="preserve">Families / couples</t>
  </si>
  <si>
    <t xml:space="preserve">Garden property near Taj.</t>
  </si>
  <si>
    <t xml:space="preserve">HOT-AGR-06</t>
  </si>
  <si>
    <t xml:space="preserve">Taj Hotel &amp; Convention Centre, Agra</t>
  </si>
  <si>
    <t xml:space="preserve">Taj Group; convention facilities.</t>
  </si>
  <si>
    <t xml:space="preserve">HOT-AGR-07</t>
  </si>
  <si>
    <t xml:space="preserve">ITC Mughal, Agra</t>
  </si>
  <si>
    <t xml:space="preserve">Resort</t>
  </si>
  <si>
    <t xml:space="preserve">Luxury / couples</t>
  </si>
  <si>
    <t xml:space="preserve">Mughal-style gardens; spa; Peshawri restaurant.</t>
  </si>
  <si>
    <t xml:space="preserve">HOT-AGR-08</t>
  </si>
  <si>
    <t xml:space="preserve">The Oberoi Amarvilas</t>
  </si>
  <si>
    <t xml:space="preserve">Luxury Hotel</t>
  </si>
  <si>
    <t xml:space="preserve">Honeymoons / ultra-luxury</t>
  </si>
  <si>
    <t xml:space="preserve">Every room has Taj view; one of India's most expensive hotels.</t>
  </si>
  <si>
    <t xml:space="preserve">HOT-JAI-01</t>
  </si>
  <si>
    <t xml:space="preserve">Zostel Jaipur</t>
  </si>
  <si>
    <t xml:space="preserve">C-Scheme / central Jaipur</t>
  </si>
  <si>
    <t xml:space="preserve">Dorms &amp; privates; rooftop.</t>
  </si>
  <si>
    <t xml:space="preserve">HOT-JAI-02</t>
  </si>
  <si>
    <t xml:space="preserve">Moustache Hostel Jaipur</t>
  </si>
  <si>
    <t xml:space="preserve">Jaipur city</t>
  </si>
  <si>
    <t xml:space="preserve">Backpacker hostel chain in Rajasthan.</t>
  </si>
  <si>
    <t xml:space="preserve">HOT-JAI-03</t>
  </si>
  <si>
    <t xml:space="preserve">Hotel Pearl Palace Heritage</t>
  </si>
  <si>
    <t xml:space="preserve">Guesthouse / Heritage</t>
  </si>
  <si>
    <t xml:space="preserve">Hari Kishan Somani Marg, near Ajmeri Gate</t>
  </si>
  <si>
    <t xml:space="preserve">Budget travellers wanting comfort</t>
  </si>
  <si>
    <t xml:space="preserve">Popular rooftop restaurant (Peacock).</t>
  </si>
  <si>
    <t xml:space="preserve">HOT-JAI-04</t>
  </si>
  <si>
    <t xml:space="preserve">Alsisar Haveli</t>
  </si>
  <si>
    <t xml:space="preserve">Heritage Haveli</t>
  </si>
  <si>
    <t xml:space="preserve">Sansar Chandra Road</t>
  </si>
  <si>
    <t xml:space="preserve">Couples / heritage feel</t>
  </si>
  <si>
    <t xml:space="preserve">19th-century haveli with pool.</t>
  </si>
  <si>
    <t xml:space="preserve">HOT-JAI-05</t>
  </si>
  <si>
    <t xml:space="preserve">Hotel Diggi Palace</t>
  </si>
  <si>
    <t xml:space="preserve">SMS Hospital Road</t>
  </si>
  <si>
    <t xml:space="preserve">Families / heritage</t>
  </si>
  <si>
    <t xml:space="preserve">Haveli stays; hosts Jaipur Literature Festival.</t>
  </si>
  <si>
    <t xml:space="preserve">HOT-JAI-06</t>
  </si>
  <si>
    <t xml:space="preserve">Samode Haveli</t>
  </si>
  <si>
    <t xml:space="preserve">Gangapole, Old City</t>
  </si>
  <si>
    <t xml:space="preserve">Couples / heritage</t>
  </si>
  <si>
    <t xml:space="preserve">Sister to Samode Palace.</t>
  </si>
  <si>
    <t xml:space="preserve">HOT-JAI-07</t>
  </si>
  <si>
    <t xml:space="preserve">Fairmont Jaipur</t>
  </si>
  <si>
    <t xml:space="preserve">Kukas (outskirts)</t>
  </si>
  <si>
    <t xml:space="preserve">Families / resort feel</t>
  </si>
  <si>
    <t xml:space="preserve">Mughal-inspired luxury; ~17 km from centre.</t>
  </si>
  <si>
    <t xml:space="preserve">HOT-JAI-08</t>
  </si>
  <si>
    <t xml:space="preserve">Rambagh Palace (Taj)</t>
  </si>
  <si>
    <t xml:space="preserve">Palace Hotel</t>
  </si>
  <si>
    <t xml:space="preserve">Bhawani Singh Road</t>
  </si>
  <si>
    <t xml:space="preserve">Ultra-luxury / special occasion</t>
  </si>
  <si>
    <t xml:space="preserve">Former residence of Maharaja of Jaipur.</t>
  </si>
  <si>
    <t xml:space="preserve">HOT-UDR-01</t>
  </si>
  <si>
    <t xml:space="preserve">Zostel Udaipur</t>
  </si>
  <si>
    <t xml:space="preserve">Near Lake Pichola</t>
  </si>
  <si>
    <t xml:space="preserve">Lakeside old-city area.</t>
  </si>
  <si>
    <t xml:space="preserve">HOT-UDR-02</t>
  </si>
  <si>
    <t xml:space="preserve">Jaiwana Haveli</t>
  </si>
  <si>
    <t xml:space="preserve">Haveli Hotel</t>
  </si>
  <si>
    <t xml:space="preserve">Lal Ghat (Lake Pichola)</t>
  </si>
  <si>
    <t xml:space="preserve">Budget-to-mid lake view</t>
  </si>
  <si>
    <t xml:space="preserve">Lake-facing rooms; lively area.</t>
  </si>
  <si>
    <t xml:space="preserve">HOT-UDR-03</t>
  </si>
  <si>
    <t xml:space="preserve">Hotel Jagat Niwas Palace</t>
  </si>
  <si>
    <t xml:space="preserve">Lal Ghat</t>
  </si>
  <si>
    <t xml:space="preserve">Couples</t>
  </si>
  <si>
    <t xml:space="preserve">17th-century haveli.</t>
  </si>
  <si>
    <t xml:space="preserve">HOT-UDR-04</t>
  </si>
  <si>
    <t xml:space="preserve">Lake Pichola Hotel</t>
  </si>
  <si>
    <t xml:space="preserve">Near Hanuman Ghat</t>
  </si>
  <si>
    <t xml:space="preserve">Lake-facing rooms.</t>
  </si>
  <si>
    <t xml:space="preserve">HOT-UDR-05</t>
  </si>
  <si>
    <t xml:space="preserve">Trident Udaipur</t>
  </si>
  <si>
    <t xml:space="preserve">Haridasji ki Magri (lakeside)</t>
  </si>
  <si>
    <t xml:space="preserve">Views of Lake Pichola; pool.</t>
  </si>
  <si>
    <t xml:space="preserve">HOT-UDR-06</t>
  </si>
  <si>
    <t xml:space="preserve">Taj Fateh Prakash Palace</t>
  </si>
  <si>
    <t xml:space="preserve">City Palace complex</t>
  </si>
  <si>
    <t xml:space="preserve">Special occasion</t>
  </si>
  <si>
    <t xml:space="preserve">Within City Palace; lake views.</t>
  </si>
  <si>
    <t xml:space="preserve">HOT-UDR-07</t>
  </si>
  <si>
    <t xml:space="preserve">Taj Lake Palace</t>
  </si>
  <si>
    <t xml:space="preserve">Island in Lake Pichola</t>
  </si>
  <si>
    <t xml:space="preserve">Honeymoon / bucket-list</t>
  </si>
  <si>
    <t xml:space="preserve">Accessible only by boat.</t>
  </si>
  <si>
    <t xml:space="preserve">HOT-HMP-01</t>
  </si>
  <si>
    <t xml:space="preserve">Mowgli Guest House</t>
  </si>
  <si>
    <t xml:space="preserve">Virupapur Gaddi (across river)</t>
  </si>
  <si>
    <t xml:space="preserve">Backpackers / long stays</t>
  </si>
  <si>
    <t xml:space="preserve">Hippie-island vibe; ferry from Hampi Bazaar.</t>
  </si>
  <si>
    <t xml:space="preserve">HOT-HMP-02</t>
  </si>
  <si>
    <t xml:space="preserve">Shanthi Guest House</t>
  </si>
  <si>
    <t xml:space="preserve">Hampi Bazaar</t>
  </si>
  <si>
    <t xml:space="preserve">Budget travellers</t>
  </si>
  <si>
    <t xml:space="preserve">Basic; check availability.</t>
  </si>
  <si>
    <t xml:space="preserve">HOT-HMP-03</t>
  </si>
  <si>
    <t xml:space="preserve">Hotel Malligi</t>
  </si>
  <si>
    <t xml:space="preserve">Hospet (13 km)</t>
  </si>
  <si>
    <t xml:space="preserve">Families / comfort</t>
  </si>
  <si>
    <t xml:space="preserve">Pool; restaurant; Hospet base.</t>
  </si>
  <si>
    <t xml:space="preserve">HOT-HMP-04</t>
  </si>
  <si>
    <t xml:space="preserve">Heritage Resort Hampi</t>
  </si>
  <si>
    <t xml:space="preserve">Hospet</t>
  </si>
  <si>
    <t xml:space="preserve">Resort with pool near Hospet.</t>
  </si>
  <si>
    <t xml:space="preserve">HOT-HMP-05</t>
  </si>
  <si>
    <t xml:space="preserve">Hampi's Boulders Resort</t>
  </si>
  <si>
    <t xml:space="preserve">Virupapur Gaddi / Hampi</t>
  </si>
  <si>
    <t xml:space="preserve">Couples / scenic stay</t>
  </si>
  <si>
    <t xml:space="preserve">Stone-cottage style amid boulders.</t>
  </si>
  <si>
    <t xml:space="preserve">HOT-HMP-06</t>
  </si>
  <si>
    <t xml:space="preserve">Hyatt Place Hampi</t>
  </si>
  <si>
    <t xml:space="preserve">Hospet area</t>
  </si>
  <si>
    <t xml:space="preserve">Modern chain hotel.</t>
  </si>
  <si>
    <t xml:space="preserve">HOT-HMP-07</t>
  </si>
  <si>
    <t xml:space="preserve">Evolve Back Kamalapura Palace</t>
  </si>
  <si>
    <t xml:space="preserve">Luxury Heritage Resort</t>
  </si>
  <si>
    <t xml:space="preserve">Kamalapura (near Hampi)</t>
  </si>
  <si>
    <t xml:space="preserve">Vijayanagara-style palace resort.</t>
  </si>
  <si>
    <t xml:space="preserve">HOT-AEL-01</t>
  </si>
  <si>
    <t xml:space="preserve">MTDC Holiday Resort, Ajanta (T-junction)</t>
  </si>
  <si>
    <t xml:space="preserve">Govt Resort</t>
  </si>
  <si>
    <t xml:space="preserve">Ajanta T-junction</t>
  </si>
  <si>
    <t xml:space="preserve">Ajanta early starts</t>
  </si>
  <si>
    <t xml:space="preserve">Book via MTDC website.</t>
  </si>
  <si>
    <t xml:space="preserve">HOT-AEL-02</t>
  </si>
  <si>
    <t xml:space="preserve">Hotel Kailas (Ellora)</t>
  </si>
  <si>
    <t xml:space="preserve">Ellora village</t>
  </si>
  <si>
    <t xml:space="preserve">Ellora-focused stay</t>
  </si>
  <si>
    <t xml:space="preserve">Garden setting next to Ellora.</t>
  </si>
  <si>
    <t xml:space="preserve">HOT-AEL-03</t>
  </si>
  <si>
    <t xml:space="preserve">Ginger Aurangabad</t>
  </si>
  <si>
    <t xml:space="preserve">Chhatrapati Sambhajinagar (Aurangabad)</t>
  </si>
  <si>
    <t xml:space="preserve">Value business hotel</t>
  </si>
  <si>
    <t xml:space="preserve">Clean chain hotel.</t>
  </si>
  <si>
    <t xml:space="preserve">HOT-AEL-04</t>
  </si>
  <si>
    <t xml:space="preserve">Lemon Tree Hotel Aurangabad</t>
  </si>
  <si>
    <t xml:space="preserve">Chhatrapati Sambhajinagar</t>
  </si>
  <si>
    <t xml:space="preserve">Central location.</t>
  </si>
  <si>
    <t xml:space="preserve">HOT-AEL-05</t>
  </si>
  <si>
    <t xml:space="preserve">Welcomhotel Rama International</t>
  </si>
  <si>
    <t xml:space="preserve">Comfort / business</t>
  </si>
  <si>
    <t xml:space="preserve">ITC Welcomhotel; restaurant, pool.</t>
  </si>
  <si>
    <t xml:space="preserve">HOT-AEL-06</t>
  </si>
  <si>
    <t xml:space="preserve">Vivanta Aurangabad (Taj)</t>
  </si>
  <si>
    <t xml:space="preserve">Rauza Bagh, Chhatrapati Sambhajinagar</t>
  </si>
  <si>
    <t xml:space="preserve">Luxury feel</t>
  </si>
  <si>
    <t xml:space="preserve">Taj group hotel; near Bibi Ka Maqbara.</t>
  </si>
  <si>
    <t xml:space="preserve">HOT-GOA-01</t>
  </si>
  <si>
    <t xml:space="preserve">Zostel Goa (Anjuna)</t>
  </si>
  <si>
    <t xml:space="preserve">Anjuna / Vagator (North Goa)</t>
  </si>
  <si>
    <t xml:space="preserve">Solo / party crowd</t>
  </si>
  <si>
    <t xml:space="preserve">Zostel Plus at Anjuna; check date-specific pricing.</t>
  </si>
  <si>
    <t xml:space="preserve">HOT-GOA-02</t>
  </si>
  <si>
    <t xml:space="preserve">Palolem Beach Huts (various operators)</t>
  </si>
  <si>
    <t xml:space="preserve">Beach huts</t>
  </si>
  <si>
    <t xml:space="preserve">Palolem (South Goa)</t>
  </si>
  <si>
    <t xml:space="preserve">Backpackers / chill</t>
  </si>
  <si>
    <t xml:space="preserve">Seasonal (Oct-May); multiple operators, no single brand.</t>
  </si>
  <si>
    <t xml:space="preserve">HOT-GOA-03</t>
  </si>
  <si>
    <t xml:space="preserve">Resort Rio Arpora</t>
  </si>
  <si>
    <t xml:space="preserve">Arpora (North Goa)</t>
  </si>
  <si>
    <t xml:space="preserve">Pool resort near Baga.</t>
  </si>
  <si>
    <t xml:space="preserve">HOT-GOA-04</t>
  </si>
  <si>
    <t xml:space="preserve">Hotel Fidalgo (Panaji)</t>
  </si>
  <si>
    <t xml:space="preserve">Panaji (near Fontainhas)</t>
  </si>
  <si>
    <t xml:space="preserve">City stays / heritage walks</t>
  </si>
  <si>
    <t xml:space="preserve">Central Panjim.</t>
  </si>
  <si>
    <t xml:space="preserve">HOT-GOA-05</t>
  </si>
  <si>
    <t xml:space="preserve">Alila Diwa Goa</t>
  </si>
  <si>
    <t xml:space="preserve">Majorda (South Goa)</t>
  </si>
  <si>
    <t xml:space="preserve">Couples / families</t>
  </si>
  <si>
    <t xml:space="preserve">Paddy-field resort.</t>
  </si>
  <si>
    <t xml:space="preserve">HOT-GOA-06</t>
  </si>
  <si>
    <t xml:space="preserve">Taj Fort Aguada Resort &amp; Spa</t>
  </si>
  <si>
    <t xml:space="preserve">Sinquerim (North Goa)</t>
  </si>
  <si>
    <t xml:space="preserve">Luxury / honeymoon</t>
  </si>
  <si>
    <t xml:space="preserve">On a hilltop overlooking beach.</t>
  </si>
  <si>
    <t xml:space="preserve">HOT-GOA-07</t>
  </si>
  <si>
    <t xml:space="preserve">Taj Exotica Resort &amp; Spa</t>
  </si>
  <si>
    <t xml:space="preserve">Benaulim (South Goa)</t>
  </si>
  <si>
    <t xml:space="preserve">Luxury / families</t>
  </si>
  <si>
    <t xml:space="preserve">Beachfront South Goa resort.</t>
  </si>
  <si>
    <t xml:space="preserve">HOT-KER-01</t>
  </si>
  <si>
    <t xml:space="preserve">Zostel Alleppey</t>
  </si>
  <si>
    <t xml:space="preserve">Alappuzha town</t>
  </si>
  <si>
    <t xml:space="preserve">Backpacker base; arranges local trips.</t>
  </si>
  <si>
    <t xml:space="preserve">HOT-KER-02</t>
  </si>
  <si>
    <t xml:space="preserve">Shared / Standard Houseboat (Alappuzha, various operators)</t>
  </si>
  <si>
    <t xml:space="preserve">Houseboat</t>
  </si>
  <si>
    <t xml:space="preserve">Alappuzha Finishing Point</t>
  </si>
  <si>
    <t xml:space="preserve">Groups on budget</t>
  </si>
  <si>
    <t xml:space="preserve">Day cruise or basic overnight; choose DTPC-registered operator.</t>
  </si>
  <si>
    <t xml:space="preserve">HOT-KER-03</t>
  </si>
  <si>
    <t xml:space="preserve">Palm Grove Lake Resort</t>
  </si>
  <si>
    <t xml:space="preserve">Alappuzha (Punnamada side)</t>
  </si>
  <si>
    <t xml:space="preserve">Couples / lake views</t>
  </si>
  <si>
    <t xml:space="preserve">Lakeside villas.</t>
  </si>
  <si>
    <t xml:space="preserve">HOT-KER-04</t>
  </si>
  <si>
    <t xml:space="preserve">Punnamada Resort</t>
  </si>
  <si>
    <t xml:space="preserve">Punnamada Lake, Alappuzha</t>
  </si>
  <si>
    <t xml:space="preserve">Couples / boat-race views</t>
  </si>
  <si>
    <t xml:space="preserve">Near Nehru Trophy Boat Race finish point.</t>
  </si>
  <si>
    <t xml:space="preserve">HOT-KER-05</t>
  </si>
  <si>
    <t xml:space="preserve">Premium AC Houseboat (Alappuzha, various operators)</t>
  </si>
  <si>
    <t xml:space="preserve">Alappuzha / Kumarakom</t>
  </si>
  <si>
    <t xml:space="preserve">Honeymoon / special</t>
  </si>
  <si>
    <t xml:space="preserve">Includes meals; AC bedrooms; chef.</t>
  </si>
  <si>
    <t xml:space="preserve">HOT-KER-06</t>
  </si>
  <si>
    <t xml:space="preserve">The Zuri Kumarakom</t>
  </si>
  <si>
    <t xml:space="preserve">Kumarakom</t>
  </si>
  <si>
    <t xml:space="preserve">Lakeside resort with spa.</t>
  </si>
  <si>
    <t xml:space="preserve">HOT-KER-07</t>
  </si>
  <si>
    <t xml:space="preserve">Coconut Lagoon (CGH Earth), Kumarakom</t>
  </si>
  <si>
    <t xml:space="preserve">Heritage Resort</t>
  </si>
  <si>
    <t xml:space="preserve">Kumarakom (boat access)</t>
  </si>
  <si>
    <t xml:space="preserve">Luxury / wellness</t>
  </si>
  <si>
    <t xml:space="preserve">Boat-access resort; tharavad-style villas.</t>
  </si>
  <si>
    <t xml:space="preserve">HOT-AND-01</t>
  </si>
  <si>
    <t xml:space="preserve">ANIIDCO Hotel Megapode Nest</t>
  </si>
  <si>
    <t xml:space="preserve">Govt Hotel</t>
  </si>
  <si>
    <t xml:space="preserve">Port Blair</t>
  </si>
  <si>
    <t xml:space="preserve">Budget in Port Blair</t>
  </si>
  <si>
    <t xml:space="preserve">Govt-run; book early.</t>
  </si>
  <si>
    <t xml:space="preserve">HOT-AND-02</t>
  </si>
  <si>
    <t xml:space="preserve">Hotel Lalaji Bay View</t>
  </si>
  <si>
    <t xml:space="preserve">Port Blair (Marine Hill)</t>
  </si>
  <si>
    <t xml:space="preserve">Port Blair base</t>
  </si>
  <si>
    <t xml:space="preserve">Sea-facing rooms.</t>
  </si>
  <si>
    <t xml:space="preserve">HOT-AND-03</t>
  </si>
  <si>
    <t xml:space="preserve">Pearl Park Beach Resort</t>
  </si>
  <si>
    <t xml:space="preserve">Quiet island stay</t>
  </si>
  <si>
    <t xml:space="preserve">Cottages near beach.</t>
  </si>
  <si>
    <t xml:space="preserve">HOT-AND-04</t>
  </si>
  <si>
    <t xml:space="preserve">Havelock Island Beach Resort</t>
  </si>
  <si>
    <t xml:space="preserve">Havelock (Govind Nagar Beach)</t>
  </si>
  <si>
    <t xml:space="preserve">Beachfront cottages.</t>
  </si>
  <si>
    <t xml:space="preserve">HOT-AND-05</t>
  </si>
  <si>
    <t xml:space="preserve">Symphony Palms Beach Resort</t>
  </si>
  <si>
    <t xml:space="preserve">Havelock (Beach No.5)</t>
  </si>
  <si>
    <t xml:space="preserve">Beachfront resort.</t>
  </si>
  <si>
    <t xml:space="preserve">HOT-AND-06</t>
  </si>
  <si>
    <t xml:space="preserve">Barefoot at Havelock</t>
  </si>
  <si>
    <t xml:space="preserve">Havelock (Beach No.7)</t>
  </si>
  <si>
    <t xml:space="preserve">Eco-luxury</t>
  </si>
  <si>
    <t xml:space="preserve">Eco-resort near Radhanagar.</t>
  </si>
  <si>
    <t xml:space="preserve">HOT-AND-07</t>
  </si>
  <si>
    <t xml:space="preserve">Taj Exotica Resort &amp; Spa, Andamans</t>
  </si>
  <si>
    <t xml:space="preserve">Radhanagar Beach, Havelock</t>
  </si>
  <si>
    <t xml:space="preserve">Honeymoon / luxury</t>
  </si>
  <si>
    <t xml:space="preserve">Beachfront villas.</t>
  </si>
  <si>
    <t xml:space="preserve">HOT-PON-01</t>
  </si>
  <si>
    <t xml:space="preserve">Zostel Pondicherry</t>
  </si>
  <si>
    <t xml:space="preserve">White Town</t>
  </si>
  <si>
    <t xml:space="preserve">Colonial building near Promenade.</t>
  </si>
  <si>
    <t xml:space="preserve">HOT-PON-02</t>
  </si>
  <si>
    <t xml:space="preserve">Park Guest House (Sri Aurobindo Ashram)</t>
  </si>
  <si>
    <t xml:space="preserve">Ashram Guest House</t>
  </si>
  <si>
    <t xml:space="preserve">White Town / Ashram area</t>
  </si>
  <si>
    <t xml:space="preserve">Quiet stays</t>
  </si>
  <si>
    <t xml:space="preserve">Ashram rules; early curfew.</t>
  </si>
  <si>
    <t xml:space="preserve">HOT-PON-03</t>
  </si>
  <si>
    <t xml:space="preserve">Hotel Atithi</t>
  </si>
  <si>
    <t xml:space="preserve">Pondicherry town</t>
  </si>
  <si>
    <t xml:space="preserve">Value stay</t>
  </si>
  <si>
    <t xml:space="preserve">Central.</t>
  </si>
  <si>
    <t xml:space="preserve">HOT-PON-04</t>
  </si>
  <si>
    <t xml:space="preserve">La Villa</t>
  </si>
  <si>
    <t xml:space="preserve">Heritage Boutique</t>
  </si>
  <si>
    <t xml:space="preserve">French villa with garden &amp; pool.</t>
  </si>
  <si>
    <t xml:space="preserve">HOT-PON-05</t>
  </si>
  <si>
    <t xml:space="preserve">Le Dupleix (Neemrana)</t>
  </si>
  <si>
    <t xml:space="preserve">Neemrana heritage property.</t>
  </si>
  <si>
    <t xml:space="preserve">HOT-PON-06</t>
  </si>
  <si>
    <t xml:space="preserve">Palais de Mahe (CGH Earth)</t>
  </si>
  <si>
    <t xml:space="preserve">White Town (Rue Suffren)</t>
  </si>
  <si>
    <t xml:space="preserve">CGH Earth colonial-style hotel.</t>
  </si>
  <si>
    <t xml:space="preserve">HOT-VNS-01</t>
  </si>
  <si>
    <t xml:space="preserve">Zostel Varanasi</t>
  </si>
  <si>
    <t xml:space="preserve">Assi Ghat / Ganga area</t>
  </si>
  <si>
    <t xml:space="preserve">Ghats access; rooftop.</t>
  </si>
  <si>
    <t xml:space="preserve">HOT-VNS-02</t>
  </si>
  <si>
    <t xml:space="preserve">Hotel Alka</t>
  </si>
  <si>
    <t xml:space="preserve">Meer Ghat / Ganga</t>
  </si>
  <si>
    <t xml:space="preserve">Ganga-view budget stay</t>
  </si>
  <si>
    <t xml:space="preserve">Riverfront rooms.</t>
  </si>
  <si>
    <t xml:space="preserve">HOT-VNS-03</t>
  </si>
  <si>
    <t xml:space="preserve">Ganges View Hotel (Assi Ghat)</t>
  </si>
  <si>
    <t xml:space="preserve">Heritage Guesthouse</t>
  </si>
  <si>
    <t xml:space="preserve">Culture seekers</t>
  </si>
  <si>
    <t xml:space="preserve">Historic riverfront bungalow.</t>
  </si>
  <si>
    <t xml:space="preserve">HOT-VNS-04</t>
  </si>
  <si>
    <t xml:space="preserve">Suryauday Haveli</t>
  </si>
  <si>
    <t xml:space="preserve">Shivala Ghat</t>
  </si>
  <si>
    <t xml:space="preserve">Riverfront haveli.</t>
  </si>
  <si>
    <t xml:space="preserve">HOT-VNS-05</t>
  </si>
  <si>
    <t xml:space="preserve">Taj Ganges, Varanasi</t>
  </si>
  <si>
    <t xml:space="preserve">Nadesar Palace Rd</t>
  </si>
  <si>
    <t xml:space="preserve">Away from ghats; gardens.</t>
  </si>
  <si>
    <t xml:space="preserve">HOT-VNS-06</t>
  </si>
  <si>
    <t xml:space="preserve">BrijRama Palace</t>
  </si>
  <si>
    <t xml:space="preserve">Darbhanga Ghat</t>
  </si>
  <si>
    <t xml:space="preserve">Riverfront palace on Ganges.</t>
  </si>
  <si>
    <t xml:space="preserve">HOT-AMR-01</t>
  </si>
  <si>
    <t xml:space="preserve">Zostel Amritsar</t>
  </si>
  <si>
    <t xml:space="preserve">Amritsar city</t>
  </si>
  <si>
    <t xml:space="preserve">Near Golden Temple lanes.</t>
  </si>
  <si>
    <t xml:space="preserve">HOT-AMR-02</t>
  </si>
  <si>
    <t xml:space="preserve">SGPC Guru Ram Das Niwas</t>
  </si>
  <si>
    <t xml:space="preserve">Sarai (donation-based)</t>
  </si>
  <si>
    <t xml:space="preserve">Golden Temple complex</t>
  </si>
  <si>
    <t xml:space="preserve">Pilgrims / thrifty</t>
  </si>
  <si>
    <t xml:space="preserve">Donation-based rooms; basic; limited advance booking.</t>
  </si>
  <si>
    <t xml:space="preserve">HOT-AMR-03</t>
  </si>
  <si>
    <t xml:space="preserve">Hotel Mohan International</t>
  </si>
  <si>
    <t xml:space="preserve">Convenient location.</t>
  </si>
  <si>
    <t xml:space="preserve">HOT-AMR-04</t>
  </si>
  <si>
    <t xml:space="preserve">Radisson Blu Hotel Amritsar</t>
  </si>
  <si>
    <t xml:space="preserve">Chain hotel.</t>
  </si>
  <si>
    <t xml:space="preserve">HOT-AMR-05</t>
  </si>
  <si>
    <t xml:space="preserve">Taj Swarna</t>
  </si>
  <si>
    <t xml:space="preserve">Taj group; Punjabi hospitality.</t>
  </si>
  <si>
    <t xml:space="preserve">HOT-AMR-06</t>
  </si>
  <si>
    <t xml:space="preserve">Ranjit's Svaasa</t>
  </si>
  <si>
    <t xml:space="preserve">Heritage Spa Hotel</t>
  </si>
  <si>
    <t xml:space="preserve">Wellness / luxury</t>
  </si>
  <si>
    <t xml:space="preserve">Heritage-style spa boutique hotel.</t>
  </si>
  <si>
    <t xml:space="preserve">HOT-MYS-01</t>
  </si>
  <si>
    <t xml:space="preserve">Zostel Mysuru</t>
  </si>
  <si>
    <t xml:space="preserve">Mysuru</t>
  </si>
  <si>
    <t xml:space="preserve">Check branch availability.</t>
  </si>
  <si>
    <t xml:space="preserve">HOT-MYS-02</t>
  </si>
  <si>
    <t xml:space="preserve">Hotel Roopa</t>
  </si>
  <si>
    <t xml:space="preserve">Mysuru city</t>
  </si>
  <si>
    <t xml:space="preserve">Value near sights.</t>
  </si>
  <si>
    <t xml:space="preserve">HOT-MYS-03</t>
  </si>
  <si>
    <t xml:space="preserve">Green Hotel (Chittaranjan Palace)</t>
  </si>
  <si>
    <t xml:space="preserve">Heritage feel</t>
  </si>
  <si>
    <t xml:space="preserve">Run by a charitable trust; proceeds support community.</t>
  </si>
  <si>
    <t xml:space="preserve">HOT-MYS-04</t>
  </si>
  <si>
    <t xml:space="preserve">Royal Orchid Metropole</t>
  </si>
  <si>
    <t xml:space="preserve">JLB Road, Mysuru</t>
  </si>
  <si>
    <t xml:space="preserve">Heritage-style hotel.</t>
  </si>
  <si>
    <t xml:space="preserve">HOT-MYS-05</t>
  </si>
  <si>
    <t xml:space="preserve">Grand Mercure Mysore</t>
  </si>
  <si>
    <t xml:space="preserve">Families / business</t>
  </si>
  <si>
    <t xml:space="preserve">Modern facilities.</t>
  </si>
  <si>
    <t xml:space="preserve">HOT-MYS-06</t>
  </si>
  <si>
    <t xml:space="preserve">Lalitha Mahal Palace Hotel</t>
  </si>
  <si>
    <t xml:space="preserve">Near Chamundi Hills</t>
  </si>
  <si>
    <t xml:space="preserve">Heritage / special occasion</t>
  </si>
  <si>
    <t xml:space="preserve">1931 palace hotel.</t>
  </si>
  <si>
    <t xml:space="preserve">HOT-LEH-01</t>
  </si>
  <si>
    <t xml:space="preserve">Homestays in Old Town / Changspa (various)</t>
  </si>
  <si>
    <t xml:space="preserve">Homestay / Guesthouse</t>
  </si>
  <si>
    <t xml:space="preserve">Leh</t>
  </si>
  <si>
    <t xml:space="preserve">Best way to acclimatise; ask about heating &amp; hot water.</t>
  </si>
  <si>
    <t xml:space="preserve">HOT-LEH-02</t>
  </si>
  <si>
    <t xml:space="preserve">Oriental Guest House</t>
  </si>
  <si>
    <t xml:space="preserve">Simple guesthouse; seasonal (May-Oct).</t>
  </si>
  <si>
    <t xml:space="preserve">HOT-LEH-03</t>
  </si>
  <si>
    <t xml:space="preserve">Hotel Lha-Ri-Mo</t>
  </si>
  <si>
    <t xml:space="preserve">Leh town</t>
  </si>
  <si>
    <t xml:space="preserve">Central Leh.</t>
  </si>
  <si>
    <t xml:space="preserve">HOT-LEH-04</t>
  </si>
  <si>
    <t xml:space="preserve">Pangong Tso Tent Camps (various operators)</t>
  </si>
  <si>
    <t xml:space="preserve">Camp</t>
  </si>
  <si>
    <t xml:space="preserve">Pangong Lake</t>
  </si>
  <si>
    <t xml:space="preserve">Lake stay</t>
  </si>
  <si>
    <t xml:space="preserve">Basic to premium tents; limited power; seasonal Jun-Sep.</t>
  </si>
  <si>
    <t xml:space="preserve">HOT-LEH-05</t>
  </si>
  <si>
    <t xml:space="preserve">The Grand Dragon Ladakh</t>
  </si>
  <si>
    <t xml:space="preserve">Leh (Old Road)</t>
  </si>
  <si>
    <t xml:space="preserve">Comfort / families</t>
  </si>
  <si>
    <t xml:space="preserve">One of Leh's larger luxury hotels; verify seasonality.</t>
  </si>
  <si>
    <t xml:space="preserve">HOT-LEH-06</t>
  </si>
  <si>
    <t xml:space="preserve">Stok Palace Heritage Hotel</t>
  </si>
  <si>
    <t xml:space="preserve">Stok village</t>
  </si>
  <si>
    <t xml:space="preserve">Heritage / luxury</t>
  </si>
  <si>
    <t xml:space="preserve">Royal family's palace; views of Stok Kangri.</t>
  </si>
  <si>
    <t xml:space="preserve">HOT-DAR-01</t>
  </si>
  <si>
    <t xml:space="preserve">Zostel Darjeeling</t>
  </si>
  <si>
    <t xml:space="preserve">Darjeeling town</t>
  </si>
  <si>
    <t xml:space="preserve">Hill-station hostel.</t>
  </si>
  <si>
    <t xml:space="preserve">HOT-DAR-02</t>
  </si>
  <si>
    <t xml:space="preserve">Hotel Seven Seventeen</t>
  </si>
  <si>
    <t xml:space="preserve">Value / families</t>
  </si>
  <si>
    <t xml:space="preserve">Mid-range budget option.</t>
  </si>
  <si>
    <t xml:space="preserve">HOT-DAR-03</t>
  </si>
  <si>
    <t xml:space="preserve">Dekeling Resort</t>
  </si>
  <si>
    <t xml:space="preserve">Hooker Road, Darjeeling</t>
  </si>
  <si>
    <t xml:space="preserve">Couples / mountain views</t>
  </si>
  <si>
    <t xml:space="preserve">Traditional hill hotel.</t>
  </si>
  <si>
    <t xml:space="preserve">HOT-DAR-04</t>
  </si>
  <si>
    <t xml:space="preserve">Sinclairs Darjeeling</t>
  </si>
  <si>
    <t xml:space="preserve">Mall area, Darjeeling</t>
  </si>
  <si>
    <t xml:space="preserve">HOT-DAR-05</t>
  </si>
  <si>
    <t xml:space="preserve">Windamere Hotel</t>
  </si>
  <si>
    <t xml:space="preserve">Observatory Hill, Darjeeling</t>
  </si>
  <si>
    <t xml:space="preserve">Heritage / couples</t>
  </si>
  <si>
    <t xml:space="preserve">Colonial-era hotel.</t>
  </si>
  <si>
    <t xml:space="preserve">HOT-DAR-06</t>
  </si>
  <si>
    <t xml:space="preserve">The Elgin</t>
  </si>
  <si>
    <t xml:space="preserve">Colonial-era heritage hotel.</t>
  </si>
  <si>
    <t xml:space="preserve">HOT-DAR-07</t>
  </si>
  <si>
    <t xml:space="preserve">Glenburn Tea Estate</t>
  </si>
  <si>
    <t xml:space="preserve">Tea Estate Bungalow</t>
  </si>
  <si>
    <t xml:space="preserve">Near Darjeeling (Glenburn)</t>
  </si>
  <si>
    <t xml:space="preserve">Luxury / tea lovers</t>
  </si>
  <si>
    <t xml:space="preserve">Full-board plantation stay.</t>
  </si>
  <si>
    <t xml:space="preserve">Restaurant_ID</t>
  </si>
  <si>
    <t xml:space="preserve">Cuisine</t>
  </si>
  <si>
    <t xml:space="preserve">Area</t>
  </si>
  <si>
    <t xml:space="preserve">Price for two - low (INR)</t>
  </si>
  <si>
    <t xml:space="preserve">Price for two - high (INR)</t>
  </si>
  <si>
    <t xml:space="preserve">Veg / Non-veg</t>
  </si>
  <si>
    <t xml:space="preserve">Must try</t>
  </si>
  <si>
    <t xml:space="preserve">RES-DEL-01</t>
  </si>
  <si>
    <t xml:space="preserve">Karim's</t>
  </si>
  <si>
    <t xml:space="preserve">Mughlai / Non-veg</t>
  </si>
  <si>
    <t xml:space="preserve">Iconic eatery</t>
  </si>
  <si>
    <t xml:space="preserve">Jama Masjid, Old Delhi</t>
  </si>
  <si>
    <t xml:space="preserve">Mostly non-veg</t>
  </si>
  <si>
    <t xml:space="preserve">Mutton burra, korma, nihari</t>
  </si>
  <si>
    <t xml:space="preserve">Since 1913; multiple branches.</t>
  </si>
  <si>
    <t xml:space="preserve">RES-DEL-02</t>
  </si>
  <si>
    <t xml:space="preserve">Paranthe Wali Gali</t>
  </si>
  <si>
    <t xml:space="preserve">North Indian / Street</t>
  </si>
  <si>
    <t xml:space="preserve">Street stalls</t>
  </si>
  <si>
    <t xml:space="preserve">Chandni Chowk</t>
  </si>
  <si>
    <t xml:space="preserve">Veg</t>
  </si>
  <si>
    <t xml:space="preserve">Stuffed parathas</t>
  </si>
  <si>
    <t xml:space="preserve">Lane of parantha shops.</t>
  </si>
  <si>
    <t xml:space="preserve">RES-DEL-03</t>
  </si>
  <si>
    <t xml:space="preserve">Old Famous Jalebi Wala</t>
  </si>
  <si>
    <t xml:space="preserve">Street sweets</t>
  </si>
  <si>
    <t xml:space="preserve">Sweet shop</t>
  </si>
  <si>
    <t xml:space="preserve">Dariba Kalan, Chandni Chowk</t>
  </si>
  <si>
    <t xml:space="preserve">Hot jalebi</t>
  </si>
  <si>
    <t xml:space="preserve">Iconic.</t>
  </si>
  <si>
    <t xml:space="preserve">RES-DEL-04</t>
  </si>
  <si>
    <t xml:space="preserve">Saravana Bhavan</t>
  </si>
  <si>
    <t xml:space="preserve">South Indian</t>
  </si>
  <si>
    <t xml:space="preserve">Restaurant chain</t>
  </si>
  <si>
    <t xml:space="preserve">Connaught Place</t>
  </si>
  <si>
    <t xml:space="preserve">Dosa, thali</t>
  </si>
  <si>
    <t xml:space="preserve">Reliable veg chain.</t>
  </si>
  <si>
    <t xml:space="preserve">RES-DEL-05</t>
  </si>
  <si>
    <t xml:space="preserve">Andhra Bhawan Canteen</t>
  </si>
  <si>
    <t xml:space="preserve">Andhra</t>
  </si>
  <si>
    <t xml:space="preserve">Canteen</t>
  </si>
  <si>
    <t xml:space="preserve">Ashoka Road</t>
  </si>
  <si>
    <t xml:space="preserve">Veg &amp; Non-veg</t>
  </si>
  <si>
    <t xml:space="preserve">Andhra meals</t>
  </si>
  <si>
    <t xml:space="preserve">Very cheap, packed at lunch.</t>
  </si>
  <si>
    <t xml:space="preserve">RES-DEL-06</t>
  </si>
  <si>
    <t xml:space="preserve">Bukhara (ITC Maurya)</t>
  </si>
  <si>
    <t xml:space="preserve">North-West Frontier</t>
  </si>
  <si>
    <t xml:space="preserve">Fine dining</t>
  </si>
  <si>
    <t xml:space="preserve">Chanakyapuri</t>
  </si>
  <si>
    <t xml:space="preserve">Non-veg heavy</t>
  </si>
  <si>
    <t xml:space="preserve">Dal Bukhara, sikandari raan</t>
  </si>
  <si>
    <t xml:space="preserve">Reservation needed; dress smart.</t>
  </si>
  <si>
    <t xml:space="preserve">RES-DEL-07</t>
  </si>
  <si>
    <t xml:space="preserve">Indian Accent</t>
  </si>
  <si>
    <t xml:space="preserve">Modern Indian</t>
  </si>
  <si>
    <t xml:space="preserve">Lodhi Road (The Lodhi)</t>
  </si>
  <si>
    <t xml:space="preserve">Chef tasting menu</t>
  </si>
  <si>
    <t xml:space="preserve">Reservation needed.</t>
  </si>
  <si>
    <t xml:space="preserve">RES-AGR-01</t>
  </si>
  <si>
    <t xml:space="preserve">Joney's Place</t>
  </si>
  <si>
    <t xml:space="preserve">Indian / Backpacker</t>
  </si>
  <si>
    <t xml:space="preserve">Cafe</t>
  </si>
  <si>
    <t xml:space="preserve">Taj Ganj</t>
  </si>
  <si>
    <t xml:space="preserve">Veg-focused</t>
  </si>
  <si>
    <t xml:space="preserve">Banana lassi, thali</t>
  </si>
  <si>
    <t xml:space="preserve">Backpacker favourite near Taj.</t>
  </si>
  <si>
    <t xml:space="preserve">RES-AGR-02</t>
  </si>
  <si>
    <t xml:space="preserve">Pinch of Spice</t>
  </si>
  <si>
    <t xml:space="preserve">North Indian</t>
  </si>
  <si>
    <t xml:space="preserve">Restaurant</t>
  </si>
  <si>
    <t xml:space="preserve">Butter chicken, dal</t>
  </si>
  <si>
    <t xml:space="preserve">Popular with tour groups.</t>
  </si>
  <si>
    <t xml:space="preserve">RES-AGR-03</t>
  </si>
  <si>
    <t xml:space="preserve">Panchhi Petha</t>
  </si>
  <si>
    <t xml:space="preserve">Sweets</t>
  </si>
  <si>
    <t xml:space="preserve">Multiple in Agra</t>
  </si>
  <si>
    <t xml:space="preserve">Petha (many flavours)</t>
  </si>
  <si>
    <t xml:space="preserve">Agra's signature sweet.</t>
  </si>
  <si>
    <t xml:space="preserve">RES-AGR-04</t>
  </si>
  <si>
    <t xml:space="preserve">Sheroes Hangout</t>
  </si>
  <si>
    <t xml:space="preserve">Community cafe</t>
  </si>
  <si>
    <t xml:space="preserve">Coffee &amp; snacks</t>
  </si>
  <si>
    <t xml:space="preserve">Cafe run by acid-attack survivors; pay-what-you-like model in some sections.</t>
  </si>
  <si>
    <t xml:space="preserve">RES-AGR-05</t>
  </si>
  <si>
    <t xml:space="preserve">Peshawri (ITC Mughal)</t>
  </si>
  <si>
    <t xml:space="preserve">Sikandari raan, dal</t>
  </si>
  <si>
    <t xml:space="preserve">Reservation recommended.</t>
  </si>
  <si>
    <t xml:space="preserve">RES-AGR-06</t>
  </si>
  <si>
    <t xml:space="preserve">Esphahan (Oberoi Amarvilas)</t>
  </si>
  <si>
    <t xml:space="preserve">Awadhi / Mughlai</t>
  </si>
  <si>
    <t xml:space="preserve">Tasting menu</t>
  </si>
  <si>
    <t xml:space="preserve">Taj-view dining.</t>
  </si>
  <si>
    <t xml:space="preserve">RES-JAI-01</t>
  </si>
  <si>
    <t xml:space="preserve">Laxmi Misthan Bhandar (LMB)</t>
  </si>
  <si>
    <t xml:space="preserve">Rajasthani / Sweets</t>
  </si>
  <si>
    <t xml:space="preserve">Restaurant + sweet shop</t>
  </si>
  <si>
    <t xml:space="preserve">Johari Bazaar</t>
  </si>
  <si>
    <t xml:space="preserve">Dal-baati-churma, ghevar</t>
  </si>
  <si>
    <t xml:space="preserve">Since 1727.</t>
  </si>
  <si>
    <t xml:space="preserve">RES-JAI-02</t>
  </si>
  <si>
    <t xml:space="preserve">Rawat Mishthan Bhandar</t>
  </si>
  <si>
    <t xml:space="preserve">Rajasthani snacks</t>
  </si>
  <si>
    <t xml:space="preserve">Station Road</t>
  </si>
  <si>
    <t xml:space="preserve">Pyaaz kachori, mawa kachori</t>
  </si>
  <si>
    <t xml:space="preserve">Famous breakfast.</t>
  </si>
  <si>
    <t xml:space="preserve">RES-JAI-03</t>
  </si>
  <si>
    <t xml:space="preserve">Handi Restaurant</t>
  </si>
  <si>
    <t xml:space="preserve">Mughlai</t>
  </si>
  <si>
    <t xml:space="preserve">MI Road</t>
  </si>
  <si>
    <t xml:space="preserve">Non-veg</t>
  </si>
  <si>
    <t xml:space="preserve">Laal maas, mutton curry</t>
  </si>
  <si>
    <t xml:space="preserve">Long-running non-veg place.</t>
  </si>
  <si>
    <t xml:space="preserve">RES-JAI-04</t>
  </si>
  <si>
    <t xml:space="preserve">Tapri Central</t>
  </si>
  <si>
    <t xml:space="preserve">C-Scheme</t>
  </si>
  <si>
    <t xml:space="preserve">Chai, snacks</t>
  </si>
  <si>
    <t xml:space="preserve">Terrace cafe; popular with young crowd.</t>
  </si>
  <si>
    <t xml:space="preserve">RES-JAI-05</t>
  </si>
  <si>
    <t xml:space="preserve">Peacock Rooftop Restaurant</t>
  </si>
  <si>
    <t xml:space="preserve">Indian</t>
  </si>
  <si>
    <t xml:space="preserve">Rooftop</t>
  </si>
  <si>
    <t xml:space="preserve">Hotel Pearl Palace</t>
  </si>
  <si>
    <t xml:space="preserve">Thali, tandoor</t>
  </si>
  <si>
    <t xml:space="preserve">City views.</t>
  </si>
  <si>
    <t xml:space="preserve">RES-JAI-06</t>
  </si>
  <si>
    <t xml:space="preserve">Chokhi Dhani</t>
  </si>
  <si>
    <t xml:space="preserve">Rajasthani thali</t>
  </si>
  <si>
    <t xml:space="preserve">Village-theme resort restaurant</t>
  </si>
  <si>
    <t xml:space="preserve">Tonk Road</t>
  </si>
  <si>
    <t xml:space="preserve">Full Rajasthani thali + folk entertainment</t>
  </si>
  <si>
    <t xml:space="preserve">Price is for two; entry incl. show.</t>
  </si>
  <si>
    <t xml:space="preserve">RES-JAI-07</t>
  </si>
  <si>
    <t xml:space="preserve">1135 AD (Amber Fort)</t>
  </si>
  <si>
    <t xml:space="preserve">Royal Rajasthani</t>
  </si>
  <si>
    <t xml:space="preserve">Amber Fort</t>
  </si>
  <si>
    <t xml:space="preserve">Fort-view; reservation needed.</t>
  </si>
  <si>
    <t xml:space="preserve">RES-JAI-08</t>
  </si>
  <si>
    <t xml:space="preserve">Suvarna Mahal (Rambagh Palace)</t>
  </si>
  <si>
    <t xml:space="preserve">Royal Indian</t>
  </si>
  <si>
    <t xml:space="preserve">Royal thali</t>
  </si>
  <si>
    <t xml:space="preserve">Palace hotel dining.</t>
  </si>
  <si>
    <t xml:space="preserve">RES-UDR-01</t>
  </si>
  <si>
    <t xml:space="preserve">Natraj Dining Hall</t>
  </si>
  <si>
    <t xml:space="preserve">Thali</t>
  </si>
  <si>
    <t xml:space="preserve">Old city</t>
  </si>
  <si>
    <t xml:space="preserve">Unlimited Rajasthani thali</t>
  </si>
  <si>
    <t xml:space="preserve">Budget favourite.</t>
  </si>
  <si>
    <t xml:space="preserve">RES-UDR-02</t>
  </si>
  <si>
    <t xml:space="preserve">Ambrai</t>
  </si>
  <si>
    <t xml:space="preserve">Indian / Mughlai</t>
  </si>
  <si>
    <t xml:space="preserve">Lakeview restaurant</t>
  </si>
  <si>
    <t xml:space="preserve">Amet Haveli (Lake Pichola)</t>
  </si>
  <si>
    <t xml:space="preserve">Tandoori dishes</t>
  </si>
  <si>
    <t xml:space="preserve">Romantic; sunset views.</t>
  </si>
  <si>
    <t xml:space="preserve">RES-UDR-03</t>
  </si>
  <si>
    <t xml:space="preserve">Upre by 1559 AD</t>
  </si>
  <si>
    <t xml:space="preserve">Continental / Indian</t>
  </si>
  <si>
    <t xml:space="preserve">Lake Pichola</t>
  </si>
  <si>
    <t xml:space="preserve">Grills</t>
  </si>
  <si>
    <t xml:space="preserve">Lake and City Palace views.</t>
  </si>
  <si>
    <t xml:space="preserve">RES-UDR-04</t>
  </si>
  <si>
    <t xml:space="preserve">Jheel's Ginger Coffee Bar</t>
  </si>
  <si>
    <t xml:space="preserve">Gangaur Ghat</t>
  </si>
  <si>
    <t xml:space="preserve">Coffee, cakes</t>
  </si>
  <si>
    <t xml:space="preserve">Lakeside cafe.</t>
  </si>
  <si>
    <t xml:space="preserve">RES-UDR-05</t>
  </si>
  <si>
    <t xml:space="preserve">Millets of Mewar</t>
  </si>
  <si>
    <t xml:space="preserve">Rajasthani millets</t>
  </si>
  <si>
    <t xml:space="preserve">Millet-based Mewari dishes</t>
  </si>
  <si>
    <t xml:space="preserve">Local millet cuisine.</t>
  </si>
  <si>
    <t xml:space="preserve">RES-UDR-06</t>
  </si>
  <si>
    <t xml:space="preserve">Cafe Edelweiss</t>
  </si>
  <si>
    <t xml:space="preserve">Bakery / Continental</t>
  </si>
  <si>
    <t xml:space="preserve">Lake Pichola Ghat</t>
  </si>
  <si>
    <t xml:space="preserve">German-style bakery items</t>
  </si>
  <si>
    <t xml:space="preserve">Casual.</t>
  </si>
  <si>
    <t xml:space="preserve">RES-HMP-01</t>
  </si>
  <si>
    <t xml:space="preserve">Mango Tree</t>
  </si>
  <si>
    <t xml:space="preserve">Indian / Continental</t>
  </si>
  <si>
    <t xml:space="preserve">Riverside</t>
  </si>
  <si>
    <t xml:space="preserve">Hampi Bazaar (riverside)</t>
  </si>
  <si>
    <t xml:space="preserve">Thali, banana pancakes</t>
  </si>
  <si>
    <t xml:space="preserve">Terraced seating next to river.</t>
  </si>
  <si>
    <t xml:space="preserve">RES-HMP-02</t>
  </si>
  <si>
    <t xml:space="preserve">Laughing Buddha</t>
  </si>
  <si>
    <t xml:space="preserve">Global / Israeli</t>
  </si>
  <si>
    <t xml:space="preserve">Virupapur Gaddi</t>
  </si>
  <si>
    <t xml:space="preserve">Hummus, shakshuka</t>
  </si>
  <si>
    <t xml:space="preserve">Backpacker cafe.</t>
  </si>
  <si>
    <t xml:space="preserve">RES-HMP-03</t>
  </si>
  <si>
    <t xml:space="preserve">Waves Restaurant (Hotel Malligi)</t>
  </si>
  <si>
    <t xml:space="preserve">Karnataka thali</t>
  </si>
  <si>
    <t xml:space="preserve">Comfortable Hospet option.</t>
  </si>
  <si>
    <t xml:space="preserve">RES-HMP-04</t>
  </si>
  <si>
    <t xml:space="preserve">Local dhabas (Hospet Bus Stand area)</t>
  </si>
  <si>
    <t xml:space="preserve">Karnataka meals</t>
  </si>
  <si>
    <t xml:space="preserve">Local meals</t>
  </si>
  <si>
    <t xml:space="preserve">Ragi mudde, jolada rotti</t>
  </si>
  <si>
    <t xml:space="preserve">Cheap local meals.</t>
  </si>
  <si>
    <t xml:space="preserve">RES-AEL-01</t>
  </si>
  <si>
    <t xml:space="preserve">Naivedya Restaurant</t>
  </si>
  <si>
    <t xml:space="preserve">Maharashtrian</t>
  </si>
  <si>
    <t xml:space="preserve">Aurangabad city</t>
  </si>
  <si>
    <t xml:space="preserve">Maharashtrian thali</t>
  </si>
  <si>
    <t xml:space="preserve">Popular with visitors.</t>
  </si>
  <si>
    <t xml:space="preserve">RES-AEL-02</t>
  </si>
  <si>
    <t xml:space="preserve">Hotel Kailas Restaurant</t>
  </si>
  <si>
    <t xml:space="preserve">Ellora</t>
  </si>
  <si>
    <t xml:space="preserve">Lunch after caves</t>
  </si>
  <si>
    <t xml:space="preserve">Near Kailasa Temple.</t>
  </si>
  <si>
    <t xml:space="preserve">RES-AEL-03</t>
  </si>
  <si>
    <t xml:space="preserve">MTDC Ajanta Restaurant</t>
  </si>
  <si>
    <t xml:space="preserve">Govt restaurant</t>
  </si>
  <si>
    <t xml:space="preserve">Simple thali</t>
  </si>
  <si>
    <t xml:space="preserve">Convenient for lunch.</t>
  </si>
  <si>
    <t xml:space="preserve">RES-AEL-04</t>
  </si>
  <si>
    <t xml:space="preserve">Naan Qalia joints (Old City Aurangabad)</t>
  </si>
  <si>
    <t xml:space="preserve">Local eateries</t>
  </si>
  <si>
    <t xml:space="preserve">Aurangabad Old City</t>
  </si>
  <si>
    <t xml:space="preserve">Naan-qalia (mutton curry with naan)</t>
  </si>
  <si>
    <t xml:space="preserve">Local specialty.</t>
  </si>
  <si>
    <t xml:space="preserve">RES-GOA-01</t>
  </si>
  <si>
    <t xml:space="preserve">Vinayak Family Restaurant</t>
  </si>
  <si>
    <t xml:space="preserve">Goan seafood</t>
  </si>
  <si>
    <t xml:space="preserve">Local restaurant</t>
  </si>
  <si>
    <t xml:space="preserve">Assagao / Mapusa</t>
  </si>
  <si>
    <t xml:space="preserve">Fish thali</t>
  </si>
  <si>
    <t xml:space="preserve">Local favourite.</t>
  </si>
  <si>
    <t xml:space="preserve">RES-GOA-02</t>
  </si>
  <si>
    <t xml:space="preserve">Ritz Classic</t>
  </si>
  <si>
    <t xml:space="preserve">Goan</t>
  </si>
  <si>
    <t xml:space="preserve">Panaji</t>
  </si>
  <si>
    <t xml:space="preserve">Goan fish curry rice</t>
  </si>
  <si>
    <t xml:space="preserve">Older Panjim landmark.</t>
  </si>
  <si>
    <t xml:space="preserve">RES-GOA-03</t>
  </si>
  <si>
    <t xml:space="preserve">Britto's</t>
  </si>
  <si>
    <t xml:space="preserve">Seafood / Goan</t>
  </si>
  <si>
    <t xml:space="preserve">Beachfront restaurant</t>
  </si>
  <si>
    <t xml:space="preserve">Baga</t>
  </si>
  <si>
    <t xml:space="preserve">Grilled seafood</t>
  </si>
  <si>
    <t xml:space="preserve">Baga beach institution.</t>
  </si>
  <si>
    <t xml:space="preserve">RES-GOA-04</t>
  </si>
  <si>
    <t xml:space="preserve">Souza Lobo</t>
  </si>
  <si>
    <t xml:space="preserve">Beach restaurant</t>
  </si>
  <si>
    <t xml:space="preserve">Calangute</t>
  </si>
  <si>
    <t xml:space="preserve">Fish curry</t>
  </si>
  <si>
    <t xml:space="preserve">Old-time restaurant.</t>
  </si>
  <si>
    <t xml:space="preserve">RES-GOA-05</t>
  </si>
  <si>
    <t xml:space="preserve">Gunpowder</t>
  </si>
  <si>
    <t xml:space="preserve">South Indian coastal</t>
  </si>
  <si>
    <t xml:space="preserve">Assagao</t>
  </si>
  <si>
    <t xml:space="preserve">Kerala-style fish, Kerala parotta</t>
  </si>
  <si>
    <t xml:space="preserve">Garden setting.</t>
  </si>
  <si>
    <t xml:space="preserve">RES-GOA-06</t>
  </si>
  <si>
    <t xml:space="preserve">Martin's Corner</t>
  </si>
  <si>
    <t xml:space="preserve">Betalbatim (South Goa)</t>
  </si>
  <si>
    <t xml:space="preserve">Rawa fried fish</t>
  </si>
  <si>
    <t xml:space="preserve">Famous South Goa spot.</t>
  </si>
  <si>
    <t xml:space="preserve">RES-GOA-07</t>
  </si>
  <si>
    <t xml:space="preserve">Thalassa</t>
  </si>
  <si>
    <t xml:space="preserve">Greek</t>
  </si>
  <si>
    <t xml:space="preserve">Cliff-top restaurant</t>
  </si>
  <si>
    <t xml:space="preserve">Vagator / Small Vagator</t>
  </si>
  <si>
    <t xml:space="preserve">Greek mezze</t>
  </si>
  <si>
    <t xml:space="preserve">Sunset views; can be crowded.</t>
  </si>
  <si>
    <t xml:space="preserve">RES-KER-01</t>
  </si>
  <si>
    <t xml:space="preserve">Kayees Rahmathulla Cafe</t>
  </si>
  <si>
    <t xml:space="preserve">Malabar / Biryani</t>
  </si>
  <si>
    <t xml:space="preserve">Mattancherry / Fort Kochi</t>
  </si>
  <si>
    <t xml:space="preserve">Biryani, fish fry</t>
  </si>
  <si>
    <t xml:space="preserve">Local institution.</t>
  </si>
  <si>
    <t xml:space="preserve">RES-KER-02</t>
  </si>
  <si>
    <t xml:space="preserve">Kashi Art Cafe</t>
  </si>
  <si>
    <t xml:space="preserve">Continental / Cafe</t>
  </si>
  <si>
    <t xml:space="preserve">Cafe + gallery</t>
  </si>
  <si>
    <t xml:space="preserve">Fort Kochi</t>
  </si>
  <si>
    <t xml:space="preserve">Art gallery ambience.</t>
  </si>
  <si>
    <t xml:space="preserve">RES-KER-03</t>
  </si>
  <si>
    <t xml:space="preserve">Dhe Puttu</t>
  </si>
  <si>
    <t xml:space="preserve">Kochi</t>
  </si>
  <si>
    <t xml:space="preserve">Puttu with curries</t>
  </si>
  <si>
    <t xml:space="preserve">Puttu-themed.</t>
  </si>
  <si>
    <t xml:space="preserve">RES-KER-04</t>
  </si>
  <si>
    <t xml:space="preserve">Kuttanad Toddy Shop Meals</t>
  </si>
  <si>
    <t xml:space="preserve">Kuttanad</t>
  </si>
  <si>
    <t xml:space="preserve">Toddy shop</t>
  </si>
  <si>
    <t xml:space="preserve">Alappuzha / Kumarakom backwaters</t>
  </si>
  <si>
    <t xml:space="preserve">Karimeen pollichathu, duck roast</t>
  </si>
  <si>
    <t xml:space="preserve">Local toddy-shop culture (alcohol served).</t>
  </si>
  <si>
    <t xml:space="preserve">RES-KER-05</t>
  </si>
  <si>
    <t xml:space="preserve">Houseboat meals (on-board)</t>
  </si>
  <si>
    <t xml:space="preserve">On-board dining</t>
  </si>
  <si>
    <t xml:space="preserve">Fish curry, karimeen</t>
  </si>
  <si>
    <t xml:space="preserve">Meals included in houseboat package.</t>
  </si>
  <si>
    <t xml:space="preserve">RES-AND-01</t>
  </si>
  <si>
    <t xml:space="preserve">New Lighthouse Restaurant</t>
  </si>
  <si>
    <t xml:space="preserve">Seafood</t>
  </si>
  <si>
    <t xml:space="preserve">Aberdeen Bazaar, Port Blair</t>
  </si>
  <si>
    <t xml:space="preserve">Lobster / fish</t>
  </si>
  <si>
    <t xml:space="preserve">Popular seafood place.</t>
  </si>
  <si>
    <t xml:space="preserve">RES-AND-02</t>
  </si>
  <si>
    <t xml:space="preserve">Full Moon Cafe</t>
  </si>
  <si>
    <t xml:space="preserve">Cafe / Seafood</t>
  </si>
  <si>
    <t xml:space="preserve">Beach cafe</t>
  </si>
  <si>
    <t xml:space="preserve">Fresh catch, coffee</t>
  </si>
  <si>
    <t xml:space="preserve">Beach vibe.</t>
  </si>
  <si>
    <t xml:space="preserve">RES-AND-03</t>
  </si>
  <si>
    <t xml:space="preserve">Anju Coco Resto</t>
  </si>
  <si>
    <t xml:space="preserve">Andaman seafood</t>
  </si>
  <si>
    <t xml:space="preserve">Havelock</t>
  </si>
  <si>
    <t xml:space="preserve">Fresh fish</t>
  </si>
  <si>
    <t xml:space="preserve">RES-AND-04</t>
  </si>
  <si>
    <t xml:space="preserve">Local thali joints (Aberdeen Bazaar)</t>
  </si>
  <si>
    <t xml:space="preserve">Budget meals.</t>
  </si>
  <si>
    <t xml:space="preserve">RES-PON-01</t>
  </si>
  <si>
    <t xml:space="preserve">Le Cafe</t>
  </si>
  <si>
    <t xml:space="preserve">Cafe / Continental</t>
  </si>
  <si>
    <t xml:space="preserve">Seafront cafe</t>
  </si>
  <si>
    <t xml:space="preserve">Goubert Salai (Promenade)</t>
  </si>
  <si>
    <t xml:space="preserve">Coffee, sandwiches</t>
  </si>
  <si>
    <t xml:space="preserve">Open long hours.</t>
  </si>
  <si>
    <t xml:space="preserve">RES-PON-02</t>
  </si>
  <si>
    <t xml:space="preserve">Baker Street</t>
  </si>
  <si>
    <t xml:space="preserve">French bakery</t>
  </si>
  <si>
    <t xml:space="preserve">Rue Suffren area</t>
  </si>
  <si>
    <t xml:space="preserve">Croissants, baguette</t>
  </si>
  <si>
    <t xml:space="preserve">French-style bakery.</t>
  </si>
  <si>
    <t xml:space="preserve">RES-PON-03</t>
  </si>
  <si>
    <t xml:space="preserve">Villa Shanti (restaurant)</t>
  </si>
  <si>
    <t xml:space="preserve">French-Indian fusion</t>
  </si>
  <si>
    <t xml:space="preserve">Fusion tasting</t>
  </si>
  <si>
    <t xml:space="preserve">Courtyard dining.</t>
  </si>
  <si>
    <t xml:space="preserve">RES-PON-04</t>
  </si>
  <si>
    <t xml:space="preserve">Cafe des Arts</t>
  </si>
  <si>
    <t xml:space="preserve">Suffren Street</t>
  </si>
  <si>
    <t xml:space="preserve">Coffee, pastries</t>
  </si>
  <si>
    <t xml:space="preserve">Artsy cafe.</t>
  </si>
  <si>
    <t xml:space="preserve">RES-PON-05</t>
  </si>
  <si>
    <t xml:space="preserve">Surguru</t>
  </si>
  <si>
    <t xml:space="preserve">Meals, dosa</t>
  </si>
  <si>
    <t xml:space="preserve">RES-PON-06</t>
  </si>
  <si>
    <t xml:space="preserve">Bay of Bengal</t>
  </si>
  <si>
    <t xml:space="preserve">Pondicherry</t>
  </si>
  <si>
    <t xml:space="preserve">Local seafood.</t>
  </si>
  <si>
    <t xml:space="preserve">RES-PON-07</t>
  </si>
  <si>
    <t xml:space="preserve">Kasha Ki Aasha</t>
  </si>
  <si>
    <t xml:space="preserve">Salads, sandwiches</t>
  </si>
  <si>
    <t xml:space="preserve">Popular cafe.</t>
  </si>
  <si>
    <t xml:space="preserve">RES-VNS-01</t>
  </si>
  <si>
    <t xml:space="preserve">Blue Lassi Shop</t>
  </si>
  <si>
    <t xml:space="preserve">Lassi / Snacks</t>
  </si>
  <si>
    <t xml:space="preserve">Lassi shop</t>
  </si>
  <si>
    <t xml:space="preserve">Kachori Gali</t>
  </si>
  <si>
    <t xml:space="preserve">Fruit &amp; Banarasi lassi</t>
  </si>
  <si>
    <t xml:space="preserve">Famous lassi shop.</t>
  </si>
  <si>
    <t xml:space="preserve">RES-VNS-02</t>
  </si>
  <si>
    <t xml:space="preserve">Kashi Chat Bhandar</t>
  </si>
  <si>
    <t xml:space="preserve">Chaat</t>
  </si>
  <si>
    <t xml:space="preserve">Street food</t>
  </si>
  <si>
    <t xml:space="preserve">Godowlia</t>
  </si>
  <si>
    <t xml:space="preserve">Tamatar chaat</t>
  </si>
  <si>
    <t xml:space="preserve">Iconic chaat.</t>
  </si>
  <si>
    <t xml:space="preserve">RES-VNS-03</t>
  </si>
  <si>
    <t xml:space="preserve">Brown Bread Bakery</t>
  </si>
  <si>
    <t xml:space="preserve">Old City (Kalika Gali)</t>
  </si>
  <si>
    <t xml:space="preserve">Breakfast, coffee</t>
  </si>
  <si>
    <t xml:space="preserve">Fair-trade/charity-backed cafe.</t>
  </si>
  <si>
    <t xml:space="preserve">RES-VNS-04</t>
  </si>
  <si>
    <t xml:space="preserve">Deena Chat Bhandar</t>
  </si>
  <si>
    <t xml:space="preserve">Chowk</t>
  </si>
  <si>
    <t xml:space="preserve">Tamatar chaat, tikki</t>
  </si>
  <si>
    <t xml:space="preserve">Old-city favourite.</t>
  </si>
  <si>
    <t xml:space="preserve">RES-VNS-05</t>
  </si>
  <si>
    <t xml:space="preserve">Pizzeria Vaatika Cafe</t>
  </si>
  <si>
    <t xml:space="preserve">Italian / Indian</t>
  </si>
  <si>
    <t xml:space="preserve">Riverside cafe</t>
  </si>
  <si>
    <t xml:space="preserve">Pizza, pasta</t>
  </si>
  <si>
    <t xml:space="preserve">Rooftop Ganges view.</t>
  </si>
  <si>
    <t xml:space="preserve">RES-AMR-01</t>
  </si>
  <si>
    <t xml:space="preserve">Kesar Da Dhaba</t>
  </si>
  <si>
    <t xml:space="preserve">Punjabi</t>
  </si>
  <si>
    <t xml:space="preserve">Dhaba</t>
  </si>
  <si>
    <t xml:space="preserve">Near Golden Temple</t>
  </si>
  <si>
    <t xml:space="preserve">Dal makhani, paratha</t>
  </si>
  <si>
    <t xml:space="preserve">Since 1916.</t>
  </si>
  <si>
    <t xml:space="preserve">RES-AMR-02</t>
  </si>
  <si>
    <t xml:space="preserve">Bharawan Da Dhaba</t>
  </si>
  <si>
    <t xml:space="preserve">Town Hall</t>
  </si>
  <si>
    <t xml:space="preserve">Amritsari kulcha</t>
  </si>
  <si>
    <t xml:space="preserve">Old dhaba.</t>
  </si>
  <si>
    <t xml:space="preserve">RES-AMR-03</t>
  </si>
  <si>
    <t xml:space="preserve">Kulcha Land</t>
  </si>
  <si>
    <t xml:space="preserve">Kulcha</t>
  </si>
  <si>
    <t xml:space="preserve">Popular chain.</t>
  </si>
  <si>
    <t xml:space="preserve">RES-AMR-04</t>
  </si>
  <si>
    <t xml:space="preserve">Beera Chicken House</t>
  </si>
  <si>
    <t xml:space="preserve">Tandoori chicken</t>
  </si>
  <si>
    <t xml:space="preserve">Local non-veg favourite.</t>
  </si>
  <si>
    <t xml:space="preserve">RES-AMR-05</t>
  </si>
  <si>
    <t xml:space="preserve">Gurdas Ram Jalebi Wala</t>
  </si>
  <si>
    <t xml:space="preserve">Jalebi Chowk / Katra Ahluwalia</t>
  </si>
  <si>
    <t xml:space="preserve">RES-AMR-06</t>
  </si>
  <si>
    <t xml:space="preserve">Guru Ram Das Langar (Golden Temple)</t>
  </si>
  <si>
    <t xml:space="preserve">Community kitchen (free)</t>
  </si>
  <si>
    <t xml:space="preserve">Dal, roti, kheer</t>
  </si>
  <si>
    <t xml:space="preserve">Free 24-hour community meal; volunteer welcome.</t>
  </si>
  <si>
    <t xml:space="preserve">RES-MYS-01</t>
  </si>
  <si>
    <t xml:space="preserve">Mylari Hotel</t>
  </si>
  <si>
    <t xml:space="preserve">South Indian breakfast</t>
  </si>
  <si>
    <t xml:space="preserve">Nazarbad, Mysuru</t>
  </si>
  <si>
    <t xml:space="preserve">Mylari dosa</t>
  </si>
  <si>
    <t xml:space="preserve">Set dosas.</t>
  </si>
  <si>
    <t xml:space="preserve">RES-MYS-02</t>
  </si>
  <si>
    <t xml:space="preserve">RRR Restaurant</t>
  </si>
  <si>
    <t xml:space="preserve">Andhra / Karnataka</t>
  </si>
  <si>
    <t xml:space="preserve">Gandhi Square</t>
  </si>
  <si>
    <t xml:space="preserve">Andhra meals, chicken</t>
  </si>
  <si>
    <t xml:space="preserve">Beloved local non-veg.</t>
  </si>
  <si>
    <t xml:space="preserve">RES-MYS-03</t>
  </si>
  <si>
    <t xml:space="preserve">Guru Sweet Mart</t>
  </si>
  <si>
    <t xml:space="preserve">Mysore Pak</t>
  </si>
  <si>
    <t xml:space="preserve">Sweet shop tied to Mysore Pak's history.</t>
  </si>
  <si>
    <t xml:space="preserve">RES-MYS-04</t>
  </si>
  <si>
    <t xml:space="preserve">Dasaprakash</t>
  </si>
  <si>
    <t xml:space="preserve">Long-standing veg.</t>
  </si>
  <si>
    <t xml:space="preserve">RES-LEH-01</t>
  </si>
  <si>
    <t xml:space="preserve">The Tibetan Kitchen</t>
  </si>
  <si>
    <t xml:space="preserve">Tibetan</t>
  </si>
  <si>
    <t xml:space="preserve">Fort Road, Leh</t>
  </si>
  <si>
    <t xml:space="preserve">Thukpa, momos</t>
  </si>
  <si>
    <t xml:space="preserve">Well-known.</t>
  </si>
  <si>
    <t xml:space="preserve">RES-LEH-02</t>
  </si>
  <si>
    <t xml:space="preserve">Chopsticks Noodle Bar</t>
  </si>
  <si>
    <t xml:space="preserve">Tibetan / Asian</t>
  </si>
  <si>
    <t xml:space="preserve">Leh Main Market</t>
  </si>
  <si>
    <t xml:space="preserve">RES-LEH-03</t>
  </si>
  <si>
    <t xml:space="preserve">Bon Appetit</t>
  </si>
  <si>
    <t xml:space="preserve">Ladakhi / Continental</t>
  </si>
  <si>
    <t xml:space="preserve">Ladakhi dishes</t>
  </si>
  <si>
    <t xml:space="preserve">Popular.</t>
  </si>
  <si>
    <t xml:space="preserve">RES-LEH-04</t>
  </si>
  <si>
    <t xml:space="preserve">Gesmo Restaurant</t>
  </si>
  <si>
    <t xml:space="preserve">Bakery / Cafe</t>
  </si>
  <si>
    <t xml:space="preserve">Cakes, coffee</t>
  </si>
  <si>
    <t xml:space="preserve">Bakery cafe.</t>
  </si>
  <si>
    <t xml:space="preserve">RES-LEH-05</t>
  </si>
  <si>
    <t xml:space="preserve">German Bakeries (Leh Bazaar)</t>
  </si>
  <si>
    <t xml:space="preserve">Bakery</t>
  </si>
  <si>
    <t xml:space="preserve">Bakeries</t>
  </si>
  <si>
    <t xml:space="preserve">Leh Main Bazaar</t>
  </si>
  <si>
    <t xml:space="preserve">Apricot cake, coffee</t>
  </si>
  <si>
    <t xml:space="preserve">Tourist staple.</t>
  </si>
  <si>
    <t xml:space="preserve">RES-DAR-01</t>
  </si>
  <si>
    <t xml:space="preserve">Keventer's</t>
  </si>
  <si>
    <t xml:space="preserve">Continental</t>
  </si>
  <si>
    <t xml:space="preserve">Rooftop cafe</t>
  </si>
  <si>
    <t xml:space="preserve">Nehru Road (Chowrasta)</t>
  </si>
  <si>
    <t xml:space="preserve">Sausages, breakfast</t>
  </si>
  <si>
    <t xml:space="preserve">Classic rooftop breakfast.</t>
  </si>
  <si>
    <t xml:space="preserve">RES-DAR-02</t>
  </si>
  <si>
    <t xml:space="preserve">Glenary's</t>
  </si>
  <si>
    <t xml:space="preserve">Bakery + restaurant</t>
  </si>
  <si>
    <t xml:space="preserve">Mall Road</t>
  </si>
  <si>
    <t xml:space="preserve">Cakes, tea</t>
  </si>
  <si>
    <t xml:space="preserve">Colonial bakery.</t>
  </si>
  <si>
    <t xml:space="preserve">RES-DAR-03</t>
  </si>
  <si>
    <t xml:space="preserve">Kunga Restaurant</t>
  </si>
  <si>
    <t xml:space="preserve">Local eatery</t>
  </si>
  <si>
    <t xml:space="preserve">Nehru Road / Mall</t>
  </si>
  <si>
    <t xml:space="preserve">Momos, thukpa</t>
  </si>
  <si>
    <t xml:space="preserve">RES-DAR-04</t>
  </si>
  <si>
    <t xml:space="preserve">Sonam's Kitchen</t>
  </si>
  <si>
    <t xml:space="preserve">Momos</t>
  </si>
  <si>
    <t xml:space="preserve">RES-DAR-05</t>
  </si>
  <si>
    <t xml:space="preserve">Hasty Tasty</t>
  </si>
  <si>
    <t xml:space="preserve">Indian / Nepali</t>
  </si>
  <si>
    <t xml:space="preserve">Local budget.</t>
  </si>
  <si>
    <t xml:space="preserve">RES-DAR-06</t>
  </si>
  <si>
    <t xml:space="preserve">Frank Ross</t>
  </si>
  <si>
    <t xml:space="preserve">Steak, pizza</t>
  </si>
  <si>
    <t xml:space="preserve">Old favourite.</t>
  </si>
  <si>
    <t xml:space="preserve">Mode</t>
  </si>
  <si>
    <t xml:space="preserve">Route / service</t>
  </si>
  <si>
    <t xml:space="preserve">Typical duration</t>
  </si>
  <si>
    <t xml:space="preserve">Cost low (INR)</t>
  </si>
  <si>
    <t xml:space="preserve">Cost high (INR)</t>
  </si>
  <si>
    <t xml:space="preserve">Unit</t>
  </si>
  <si>
    <t xml:space="preserve">Getting there</t>
  </si>
  <si>
    <t xml:space="preserve">Flight</t>
  </si>
  <si>
    <t xml:space="preserve">Any metro city -&gt; DEL (IGI Airport)</t>
  </si>
  <si>
    <t xml:space="preserve">1.5-3 h from major metros</t>
  </si>
  <si>
    <t xml:space="preserve">per person one-way</t>
  </si>
  <si>
    <t xml:space="preserve">Book 3-4 weeks ahead for lowest fares.</t>
  </si>
  <si>
    <t xml:space="preserve">Train</t>
  </si>
  <si>
    <t xml:space="preserve">Major metros -&gt; New Delhi / Old Delhi / H. Nizamuddin</t>
  </si>
  <si>
    <t xml:space="preserve">Rajdhani ~16-17 h from Mumbai/Kolkata</t>
  </si>
  <si>
    <t xml:space="preserve">per person (3AC-2AC)</t>
  </si>
  <si>
    <t xml:space="preserve">Use IRCTC; Tatkal opens 1 day earlier.</t>
  </si>
  <si>
    <t xml:space="preserve">Local</t>
  </si>
  <si>
    <t xml:space="preserve">Metro</t>
  </si>
  <si>
    <t xml:space="preserve">Delhi Metro (Airport Express to New Delhi)</t>
  </si>
  <si>
    <t xml:space="preserve">20 min</t>
  </si>
  <si>
    <t xml:space="preserve">per ride</t>
  </si>
  <si>
    <t xml:space="preserve">Most efficient; Airport Express ~Rs60 to New Delhi.</t>
  </si>
  <si>
    <t xml:space="preserve">App cab / auto</t>
  </si>
  <si>
    <t xml:space="preserve">Ola / Uber / Rapido</t>
  </si>
  <si>
    <t xml:space="preserve">varies</t>
  </si>
  <si>
    <t xml:space="preserve">per short-to-medium ride</t>
  </si>
  <si>
    <t xml:space="preserve">Autos are metered in principle; app cabs ~Rs12-18/km.</t>
  </si>
  <si>
    <t xml:space="preserve">Cycle-rickshaw / e-rickshaw</t>
  </si>
  <si>
    <t xml:space="preserve">Old Delhi lanes</t>
  </si>
  <si>
    <t xml:space="preserve">10-30 min</t>
  </si>
  <si>
    <t xml:space="preserve">Agree price first.</t>
  </si>
  <si>
    <t xml:space="preserve">Hop-on Hop-off / sightseeing cab</t>
  </si>
  <si>
    <t xml:space="preserve">Full-day city tour by cab</t>
  </si>
  <si>
    <t xml:space="preserve">8 h</t>
  </si>
  <si>
    <t xml:space="preserve">per vehicle</t>
  </si>
  <si>
    <t xml:space="preserve">Typically 8 h / 80 km.</t>
  </si>
  <si>
    <t xml:space="preserve">Delhi (H. Nizamuddin) -&gt; Agra Cantt (Gatimaan Express / Shatabdi / Vande Bharat variants)</t>
  </si>
  <si>
    <t xml:space="preserve">~1 h 40 min - 2 h</t>
  </si>
  <si>
    <t xml:space="preserve">per person (CC/EC)</t>
  </si>
  <si>
    <t xml:space="preserve">Fastest option; Gatimaan Express does not run Fridays (verify current schedule).</t>
  </si>
  <si>
    <t xml:space="preserve">Road</t>
  </si>
  <si>
    <t xml:space="preserve">Delhi -&gt; Agra via Yamuna Expressway</t>
  </si>
  <si>
    <t xml:space="preserve">3.5-4.5 h</t>
  </si>
  <si>
    <t xml:space="preserve">One-way private cab; tolls included in most quotes.</t>
  </si>
  <si>
    <t xml:space="preserve">Bus</t>
  </si>
  <si>
    <t xml:space="preserve">Delhi -&gt; Agra (UPSRTC / private AC)</t>
  </si>
  <si>
    <t xml:space="preserve">4.5-6 h</t>
  </si>
  <si>
    <t xml:space="preserve">per person</t>
  </si>
  <si>
    <t xml:space="preserve">E-rickshaw / tonga</t>
  </si>
  <si>
    <t xml:space="preserve">Taj Ganj / Taj East Gate</t>
  </si>
  <si>
    <t xml:space="preserve">short</t>
  </si>
  <si>
    <t xml:space="preserve">Petrol vehicles restricted near Taj; use electric/rickshaw.</t>
  </si>
  <si>
    <t xml:space="preserve">App cab</t>
  </si>
  <si>
    <t xml:space="preserve">Ola / Uber</t>
  </si>
  <si>
    <t xml:space="preserve">Full-day sightseeing cab</t>
  </si>
  <si>
    <t xml:space="preserve">Taj + Agra Fort + Fatehpur Sikri</t>
  </si>
  <si>
    <t xml:space="preserve">8-10 h</t>
  </si>
  <si>
    <t xml:space="preserve">Delhi -&gt; Jaipur (Vande Bharat / Shatabdi / Ajmer Shatabdi)</t>
  </si>
  <si>
    <t xml:space="preserve">~4.5 h</t>
  </si>
  <si>
    <t xml:space="preserve">Delhi -&gt; Jaipur via NH48</t>
  </si>
  <si>
    <t xml:space="preserve">5-6 h</t>
  </si>
  <si>
    <t xml:space="preserve">Delhi -&gt; Jaipur (RSRTC Volvo)</t>
  </si>
  <si>
    <t xml:space="preserve">Jaipur Metro (Mansarovar-Badi Chaupar)</t>
  </si>
  <si>
    <t xml:space="preserve">~15-20 min</t>
  </si>
  <si>
    <t xml:space="preserve">Reaches Old City edge.</t>
  </si>
  <si>
    <t xml:space="preserve">Auto-rickshaw</t>
  </si>
  <si>
    <t xml:space="preserve">City rides</t>
  </si>
  <si>
    <t xml:space="preserve">15-30 min</t>
  </si>
  <si>
    <t xml:space="preserve">Negotiate or use app.</t>
  </si>
  <si>
    <t xml:space="preserve">Amber + City Palace + Hawa Mahal + Nahargarh</t>
  </si>
  <si>
    <t xml:space="preserve">8 h / 80 km typical.</t>
  </si>
  <si>
    <t xml:space="preserve">Delhi/Mumbai/Bengaluru -&gt; Udaipur (UDR)</t>
  </si>
  <si>
    <t xml:space="preserve">1.5-2.5 h</t>
  </si>
  <si>
    <t xml:space="preserve">Delhi/Jaipur/Ahmedabad -&gt; Udaipur City</t>
  </si>
  <si>
    <t xml:space="preserve">overnight 10-12 h from Delhi</t>
  </si>
  <si>
    <t xml:space="preserve">Jaipur -&gt; Udaipur (RSRTC/private)</t>
  </si>
  <si>
    <t xml:space="preserve">7-9 h</t>
  </si>
  <si>
    <t xml:space="preserve">Old city to Fateh Sagar</t>
  </si>
  <si>
    <t xml:space="preserve">10-20 min</t>
  </si>
  <si>
    <t xml:space="preserve">Scooter rental</t>
  </si>
  <si>
    <t xml:space="preserve">Day rental</t>
  </si>
  <si>
    <t xml:space="preserve">-</t>
  </si>
  <si>
    <t xml:space="preserve">per day</t>
  </si>
  <si>
    <t xml:space="preserve">Day-trip cab</t>
  </si>
  <si>
    <t xml:space="preserve">Kumbhalgarh + Ranakpur (~180 km)</t>
  </si>
  <si>
    <t xml:space="preserve">Bengaluru -&gt; Hosapete (Hampi Express / other overnight trains)</t>
  </si>
  <si>
    <t xml:space="preserve">~8-11 h</t>
  </si>
  <si>
    <t xml:space="preserve">Bengaluru -&gt; Hospet (KSRTC / private sleeper)</t>
  </si>
  <si>
    <t xml:space="preserve">8-9 h</t>
  </si>
  <si>
    <t xml:space="preserve">Common overnight option.</t>
  </si>
  <si>
    <t xml:space="preserve">Jindal Vijaynagar (VDY) / Hubballi (HBX)</t>
  </si>
  <si>
    <t xml:space="preserve">Limited routes; check current schedule.</t>
  </si>
  <si>
    <t xml:space="preserve">Bus / auto</t>
  </si>
  <si>
    <t xml:space="preserve">Hospet -&gt; Hampi (13 km)</t>
  </si>
  <si>
    <t xml:space="preserve">20-30 min</t>
  </si>
  <si>
    <t xml:space="preserve">per person (bus) / per auto</t>
  </si>
  <si>
    <t xml:space="preserve">Bicycle rental</t>
  </si>
  <si>
    <t xml:space="preserve">Day</t>
  </si>
  <si>
    <t xml:space="preserve">Great way to explore ruins.</t>
  </si>
  <si>
    <t xml:space="preserve">Scooter / EV rental</t>
  </si>
  <si>
    <t xml:space="preserve">Auto day-tour</t>
  </si>
  <si>
    <t xml:space="preserve">Main sites</t>
  </si>
  <si>
    <t xml:space="preserve">6-8 h</t>
  </si>
  <si>
    <t xml:space="preserve">Mumbai/Delhi/Hyderabad/Bengaluru -&gt; Chhatrapati Sambhajinagar (IXU)</t>
  </si>
  <si>
    <t xml:space="preserve">1-2 h</t>
  </si>
  <si>
    <t xml:space="preserve">Mumbai -&gt; Chhatrapati Sambhajinagar (Devgiri Exp / Jan Shatabdi)</t>
  </si>
  <si>
    <t xml:space="preserve">~6-7 h</t>
  </si>
  <si>
    <t xml:space="preserve">Taxi</t>
  </si>
  <si>
    <t xml:space="preserve">Aurangabad -&gt; Ellora (30 km) round trip</t>
  </si>
  <si>
    <t xml:space="preserve">~1 h each way</t>
  </si>
  <si>
    <t xml:space="preserve">Add Daulatabad / Grishneshwar.</t>
  </si>
  <si>
    <t xml:space="preserve">Aurangabad -&gt; Ajanta (~105 km) round trip</t>
  </si>
  <si>
    <t xml:space="preserve">2.5-3 h each way</t>
  </si>
  <si>
    <t xml:space="preserve">Full-day; closed Monday.</t>
  </si>
  <si>
    <t xml:space="preserve">MSRTC bus</t>
  </si>
  <si>
    <t xml:space="preserve">Aurangabad -&gt; Ellora</t>
  </si>
  <si>
    <t xml:space="preserve">~1-1.5 h</t>
  </si>
  <si>
    <t xml:space="preserve">MTDC / shuttle bus</t>
  </si>
  <si>
    <t xml:space="preserve">Ajanta T-junction -&gt; caves</t>
  </si>
  <si>
    <t xml:space="preserve">~15 min</t>
  </si>
  <si>
    <t xml:space="preserve">Private vehicles stop at T-junction.</t>
  </si>
  <si>
    <t xml:space="preserve">Delhi/Mumbai/Bengaluru -&gt; Goa (GOX Mopa or GOI Dabolim)</t>
  </si>
  <si>
    <t xml:space="preserve">Mopa serves North Goa.</t>
  </si>
  <si>
    <t xml:space="preserve">Mumbai -&gt; Madgaon (Vande Bharat / Konkan Rly)</t>
  </si>
  <si>
    <t xml:space="preserve">~8-12 h</t>
  </si>
  <si>
    <t xml:space="preserve">Konkan Railway scenic route.</t>
  </si>
  <si>
    <t xml:space="preserve">Mumbai/Pune/Bengaluru -&gt; Panaji (private sleepers / Kadamba)</t>
  </si>
  <si>
    <t xml:space="preserve">10-14 h</t>
  </si>
  <si>
    <t xml:space="preserve">Scooter / bike rental</t>
  </si>
  <si>
    <t xml:space="preserve">Per day</t>
  </si>
  <si>
    <t xml:space="preserve">Need valid licence; helmets mandatory.</t>
  </si>
  <si>
    <t xml:space="preserve">GoaMiles app / local taxis</t>
  </si>
  <si>
    <t xml:space="preserve">per trip</t>
  </si>
  <si>
    <t xml:space="preserve">Fixed rates via app; local taxis expensive.</t>
  </si>
  <si>
    <t xml:space="preserve">Kadamba / state bus</t>
  </si>
  <si>
    <t xml:space="preserve">Panaji - Mapusa / Margao</t>
  </si>
  <si>
    <t xml:space="preserve">Motorcycle taxi (pilot)</t>
  </si>
  <si>
    <t xml:space="preserve">Short hops</t>
  </si>
  <si>
    <t xml:space="preserve">Delhi/Mumbai/Bengaluru -&gt; Cochin (COK)</t>
  </si>
  <si>
    <t xml:space="preserve">2-3 h</t>
  </si>
  <si>
    <t xml:space="preserve">Ernakulam / Thiruvananthapuram -&gt; Alappuzha</t>
  </si>
  <si>
    <t xml:space="preserve">1.25-3 h</t>
  </si>
  <si>
    <t xml:space="preserve">Alappuzha is on main coastal line.</t>
  </si>
  <si>
    <t xml:space="preserve">Cab</t>
  </si>
  <si>
    <t xml:space="preserve">Kochi Airport -&gt; Alleppey</t>
  </si>
  <si>
    <t xml:space="preserve">~2 h</t>
  </si>
  <si>
    <t xml:space="preserve">~85 km.</t>
  </si>
  <si>
    <t xml:space="preserve">Public boat (SWTD)</t>
  </si>
  <si>
    <t xml:space="preserve">Alappuzha &lt;-&gt; Kottayam ferry</t>
  </si>
  <si>
    <t xml:space="preserve">~2.5 h</t>
  </si>
  <si>
    <t xml:space="preserve">Scenic public backwater boat (verify latest fare).</t>
  </si>
  <si>
    <t xml:space="preserve">Shikara / canoe</t>
  </si>
  <si>
    <t xml:space="preserve">Village canal tours</t>
  </si>
  <si>
    <t xml:space="preserve">per boat/person</t>
  </si>
  <si>
    <t xml:space="preserve">Shared or private.</t>
  </si>
  <si>
    <t xml:space="preserve">Town rides</t>
  </si>
  <si>
    <t xml:space="preserve">Chennai / Kolkata / Delhi / Bengaluru -&gt; Port Blair (IXZ)</t>
  </si>
  <si>
    <t xml:space="preserve">2-3.5 h</t>
  </si>
  <si>
    <t xml:space="preserve">Book early; Dec-Jan very expensive.</t>
  </si>
  <si>
    <t xml:space="preserve">Ship</t>
  </si>
  <si>
    <t xml:space="preserve">Chennai / Kolkata / Visakhapatnam -&gt; Port Blair (govt ships)</t>
  </si>
  <si>
    <t xml:space="preserve">3-4 days</t>
  </si>
  <si>
    <t xml:space="preserve">Slow; check current SCI schedule.</t>
  </si>
  <si>
    <t xml:space="preserve">Ferry (private)</t>
  </si>
  <si>
    <t xml:space="preserve">Port Blair -&gt; Havelock (Makruzz / Green Ocean / Nautika)</t>
  </si>
  <si>
    <t xml:space="preserve">1.5-2 h</t>
  </si>
  <si>
    <t xml:space="preserve">Book via official operator sites; weather cancellations common.</t>
  </si>
  <si>
    <t xml:space="preserve">Ferry (govt)</t>
  </si>
  <si>
    <t xml:space="preserve">Port Blair -&gt; Havelock / Neil</t>
  </si>
  <si>
    <t xml:space="preserve">2.5-4 h</t>
  </si>
  <si>
    <t xml:space="preserve">Cheaper; harder to book.</t>
  </si>
  <si>
    <t xml:space="preserve">Inter-island ferry</t>
  </si>
  <si>
    <t xml:space="preserve">Havelock &lt;-&gt; Neil</t>
  </si>
  <si>
    <t xml:space="preserve">~1 h</t>
  </si>
  <si>
    <t xml:space="preserve">Havelock / Neil</t>
  </si>
  <si>
    <t xml:space="preserve">Airport -&gt; Port Blair town</t>
  </si>
  <si>
    <t xml:space="preserve">15-20 min</t>
  </si>
  <si>
    <t xml:space="preserve">Chennai -&gt; Pondicherry (ECR)</t>
  </si>
  <si>
    <t xml:space="preserve">~3-3.5 h</t>
  </si>
  <si>
    <t xml:space="preserve">Scenic East Coast Road.</t>
  </si>
  <si>
    <t xml:space="preserve">Chennai (CMBT) -&gt; Pondicherry (TNSTC / PRTC / private AC)</t>
  </si>
  <si>
    <t xml:space="preserve">3-4 h</t>
  </si>
  <si>
    <t xml:space="preserve">Chennai -&gt; Villupuram Jn -&gt; Puducherry</t>
  </si>
  <si>
    <t xml:space="preserve">~4-5 h combined</t>
  </si>
  <si>
    <t xml:space="preserve">Few direct trains; bus more convenient.</t>
  </si>
  <si>
    <t xml:space="preserve">Cycle / scooter rental</t>
  </si>
  <si>
    <t xml:space="preserve">White Town is very walkable.</t>
  </si>
  <si>
    <t xml:space="preserve">Auto / e-rickshaw</t>
  </si>
  <si>
    <t xml:space="preserve">Short rides</t>
  </si>
  <si>
    <t xml:space="preserve">Not always metered.</t>
  </si>
  <si>
    <t xml:space="preserve">Delhi/Mumbai/Kolkata -&gt; Varanasi (VNS)</t>
  </si>
  <si>
    <t xml:space="preserve">Delhi -&gt; Varanasi (Vande Bharat / Shiv Ganga / others)</t>
  </si>
  <si>
    <t xml:space="preserve">~8 h (Vande Bharat) to 12 h</t>
  </si>
  <si>
    <t xml:space="preserve">E-rickshaw / auto</t>
  </si>
  <si>
    <t xml:space="preserve">Ghats &amp; city</t>
  </si>
  <si>
    <t xml:space="preserve">Vehicles can't enter Old City lanes.</t>
  </si>
  <si>
    <t xml:space="preserve">Boat</t>
  </si>
  <si>
    <t xml:space="preserve">Ganges ghats</t>
  </si>
  <si>
    <t xml:space="preserve">per person / per boat</t>
  </si>
  <si>
    <t xml:space="preserve">Shared vs private.</t>
  </si>
  <si>
    <t xml:space="preserve">Airport cab</t>
  </si>
  <si>
    <t xml:space="preserve">VNS -&gt; city</t>
  </si>
  <si>
    <t xml:space="preserve">45-60 min</t>
  </si>
  <si>
    <t xml:space="preserve">Delhi -&gt; Amritsar (Shatabdi / other)</t>
  </si>
  <si>
    <t xml:space="preserve">~6 h</t>
  </si>
  <si>
    <t xml:space="preserve">New Delhi Shatabdi is the standard fast train.</t>
  </si>
  <si>
    <t xml:space="preserve">Delhi/Mumbai/Bengaluru -&gt; Amritsar (ATQ)</t>
  </si>
  <si>
    <t xml:space="preserve">1.5-3 h</t>
  </si>
  <si>
    <t xml:space="preserve">Delhi -&gt; Amritsar (Volvo)</t>
  </si>
  <si>
    <t xml:space="preserve">10-12 h</t>
  </si>
  <si>
    <t xml:space="preserve">City</t>
  </si>
  <si>
    <t xml:space="preserve">Wagah taxi / shared</t>
  </si>
  <si>
    <t xml:space="preserve">City -&gt; Wagah/Attari (~30 km)</t>
  </si>
  <si>
    <t xml:space="preserve">1 h</t>
  </si>
  <si>
    <t xml:space="preserve">Shared vehicles cheaper; check border status.</t>
  </si>
  <si>
    <t xml:space="preserve">Bengaluru -&gt; Mysuru (Shatabdi / others)</t>
  </si>
  <si>
    <t xml:space="preserve">Bengaluru -&gt; Mysuru (KSRTC Airavat)</t>
  </si>
  <si>
    <t xml:space="preserve">3 h</t>
  </si>
  <si>
    <t xml:space="preserve">Bengaluru -&gt; Mysuru Expressway</t>
  </si>
  <si>
    <t xml:space="preserve">2-2.5 h</t>
  </si>
  <si>
    <t xml:space="preserve">City bus / KSTDC tour</t>
  </si>
  <si>
    <t xml:space="preserve">Mysuru city / sightseeing</t>
  </si>
  <si>
    <t xml:space="preserve">Delhi -&gt; Leh (IXL)</t>
  </si>
  <si>
    <t xml:space="preserve">1.5 h</t>
  </si>
  <si>
    <t xml:space="preserve">Most convenient; book early for peak.</t>
  </si>
  <si>
    <t xml:space="preserve">Manali -&gt; Leh (~485 km)</t>
  </si>
  <si>
    <t xml:space="preserve">per person / per vehicle</t>
  </si>
  <si>
    <t xml:space="preserve">Seasonal (~Jun-Oct).</t>
  </si>
  <si>
    <t xml:space="preserve">Srinagar -&gt; Leh (~420 km)</t>
  </si>
  <si>
    <t xml:space="preserve">Seasonal (~May-Nov).</t>
  </si>
  <si>
    <t xml:space="preserve">Taxi (Leh Taxi Union)</t>
  </si>
  <si>
    <t xml:space="preserve">Local sightseeing (Shey-Thiksey-Hemis)</t>
  </si>
  <si>
    <t xml:space="preserve">1 day</t>
  </si>
  <si>
    <t xml:space="preserve">Fixed local union rates.</t>
  </si>
  <si>
    <t xml:space="preserve">Leh -&gt; Pangong Tso (2 days)</t>
  </si>
  <si>
    <t xml:space="preserve">Includes overnight halt.</t>
  </si>
  <si>
    <t xml:space="preserve">Leh -&gt; Nubra Valley (2-3 days)</t>
  </si>
  <si>
    <t xml:space="preserve">Bike rental</t>
  </si>
  <si>
    <t xml:space="preserve">Royal Enfield Himalayan</t>
  </si>
  <si>
    <t xml:space="preserve">Deposit + licence.</t>
  </si>
  <si>
    <t xml:space="preserve">Delhi/Kolkata -&gt; Bagdogra (IXB)</t>
  </si>
  <si>
    <t xml:space="preserve">Kolkata/Delhi -&gt; New Jalpaiguri (NJP)</t>
  </si>
  <si>
    <t xml:space="preserve">overnight</t>
  </si>
  <si>
    <t xml:space="preserve">Shared jeep</t>
  </si>
  <si>
    <t xml:space="preserve">NJP / Siliguri -&gt; Darjeeling</t>
  </si>
  <si>
    <t xml:space="preserve">Private car</t>
  </si>
  <si>
    <t xml:space="preserve">Bagdogra -&gt; Darjeeling</t>
  </si>
  <si>
    <t xml:space="preserve">~3 h</t>
  </si>
  <si>
    <t xml:space="preserve">Toy Train (DHR)</t>
  </si>
  <si>
    <t xml:space="preserve">Darjeeling - Ghum - Darjeeling</t>
  </si>
  <si>
    <t xml:space="preserve">Steam joy ride; UNESCO.</t>
  </si>
  <si>
    <t xml:space="preserve">Town-Ghum / hill routes</t>
  </si>
  <si>
    <t xml:space="preserve">Tiger Hill jeep</t>
  </si>
  <si>
    <t xml:space="preserve">Sunrise trip</t>
  </si>
  <si>
    <t xml:space="preserve">per vehicle / shared seat ~Rs300-500</t>
  </si>
  <si>
    <t xml:space="preserve">Leave ~3:45 am.</t>
  </si>
  <si>
    <t xml:space="preserve">Season</t>
  </si>
  <si>
    <t xml:space="preserve">Months</t>
  </si>
  <si>
    <t xml:space="preserve">Typical temp (C)</t>
  </si>
  <si>
    <t xml:space="preserve">Rainfall</t>
  </si>
  <si>
    <t xml:space="preserve">Crowds / prices</t>
  </si>
  <si>
    <t xml:space="preserve">Dec-Feb</t>
  </si>
  <si>
    <t xml:space="preserve">5-20</t>
  </si>
  <si>
    <t xml:space="preserve">Low</t>
  </si>
  <si>
    <t xml:space="preserve">Peak; fog</t>
  </si>
  <si>
    <t xml:space="preserve">Foggy mornings; pollution can be severe Nov-Jan.</t>
  </si>
  <si>
    <t xml:space="preserve">Summer</t>
  </si>
  <si>
    <t xml:space="preserve">Apr-Jun</t>
  </si>
  <si>
    <t xml:space="preserve">25-45</t>
  </si>
  <si>
    <t xml:space="preserve">Very low</t>
  </si>
  <si>
    <t xml:space="preserve">Low; hot</t>
  </si>
  <si>
    <t xml:space="preserve">Heat waves; stay indoors midday.</t>
  </si>
  <si>
    <t xml:space="preserve">Jul-Sep</t>
  </si>
  <si>
    <t xml:space="preserve">26-36</t>
  </si>
  <si>
    <t xml:space="preserve">High</t>
  </si>
  <si>
    <t xml:space="preserve">Off-peak</t>
  </si>
  <si>
    <t xml:space="preserve">Humid; occasional flooding.</t>
  </si>
  <si>
    <t xml:space="preserve">Autumn/Spring</t>
  </si>
  <si>
    <t xml:space="preserve">Oct-Nov, Mar</t>
  </si>
  <si>
    <t xml:space="preserve">15-32</t>
  </si>
  <si>
    <t xml:space="preserve">Good</t>
  </si>
  <si>
    <t xml:space="preserve">Best sightseeing weather.</t>
  </si>
  <si>
    <t xml:space="preserve">Morning fog can hide the Taj; Taj Mahotsav in Feb.</t>
  </si>
  <si>
    <t xml:space="preserve">Brutal heat.</t>
  </si>
  <si>
    <t xml:space="preserve">26-35</t>
  </si>
  <si>
    <t xml:space="preserve">Humid; lush gardens.</t>
  </si>
  <si>
    <t xml:space="preserve">Comfortable.</t>
  </si>
  <si>
    <t xml:space="preserve">8-23</t>
  </si>
  <si>
    <t xml:space="preserve">Peak</t>
  </si>
  <si>
    <t xml:space="preserve">Cool days; JLF late Jan.</t>
  </si>
  <si>
    <t xml:space="preserve">27-45</t>
  </si>
  <si>
    <t xml:space="preserve">Hot.</t>
  </si>
  <si>
    <t xml:space="preserve">25-34</t>
  </si>
  <si>
    <t xml:space="preserve">Moderate</t>
  </si>
  <si>
    <t xml:space="preserve">Green Aravallis; forts less crowded.</t>
  </si>
  <si>
    <t xml:space="preserve">Pleasant.</t>
  </si>
  <si>
    <t xml:space="preserve">8-26</t>
  </si>
  <si>
    <t xml:space="preserve">Clear, cool.</t>
  </si>
  <si>
    <t xml:space="preserve">25-42</t>
  </si>
  <si>
    <t xml:space="preserve">24-32</t>
  </si>
  <si>
    <t xml:space="preserve">Moderate-High</t>
  </si>
  <si>
    <t xml:space="preserve">Lakes fill; hills green; scenic.</t>
  </si>
  <si>
    <t xml:space="preserve">Nov-Feb</t>
  </si>
  <si>
    <t xml:space="preserve">15-30</t>
  </si>
  <si>
    <t xml:space="preserve">Best for exploring; Hampi Utsav (varies).</t>
  </si>
  <si>
    <t xml:space="preserve">Mar-May</t>
  </si>
  <si>
    <t xml:space="preserve">Very hot.</t>
  </si>
  <si>
    <t xml:space="preserve">23-32</t>
  </si>
  <si>
    <t xml:space="preserve">Green; river high (coracles may be closed).</t>
  </si>
  <si>
    <t xml:space="preserve">Post-monsoon</t>
  </si>
  <si>
    <t xml:space="preserve">Oct</t>
  </si>
  <si>
    <t xml:space="preserve">22-32</t>
  </si>
  <si>
    <t xml:space="preserve">Shoulder</t>
  </si>
  <si>
    <t xml:space="preserve">Good.</t>
  </si>
  <si>
    <t xml:space="preserve">10-30</t>
  </si>
  <si>
    <t xml:space="preserve">Comfortable for caves.</t>
  </si>
  <si>
    <t xml:space="preserve">Mar-Jun</t>
  </si>
  <si>
    <t xml:space="preserve">24-42</t>
  </si>
  <si>
    <t xml:space="preserve">Hot; caves are cooler inside.</t>
  </si>
  <si>
    <t xml:space="preserve">22-30</t>
  </si>
  <si>
    <t xml:space="preserve">Good for scenery</t>
  </si>
  <si>
    <t xml:space="preserve">Waterfalls at Ellora; caves may see seepage.</t>
  </si>
  <si>
    <t xml:space="preserve">20-32</t>
  </si>
  <si>
    <t xml:space="preserve">Peak winter</t>
  </si>
  <si>
    <t xml:space="preserve">21-33</t>
  </si>
  <si>
    <t xml:space="preserve">Very high</t>
  </si>
  <si>
    <t xml:space="preserve">Beach shacks open; Christmas/NYE very expensive.</t>
  </si>
  <si>
    <t xml:space="preserve">Mid-low</t>
  </si>
  <si>
    <t xml:space="preserve">Hot &amp; humid; good bargains.</t>
  </si>
  <si>
    <t xml:space="preserve">24-30</t>
  </si>
  <si>
    <t xml:space="preserve">Many shacks close; sea rough.</t>
  </si>
  <si>
    <t xml:space="preserve">24-33</t>
  </si>
  <si>
    <t xml:space="preserve">Low-Moderate</t>
  </si>
  <si>
    <t xml:space="preserve">Shacks reopening.</t>
  </si>
  <si>
    <t xml:space="preserve">Houseboats busiest; book early.</t>
  </si>
  <si>
    <t xml:space="preserve">25-35</t>
  </si>
  <si>
    <t xml:space="preserve">Mid</t>
  </si>
  <si>
    <t xml:space="preserve">Humid.</t>
  </si>
  <si>
    <t xml:space="preserve">23-30</t>
  </si>
  <si>
    <t xml:space="preserve">Ayurveda season; some boats limited.</t>
  </si>
  <si>
    <t xml:space="preserve">23-31</t>
  </si>
  <si>
    <t xml:space="preserve">Best visibility for diving; ferries sell out.</t>
  </si>
  <si>
    <t xml:space="preserve">Hot; still good for beaches.</t>
  </si>
  <si>
    <t xml:space="preserve">May-Sep</t>
  </si>
  <si>
    <t xml:space="preserve">Rough seas; ferry cancellations.</t>
  </si>
  <si>
    <t xml:space="preserve">Oct-Nov</t>
  </si>
  <si>
    <t xml:space="preserve">Cyclone risk possible.</t>
  </si>
  <si>
    <t xml:space="preserve">20-30</t>
  </si>
  <si>
    <t xml:space="preserve">27-38</t>
  </si>
  <si>
    <t xml:space="preserve">Hot &amp; humid.</t>
  </si>
  <si>
    <t xml:space="preserve">SW Monsoon</t>
  </si>
  <si>
    <t xml:space="preserve">26-33</t>
  </si>
  <si>
    <t xml:space="preserve">Occasional rain.</t>
  </si>
  <si>
    <t xml:space="preserve">NE Monsoon</t>
  </si>
  <si>
    <t xml:space="preserve">Oct-Dec</t>
  </si>
  <si>
    <t xml:space="preserve">Heavy showers; cyclone risk.</t>
  </si>
  <si>
    <t xml:space="preserve">5-22</t>
  </si>
  <si>
    <t xml:space="preserve">Fog; cold mornings at ghats.</t>
  </si>
  <si>
    <t xml:space="preserve">28-45</t>
  </si>
  <si>
    <t xml:space="preserve">26-34</t>
  </si>
  <si>
    <t xml:space="preserve">Ganga floods; ghats submerged; boat restrictions.</t>
  </si>
  <si>
    <t xml:space="preserve">Autumn</t>
  </si>
  <si>
    <t xml:space="preserve">Peak (Dev Deepawali Nov)</t>
  </si>
  <si>
    <t xml:space="preserve">Best month for festivals.</t>
  </si>
  <si>
    <t xml:space="preserve">3-19</t>
  </si>
  <si>
    <t xml:space="preserve">Foggy, cold.</t>
  </si>
  <si>
    <t xml:space="preserve">Oct-Nov, Feb-Mar</t>
  </si>
  <si>
    <t xml:space="preserve">12-30</t>
  </si>
  <si>
    <t xml:space="preserve">Best weather.</t>
  </si>
  <si>
    <t xml:space="preserve">15-28</t>
  </si>
  <si>
    <t xml:space="preserve">Cool and pleasant.</t>
  </si>
  <si>
    <t xml:space="preserve">20-36</t>
  </si>
  <si>
    <t xml:space="preserve">Warm.</t>
  </si>
  <si>
    <t xml:space="preserve">19-28</t>
  </si>
  <si>
    <t xml:space="preserve">Green &amp; cool.</t>
  </si>
  <si>
    <t xml:space="preserve">Dasara</t>
  </si>
  <si>
    <t xml:space="preserve">Sep/Oct (10 days)</t>
  </si>
  <si>
    <t xml:space="preserve">18-28</t>
  </si>
  <si>
    <t xml:space="preserve">Palace lit nightly; hotels full.</t>
  </si>
  <si>
    <t xml:space="preserve">Summer (main season)</t>
  </si>
  <si>
    <t xml:space="preserve">10-30 day / 0-10 night</t>
  </si>
  <si>
    <t xml:space="preserve">Roads open; AMS risk; book early.</t>
  </si>
  <si>
    <t xml:space="preserve">May &amp; Oct</t>
  </si>
  <si>
    <t xml:space="preserve">-5 to 15</t>
  </si>
  <si>
    <t xml:space="preserve">Some passes closed.</t>
  </si>
  <si>
    <t xml:space="preserve">Nov-Mar</t>
  </si>
  <si>
    <t xml:space="preserve">-20 to 5</t>
  </si>
  <si>
    <t xml:space="preserve">Low (snow)</t>
  </si>
  <si>
    <t xml:space="preserve">Roads mostly closed; Chadar trek &amp; snow-leopard tours niche.</t>
  </si>
  <si>
    <t xml:space="preserve">Spring</t>
  </si>
  <si>
    <t xml:space="preserve">Apr</t>
  </si>
  <si>
    <t xml:space="preserve">-5 to 10</t>
  </si>
  <si>
    <t xml:space="preserve">Passes reopening.</t>
  </si>
  <si>
    <t xml:space="preserve">10-20</t>
  </si>
  <si>
    <t xml:space="preserve">Best for tea &amp; flowers.</t>
  </si>
  <si>
    <t xml:space="preserve">12-20</t>
  </si>
  <si>
    <t xml:space="preserve">Landslides &amp; fog.</t>
  </si>
  <si>
    <t xml:space="preserve">10-18</t>
  </si>
  <si>
    <t xml:space="preserve">Clearest Kanchenjunga.</t>
  </si>
  <si>
    <t xml:space="preserve">2-10</t>
  </si>
  <si>
    <t xml:space="preserve">Cold; snow possible; crisp views.</t>
  </si>
  <si>
    <t xml:space="preserve">Jan</t>
  </si>
  <si>
    <t xml:space="preserve">Feb</t>
  </si>
  <si>
    <t xml:space="preserve">Mar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</si>
  <si>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</si>
  <si>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</si>
  <si>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</si>
  <si>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</si>
  <si>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</si>
  <si>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Nov</t>
  </si>
  <si>
    <t xml:space="preserve">Dec</t>
  </si>
  <si>
    <t xml:space="preserve">Scale: 1 = avoid (extreme heat/rain/closures), 3 = OK, 5 = ideal. Judgement-based summary of climate &amp; access patterns.</t>
  </si>
  <si>
    <t xml:space="preserve">Key</t>
  </si>
  <si>
    <t xml:space="preserve">Stay per room/night (INR)</t>
  </si>
  <si>
    <t xml:space="preserve">Food per person/day (INR)</t>
  </si>
  <si>
    <t xml:space="preserve">Local transport per person/day (INR)</t>
  </si>
  <si>
    <t xml:space="preserve">Activities &amp; entry fees per person/day (INR)</t>
  </si>
  <si>
    <t xml:space="preserve">Misc per person/day (INR)</t>
  </si>
  <si>
    <t xml:space="preserve">Fixed extras per person per trip (INR)</t>
  </si>
  <si>
    <t xml:space="preserve">Extras note</t>
  </si>
  <si>
    <t xml:space="preserve">Total per person/day (INR, 2 sharing a room)</t>
  </si>
  <si>
    <t xml:space="preserve">No fixed extras</t>
  </si>
  <si>
    <t xml:space="preserve">Taj + Fort entry inside activities</t>
  </si>
  <si>
    <t xml:space="preserve">Includes guide &amp; Fatehpur Sikri</t>
  </si>
  <si>
    <t xml:space="preserve">Private car/guide</t>
  </si>
  <si>
    <t xml:space="preserve">Monument combo ticket / cheap entries</t>
  </si>
  <si>
    <t xml:space="preserve">Taxi share to Ajanta not included</t>
  </si>
  <si>
    <t xml:space="preserve">Includes shared taxi to caves</t>
  </si>
  <si>
    <t xml:space="preserve">Private car with driver</t>
  </si>
  <si>
    <t xml:space="preserve">Day-cruise/shared boat ~Rs2,000 pp</t>
  </si>
  <si>
    <t xml:space="preserve">1-bedroom houseboat overnight ~Rs9,000 for 2 (pp share)</t>
  </si>
  <si>
    <t xml:space="preserve">Premium houseboat overnight ~Rs18,000 for 2 (pp share)</t>
  </si>
  <si>
    <t xml:space="preserve">Inter-island ferries (approx.)</t>
  </si>
  <si>
    <t xml:space="preserve">Private ferry + water sports</t>
  </si>
  <si>
    <t xml:space="preserve">Premium ferry / transfers</t>
  </si>
  <si>
    <t xml:space="preserve">Golden Temple &amp; langar free</t>
  </si>
  <si>
    <t xml:space="preserve">Ladakh Environment/Development Fee &amp; wildlife fee (approx. Rs450-600 pp)</t>
  </si>
  <si>
    <t xml:space="preserve">EDF receipt required for Nubra/Pangong etc.</t>
  </si>
  <si>
    <t xml:space="preserve">Private taxi, oxygen etc.</t>
  </si>
  <si>
    <t xml:space="preserve">Legend / assumptions</t>
  </si>
  <si>
    <t xml:space="preserve">Blue cells are editable inputs (indicative INR, 2025-26 price levels). Black cells are formulas.</t>
  </si>
  <si>
    <t xml:space="preserve">Stay cost is per ROOM per night (double occupancy); Total per person/day = stay/2 + food + local transport + activities + misc.</t>
  </si>
  <si>
    <t xml:space="preserve">Tier 'Budget' ~ hostels/guesthouses + street food + public transport; 'Mid-range' ~ 3-star/heritage hotels + restaurants + cabs; 'Premium' ~ 4-5 star + private car/guide.</t>
  </si>
  <si>
    <t xml:space="preserve">Fixed extras: Kerala houseboat share, Andaman ferries, Ladakh environment fee etc. Airfare to/from the destination is NOT included.</t>
  </si>
  <si>
    <t xml:space="preserve">Assumptions are estimates derived from the Hotels / Restaurants / Transport sheets; adjust as you verify live prices.</t>
  </si>
  <si>
    <t xml:space="preserve">Budget Estimator (indicative, INR)</t>
  </si>
  <si>
    <t xml:space="preserve">Change the yellow cells. Estimates exclude airfare to/from the destination. Based on Budget_Tiers inputs (edit there).</t>
  </si>
  <si>
    <t xml:space="preserve">Budget tier</t>
  </si>
  <si>
    <t xml:space="preserve">Trip length (days)</t>
  </si>
  <si>
    <t xml:space="preserve">Travellers</t>
  </si>
  <si>
    <t xml:space="preserve">Contingency %</t>
  </si>
  <si>
    <t xml:space="preserve">Destination ID</t>
  </si>
  <si>
    <t xml:space="preserve">Nights</t>
  </si>
  <si>
    <t xml:space="preserve">Rooms needed (2 per room)</t>
  </si>
  <si>
    <t xml:space="preserve">Tier row (lookup)</t>
  </si>
  <si>
    <t xml:space="preserve">COST BREAKDOWN (INR)</t>
  </si>
  <si>
    <t xml:space="preserve">Stay</t>
  </si>
  <si>
    <t xml:space="preserve">Food</t>
  </si>
  <si>
    <t xml:space="preserve">Local transport</t>
  </si>
  <si>
    <t xml:space="preserve">Activities &amp; entry fees</t>
  </si>
  <si>
    <t xml:space="preserve">Miscellaneous</t>
  </si>
  <si>
    <t xml:space="preserve">Fixed extras (ferries, houseboat, permits)</t>
  </si>
  <si>
    <t xml:space="preserve">Subtotal</t>
  </si>
  <si>
    <t xml:space="preserve">Contingency</t>
  </si>
  <si>
    <t xml:space="preserve">GRAND TOTAL (all travellers)</t>
  </si>
  <si>
    <t xml:space="preserve">Per person</t>
  </si>
  <si>
    <t xml:space="preserve">Per person per day</t>
  </si>
  <si>
    <t xml:space="preserve">COMPARE ALL TIERS FOR THIS DESTINATION (same days &amp; travellers)</t>
  </si>
  <si>
    <t xml:space="preserve">Row</t>
  </si>
  <si>
    <t xml:space="preserve">Activities</t>
  </si>
  <si>
    <t xml:space="preserve">Misc</t>
  </si>
  <si>
    <t xml:space="preserve">Fixed extras</t>
  </si>
  <si>
    <t xml:space="preserve">Total incl. contingency</t>
  </si>
  <si>
    <t xml:space="preserve">Notes: (1) Prices are indicative and change by season. (2) Luxury stays are listed in the Hotels sheet; add their nightly price manually to estimate. (3) Airfare/train fare to the destination is excluded.</t>
  </si>
  <si>
    <t xml:space="preserve">Festival / event</t>
  </si>
  <si>
    <t xml:space="preserve">Typical timing</t>
  </si>
  <si>
    <t xml:space="preserve">Republic Day Parade</t>
  </si>
  <si>
    <t xml:space="preserve">26 Jan</t>
  </si>
  <si>
    <t xml:space="preserve">Kartavya Path; tickets in advance.</t>
  </si>
  <si>
    <t xml:space="preserve">Diwali</t>
  </si>
  <si>
    <t xml:space="preserve">Oct/Nov</t>
  </si>
  <si>
    <t xml:space="preserve">Very crowded; heavy air pollution.</t>
  </si>
  <si>
    <t xml:space="preserve">Taj Mahotsav</t>
  </si>
  <si>
    <t xml:space="preserve">Feb (10 days)</t>
  </si>
  <si>
    <t xml:space="preserve">Craft &amp; culture fair at Shilpgram.</t>
  </si>
  <si>
    <t xml:space="preserve">Jaipur Literature Festival</t>
  </si>
  <si>
    <t xml:space="preserve">Late Jan</t>
  </si>
  <si>
    <t xml:space="preserve">Diggi Palace; book early.</t>
  </si>
  <si>
    <t xml:space="preserve">Teej / Gangaur</t>
  </si>
  <si>
    <t xml:space="preserve">Jul-Aug / Mar-Apr</t>
  </si>
  <si>
    <t xml:space="preserve">Processions of Rajasthani culture.</t>
  </si>
  <si>
    <t xml:space="preserve">Mewar Festival</t>
  </si>
  <si>
    <t xml:space="preserve">Mar-Apr</t>
  </si>
  <si>
    <t xml:space="preserve">Spring festival with lakeside events.</t>
  </si>
  <si>
    <t xml:space="preserve">Hampi Utsav</t>
  </si>
  <si>
    <t xml:space="preserve">Nov (varies by year)</t>
  </si>
  <si>
    <t xml:space="preserve">Cultural festival; check state announcements.</t>
  </si>
  <si>
    <t xml:space="preserve">Ellora-Ajanta Festival</t>
  </si>
  <si>
    <t xml:space="preserve">Nov-Dec (irregular)</t>
  </si>
  <si>
    <t xml:space="preserve">Held by MTDC in some years; verify.</t>
  </si>
  <si>
    <t xml:space="preserve">Carnival</t>
  </si>
  <si>
    <t xml:space="preserve">Feb/Mar</t>
  </si>
  <si>
    <t xml:space="preserve">Parades in Panaji &amp; Margao.</t>
  </si>
  <si>
    <t xml:space="preserve">Feast of St Francis Xavier</t>
  </si>
  <si>
    <t xml:space="preserve">3 Dec</t>
  </si>
  <si>
    <t xml:space="preserve">Old Goa; large pilgrim crowds.</t>
  </si>
  <si>
    <t xml:space="preserve">Christmas &amp; New Year</t>
  </si>
  <si>
    <t xml:space="preserve">25 Dec-1 Jan</t>
  </si>
  <si>
    <t xml:space="preserve">Peak crowds and prices.</t>
  </si>
  <si>
    <t xml:space="preserve">Nehru Trophy Boat Race</t>
  </si>
  <si>
    <t xml:space="preserve">Aug (2nd Sat)</t>
  </si>
  <si>
    <t xml:space="preserve">Punnamada Lake, Alappuzha.</t>
  </si>
  <si>
    <t xml:space="preserve">Onam</t>
  </si>
  <si>
    <t xml:space="preserve">Aug-Sep</t>
  </si>
  <si>
    <t xml:space="preserve">Kerala's harvest festival.</t>
  </si>
  <si>
    <t xml:space="preserve">Island Tourism Festival</t>
  </si>
  <si>
    <t xml:space="preserve">Port Blair cultural events.</t>
  </si>
  <si>
    <t xml:space="preserve">Bastille Day</t>
  </si>
  <si>
    <t xml:space="preserve">14 Jul</t>
  </si>
  <si>
    <t xml:space="preserve">French colonial celebration.</t>
  </si>
  <si>
    <t xml:space="preserve">Auroville Founding Day</t>
  </si>
  <si>
    <t xml:space="preserve">28 Feb</t>
  </si>
  <si>
    <t xml:space="preserve">Community event.</t>
  </si>
  <si>
    <t xml:space="preserve">Dev Deepawali</t>
  </si>
  <si>
    <t xml:space="preserve">Nov (Kartik Purnima)</t>
  </si>
  <si>
    <t xml:space="preserve">Ghats lit with lakhs of lamps.</t>
  </si>
  <si>
    <t xml:space="preserve">Maha Shivratri</t>
  </si>
  <si>
    <t xml:space="preserve">Huge crowds at Kashi Vishwanath.</t>
  </si>
  <si>
    <t xml:space="preserve">Baisakhi</t>
  </si>
  <si>
    <t xml:space="preserve">13-14 Apr</t>
  </si>
  <si>
    <t xml:space="preserve">Punjab harvest festival.</t>
  </si>
  <si>
    <t xml:space="preserve">Guru Nanak Gurpurab</t>
  </si>
  <si>
    <t xml:space="preserve">Major festival at Golden Temple.</t>
  </si>
  <si>
    <t xml:space="preserve">Mysuru Dasara</t>
  </si>
  <si>
    <t xml:space="preserve">Sep/Oct</t>
  </si>
  <si>
    <t xml:space="preserve">Vijayadashami procession; Palace lit nightly.</t>
  </si>
  <si>
    <t xml:space="preserve">Ladakh Festival</t>
  </si>
  <si>
    <t xml:space="preserve">Sep (early)</t>
  </si>
  <si>
    <t xml:space="preserve">Cultural festival in Leh.</t>
  </si>
  <si>
    <t xml:space="preserve">Hemis Tsechu</t>
  </si>
  <si>
    <t xml:space="preserve">Jun/Jul</t>
  </si>
  <si>
    <t xml:space="preserve">Masked dance festival.</t>
  </si>
  <si>
    <t xml:space="preserve">Darjeeling Carnival</t>
  </si>
  <si>
    <t xml:space="preserve">Nov-Dec</t>
  </si>
  <si>
    <t xml:space="preserve">Cultural event.</t>
  </si>
  <si>
    <t xml:space="preserve">Tea &amp; Tourism Festival</t>
  </si>
  <si>
    <t xml:space="preserve">Tea tasting events.</t>
  </si>
  <si>
    <t xml:space="preserve">Emergency</t>
  </si>
  <si>
    <t xml:space="preserve">Health &amp; safety</t>
  </si>
  <si>
    <t xml:space="preserve">Connectivity &amp; cash</t>
  </si>
  <si>
    <t xml:space="preserve">Dress / culture</t>
  </si>
  <si>
    <t xml:space="preserve">Permits &amp; fees</t>
  </si>
  <si>
    <t xml:space="preserve">Common cautions</t>
  </si>
  <si>
    <t xml:space="preserve">112 (police/fire/ambulance); Tourist helpline 1363</t>
  </si>
  <si>
    <t xml:space="preserve">Drink bottled/filtered water; air pollution Nov-Jan (use N95).</t>
  </si>
  <si>
    <t xml:space="preserve">Excellent 4G/5G; ATMs everywhere; UPI widely accepted.</t>
  </si>
  <si>
    <t xml:space="preserve">Modest dress at mosques/gurudwaras.</t>
  </si>
  <si>
    <t xml:space="preserve">None for domestic tourists; foreigners need valid visa / e-visa.</t>
  </si>
  <si>
    <t xml:space="preserve">Common tout scams near stations &amp; Connaught Place; use app cabs / prepaid taxis.</t>
  </si>
  <si>
    <t xml:space="preserve">112; Tourist helpline 1363</t>
  </si>
  <si>
    <t xml:space="preserve">Heat &amp; dehydration Apr-Jun.</t>
  </si>
  <si>
    <t xml:space="preserve">Good 4G; ATMs near Taj East Gate.</t>
  </si>
  <si>
    <t xml:space="preserve">Modest dress at Taj mosque; shoe covers at mausoleum.</t>
  </si>
  <si>
    <t xml:space="preserve">Taj closed Friday; buy tickets at gates or online; foreigners also pay ADA fees.</t>
  </si>
  <si>
    <t xml:space="preserve">Touts, fake 'guides', commission shopping; agree price first.</t>
  </si>
  <si>
    <t xml:space="preserve">112; 1363</t>
  </si>
  <si>
    <t xml:space="preserve">Heat; drink safe water.</t>
  </si>
  <si>
    <t xml:space="preserve">Good 4G; UPI widely accepted.</t>
  </si>
  <si>
    <t xml:space="preserve">Modest dress at temples.</t>
  </si>
  <si>
    <t xml:space="preserve">ASI ticket combos for monuments.</t>
  </si>
  <si>
    <t xml:space="preserve">Auto/rickshaw overcharging; gem scams.</t>
  </si>
  <si>
    <t xml:space="preserve">Generally safe; lakes can be slippery.</t>
  </si>
  <si>
    <t xml:space="preserve">Good 4G; UPI accepted.</t>
  </si>
  <si>
    <t xml:space="preserve">Nominal entry fees.</t>
  </si>
  <si>
    <t xml:space="preserve">Boat/lake tour touts; bargain.</t>
  </si>
  <si>
    <t xml:space="preserve">Carry water; heat.</t>
  </si>
  <si>
    <t xml:space="preserve">Patchy network across river; cash needed at rural stalls.</t>
  </si>
  <si>
    <t xml:space="preserve">Cover shoulders/knees at temples.</t>
  </si>
  <si>
    <t xml:space="preserve">ASI tickets for select monuments.</t>
  </si>
  <si>
    <t xml:space="preserve">Hampi Bazaar vs Virupapur Gaddi ferry closures; check conditions.</t>
  </si>
  <si>
    <t xml:space="preserve">Carry water; long day trip to Ajanta.</t>
  </si>
  <si>
    <t xml:space="preserve">4G in Aurangabad; patchy near caves.</t>
  </si>
  <si>
    <t xml:space="preserve">Modest dress at Grishneshwar.</t>
  </si>
  <si>
    <t xml:space="preserve">Ajanta closed Monday; Ellora closed Tuesday.</t>
  </si>
  <si>
    <t xml:space="preserve">Plan around closures; start early.</t>
  </si>
  <si>
    <t xml:space="preserve">Strong currents &amp; jellyfish in monsoon; heed lifeguard flags.</t>
  </si>
  <si>
    <t xml:space="preserve">Excellent 4G; UPI everywhere.</t>
  </si>
  <si>
    <t xml:space="preserve">Beachwear only on beaches; cover up in churches.</t>
  </si>
  <si>
    <t xml:space="preserve">None.</t>
  </si>
  <si>
    <t xml:space="preserve">Taxi overcharging; bike-rental damage scams; drink-spiking risk at nightlife.</t>
  </si>
  <si>
    <t xml:space="preserve">Mosquitoes; drink filtered water.</t>
  </si>
  <si>
    <t xml:space="preserve">Good 4G; patchy on some backwaters; cash for small boats.</t>
  </si>
  <si>
    <t xml:space="preserve">Houseboat operators should be registered with Kerala Tourism.</t>
  </si>
  <si>
    <t xml:space="preserve">Overpriced houseboats; check inclusions.</t>
  </si>
  <si>
    <t xml:space="preserve">Limited hospitals; ferries cancel in storms.</t>
  </si>
  <si>
    <t xml:space="preserve">Connectivity patchy (BSNL/Airtel/Jio vary); carry cash - ATMs limited.</t>
  </si>
  <si>
    <t xml:space="preserve">Casual beachwear on beaches only.</t>
  </si>
  <si>
    <t xml:space="preserve">Indians: no permit; foreigners: RAP on arrival (free) for Andaman; Nicobar largely restricted.</t>
  </si>
  <si>
    <t xml:space="preserve">Sea conditions; book ferries early; respect indigenous reserves (no photos).</t>
  </si>
  <si>
    <t xml:space="preserve">Generally safe; mosquitoes.</t>
  </si>
  <si>
    <t xml:space="preserve">Modest dress at Ashram/Auroville.</t>
  </si>
  <si>
    <t xml:space="preserve">Auroville pass free.</t>
  </si>
  <si>
    <t xml:space="preserve">Ashram silence rules; touts around Auroville.</t>
  </si>
  <si>
    <t xml:space="preserve">Water quality poor in Ganga; drink bottled.</t>
  </si>
  <si>
    <t xml:space="preserve">Good 4G; cash preferred in lanes.</t>
  </si>
  <si>
    <t xml:space="preserve">Modest dress; remove shoes at temples.</t>
  </si>
  <si>
    <t xml:space="preserve">Touts, fake priests, boatmen overcharging; no photos at cremation ghats.</t>
  </si>
  <si>
    <t xml:space="preserve">Winter cold &amp; fog; carry warm clothes.</t>
  </si>
  <si>
    <t xml:space="preserve">Cover head, remove shoes at Golden Temple.</t>
  </si>
  <si>
    <t xml:space="preserve">Avoid unlicensed transport at night.</t>
  </si>
  <si>
    <t xml:space="preserve">Generally safe.</t>
  </si>
  <si>
    <t xml:space="preserve">Touts near palace; use official ticket counters.</t>
  </si>
  <si>
    <t xml:space="preserve">112; 1363; Army/BRO road updates</t>
  </si>
  <si>
    <t xml:space="preserve">Altitude sickness (AMS): acclimatise 2 days in Leh; avoid alcohol; carry Diamox only after doctor advice.</t>
  </si>
  <si>
    <t xml:space="preserve">Postpaid/local SIMs recommended (prepaid from other states may not work); BSNL/Airtel/Jio vary; carry cash - few ATMs beyond Leh.</t>
  </si>
  <si>
    <t xml:space="preserve">Layered clothing; nights near 0C even in summer.</t>
  </si>
  <si>
    <t xml:space="preserve">Indians: Ladakh Environment/Development Fee (~Rs400) + wildlife fee (~Rs20/day) online at lahdclehpermit.in; foreigners need Protected Area Permit via registered Leh agent.</t>
  </si>
  <si>
    <t xml:space="preserve">Landslides &amp; pass closures; fuel limited off main road; do not overstay in high passes.</t>
  </si>
  <si>
    <t xml:space="preserve">Cold nights; road landslides in monsoon.</t>
  </si>
  <si>
    <t xml:space="preserve">Good 4G in town; patchy on hills.</t>
  </si>
  <si>
    <t xml:space="preserve">Warm layers.</t>
  </si>
  <si>
    <t xml:space="preserve">Foreigners visiting Singalila/sensitive border areas need permits.</t>
  </si>
  <si>
    <t xml:space="preserve">Taxi overcharging; check jeep unions' fixed rates.</t>
  </si>
  <si>
    <t xml:space="preserve">Circuit</t>
  </si>
  <si>
    <t xml:space="preserve">Connection notes</t>
  </si>
  <si>
    <t xml:space="preserve">Golden Triangle</t>
  </si>
  <si>
    <t xml:space="preserve">Delhi - Agra - Jaipur</t>
  </si>
  <si>
    <t xml:space="preserve">5-6</t>
  </si>
  <si>
    <t xml:space="preserve">Delhi-&gt;Agra ~3.5 h road / ~1 h 45 min train; Agra-&gt;Jaipur ~4.5-5 h road (via Fatehpur Sikri); Jaipur-&gt;Delhi ~5 h.</t>
  </si>
  <si>
    <t xml:space="preserve">Rajasthan Royal Lakes</t>
  </si>
  <si>
    <t xml:space="preserve">Jaipur - Udaipur (+ Delhi)</t>
  </si>
  <si>
    <t xml:space="preserve">6-7</t>
  </si>
  <si>
    <t xml:space="preserve">Jaipur-&gt;Udaipur ~7-9 h by road/bus; Delhi-&gt;Udaipur overnight train or 1.5 h flight.</t>
  </si>
  <si>
    <t xml:space="preserve">Spiritual North</t>
  </si>
  <si>
    <t xml:space="preserve">Delhi - Amritsar - Varanasi</t>
  </si>
  <si>
    <t xml:space="preserve">7-8</t>
  </si>
  <si>
    <t xml:space="preserve">Delhi-&gt;Amritsar ~6 h Shatabdi; Delhi-&gt;Varanasi ~8 h Vande Bharat.</t>
  </si>
  <si>
    <t xml:space="preserve">Karnataka Heritage</t>
  </si>
  <si>
    <t xml:space="preserve">Mysore - Hampi</t>
  </si>
  <si>
    <t xml:space="preserve">Mysore-&gt;Hampi via Bengaluru overnight bus/train; check current train schedule.</t>
  </si>
  <si>
    <t xml:space="preserve">Konkan &amp; Coast</t>
  </si>
  <si>
    <t xml:space="preserve">Goa - Hampi</t>
  </si>
  <si>
    <t xml:space="preserve">Goa-&gt;Hospet ~8 h by road / limited rail; Hampi ~13 km from Hospet.</t>
  </si>
  <si>
    <t xml:space="preserve">Kerala Backwaters &amp; Kochi</t>
  </si>
  <si>
    <t xml:space="preserve">Kochi - Alleppey - Kumarakom</t>
  </si>
  <si>
    <t xml:space="preserve">4-5</t>
  </si>
  <si>
    <t xml:space="preserve">Kochi-&gt;Alleppey ~2 h; Alleppey-&gt;Kumarakom ~1 h by road.</t>
  </si>
  <si>
    <t xml:space="preserve">Islands Escape</t>
  </si>
  <si>
    <t xml:space="preserve">Port Blair - Havelock - Neil</t>
  </si>
  <si>
    <t xml:space="preserve">Nov-Apr</t>
  </si>
  <si>
    <t xml:space="preserve">Ferries between islands; book early in peak season.</t>
  </si>
  <si>
    <t xml:space="preserve">Ladakh Classic</t>
  </si>
  <si>
    <t xml:space="preserve">Leh - Nubra - Pangong</t>
  </si>
  <si>
    <t xml:space="preserve">7-9</t>
  </si>
  <si>
    <t xml:space="preserve">Acclimatise 2 days in Leh; Leh-&gt;Nubra-&gt;Pangong-&gt;Leh circuit; Environment fee receipt needed.</t>
  </si>
  <si>
    <t xml:space="preserve">Eastern Himalaya</t>
  </si>
  <si>
    <t xml:space="preserve">Darjeeling (+ Kalimpong/Gangtok)</t>
  </si>
  <si>
    <t xml:space="preserve">4-6</t>
  </si>
  <si>
    <t xml:space="preserve">Mar-May, Oct-Nov</t>
  </si>
  <si>
    <t xml:space="preserve">Bagdogra/NJP base; roads can be closed in monsoon.</t>
  </si>
  <si>
    <t xml:space="preserve">Caves Circuit</t>
  </si>
  <si>
    <t xml:space="preserve">Chhatrapati Sambhajinagar (Aurangabad) - Ajanta - Ellora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</si>
</sst>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#,##0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45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3" t="s">
        <v>7</v>
      </c>
      <c r="B7" s="4"/>
    </row>
    <row r="8" customFormat="false" ht="45" hidden="false" customHeight="true" outlineLevel="0" collapsed="false">
      <c r="A8" s="5" t="s">
        <v>8</v>
      </c>
      <c r="B8" s="6" t="s">
        <v>9</v>
      </c>
    </row>
    <row r="9" customFormat="false" ht="30" hidden="false" customHeight="true" outlineLevel="0" collapsed="false">
      <c r="A9" s="5" t="s">
        <v>10</v>
      </c>
      <c r="B9" s="6" t="s">
        <v>11</v>
      </c>
    </row>
    <row r="10" customFormat="false" ht="15" hidden="false" customHeight="true" outlineLevel="0" collapsed="false">
      <c r="A10" s="5" t="s">
        <v>12</v>
      </c>
      <c r="B10" s="6" t="s">
        <v>13</v>
      </c>
    </row>
    <row r="11" customFormat="false" ht="15" hidden="false" customHeight="true" outlineLevel="0" collapsed="false">
      <c r="A11" s="5" t="s">
        <v>14</v>
      </c>
      <c r="B11" s="6" t="s">
        <v>15</v>
      </c>
    </row>
    <row r="12" customFormat="false" ht="15" hidden="false" customHeight="true" outlineLevel="0" collapsed="false">
      <c r="A12" s="5" t="s">
        <v>16</v>
      </c>
      <c r="B12" s="6" t="s">
        <v>17</v>
      </c>
    </row>
    <row r="13" customFormat="false" ht="15" hidden="false" customHeight="true" outlineLevel="0" collapsed="false">
      <c r="A13" s="5" t="s">
        <v>18</v>
      </c>
      <c r="B13" s="6" t="s">
        <v>19</v>
      </c>
    </row>
    <row r="14" customFormat="false" ht="15" hidden="false" customHeight="true" outlineLevel="0" collapsed="false">
      <c r="A14" s="5" t="s">
        <v>20</v>
      </c>
      <c r="B14" s="6" t="s">
        <v>21</v>
      </c>
    </row>
    <row r="15" customFormat="false" ht="30" hidden="false" customHeight="true" outlineLevel="0" collapsed="false">
      <c r="A15" s="5" t="s">
        <v>22</v>
      </c>
      <c r="B15" s="6" t="s">
        <v>23</v>
      </c>
    </row>
    <row r="16" customFormat="false" ht="30" hidden="false" customHeight="true" outlineLevel="0" collapsed="false">
      <c r="A16" s="5" t="s">
        <v>24</v>
      </c>
      <c r="B16" s="6" t="s">
        <v>25</v>
      </c>
    </row>
    <row r="17" customFormat="false" ht="15" hidden="false" customHeight="true" outlineLevel="0" collapsed="false">
      <c r="A17" s="5" t="s">
        <v>26</v>
      </c>
      <c r="B17" s="6" t="s">
        <v>27</v>
      </c>
    </row>
    <row r="18" customFormat="false" ht="15" hidden="false" customHeight="true" outlineLevel="0" collapsed="false">
      <c r="A18" s="5" t="s">
        <v>28</v>
      </c>
      <c r="B18" s="6" t="s">
        <v>29</v>
      </c>
    </row>
    <row r="19" customFormat="false" ht="15" hidden="false" customHeight="true" outlineLevel="0" collapsed="false">
      <c r="A19" s="5" t="s">
        <v>30</v>
      </c>
      <c r="B19" s="6" t="s">
        <v>31</v>
      </c>
    </row>
    <row r="20" customFormat="false" ht="15" hidden="false" customHeight="false" outlineLevel="0" collapsed="false">
      <c r="A20" s="3" t="s">
        <v>32</v>
      </c>
      <c r="B20" s="4"/>
    </row>
    <row r="21" customFormat="false" ht="30" hidden="false" customHeight="true" outlineLevel="0" collapsed="false">
      <c r="A21" s="5" t="s">
        <v>33</v>
      </c>
      <c r="B21" s="6" t="s">
        <v>34</v>
      </c>
    </row>
    <row r="22" customFormat="false" ht="15" hidden="false" customHeight="true" outlineLevel="0" collapsed="false">
      <c r="A22" s="5" t="s">
        <v>35</v>
      </c>
      <c r="B22" s="6" t="s">
        <v>36</v>
      </c>
    </row>
    <row r="23" customFormat="false" ht="15" hidden="false" customHeight="false" outlineLevel="0" collapsed="false">
      <c r="A23" s="3" t="s">
        <v>37</v>
      </c>
      <c r="B23" s="4"/>
    </row>
    <row r="24" customFormat="false" ht="60" hidden="false" customHeight="true" outlineLevel="0" collapsed="false">
      <c r="A24" s="5" t="s">
        <v>38</v>
      </c>
      <c r="B24" s="6" t="s">
        <v>39</v>
      </c>
    </row>
    <row r="25" customFormat="false" ht="30" hidden="false" customHeight="true" outlineLevel="0" collapsed="false">
      <c r="A25" s="5" t="s">
        <v>40</v>
      </c>
      <c r="B25" s="6" t="s">
        <v>41</v>
      </c>
    </row>
    <row r="26" customFormat="false" ht="45" hidden="false" customHeight="true" outlineLevel="0" collapsed="false">
      <c r="A26" s="5" t="s">
        <v>42</v>
      </c>
      <c r="B26" s="6" t="s">
        <v>43</v>
      </c>
    </row>
    <row r="27" customFormat="false" ht="45" hidden="false" customHeight="true" outlineLevel="0" collapsed="false">
      <c r="A27" s="5" t="s">
        <v>44</v>
      </c>
      <c r="B27" s="6" t="s">
        <v>45</v>
      </c>
    </row>
    <row r="28" customFormat="false" ht="60" hidden="false" customHeight="true" outlineLevel="0" collapsed="false">
      <c r="A28" s="5" t="s">
        <v>46</v>
      </c>
      <c r="B28" s="6" t="s">
        <v>47</v>
      </c>
    </row>
    <row r="29" customFormat="false" ht="30" hidden="false" customHeight="true" outlineLevel="0" collapsed="false">
      <c r="A29" s="5" t="s">
        <v>48</v>
      </c>
      <c r="B29" s="6" t="s">
        <v>49</v>
      </c>
    </row>
    <row r="30" customFormat="false" ht="45" hidden="false" customHeight="true" outlineLevel="0" collapsed="false">
      <c r="A30" s="5" t="s">
        <v>50</v>
      </c>
      <c r="B30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8" min="6" style="0" width="10"/>
    <col collapsed="false" customWidth="true" hidden="false" outlineLevel="0" max="10" min="9" style="0" width="34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8"/>
    <col collapsed="false" customWidth="true" hidden="false" outlineLevel="0" max="14" min="14" style="0" width="22"/>
    <col collapsed="false" customWidth="true" hidden="false" outlineLevel="0" max="15" min="15" style="0" width="50"/>
    <col collapsed="false" customWidth="true" hidden="false" outlineLevel="0" max="18" min="16" style="0" width="14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1" min="21" style="0" width="11"/>
    <col collapsed="false" customWidth="true" hidden="false" outlineLevel="0" max="22" min="22" style="0" width="40"/>
  </cols>
  <sheetData>
    <row r="1" customFormat="false" ht="48" hidden="false" customHeight="true" outlineLevel="0" collapsed="false">
      <c r="A1" s="7" t="s">
        <v>52</v>
      </c>
      <c r="B1" s="7" t="s">
        <v>53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67</v>
      </c>
      <c r="Q1" s="7" t="s">
        <v>68</v>
      </c>
      <c r="R1" s="7" t="s">
        <v>69</v>
      </c>
      <c r="S1" s="7" t="s">
        <v>70</v>
      </c>
      <c r="T1" s="7" t="s">
        <v>71</v>
      </c>
      <c r="U1" s="7" t="s">
        <v>72</v>
      </c>
      <c r="V1" s="7" t="s">
        <v>73</v>
      </c>
    </row>
    <row r="2" customFormat="false" ht="23.85" hidden="false" customHeight="false" outlineLevel="0" collapsed="false">
      <c r="A2" s="8" t="s">
        <v>74</v>
      </c>
      <c r="B2" s="8" t="s">
        <v>75</v>
      </c>
      <c r="C2" s="8" t="s">
        <v>76</v>
      </c>
      <c r="D2" s="8" t="s">
        <v>77</v>
      </c>
      <c r="E2" s="8" t="s">
        <v>78</v>
      </c>
      <c r="F2" s="9" t="n">
        <v>28.6139</v>
      </c>
      <c r="G2" s="9" t="n">
        <v>77.209</v>
      </c>
      <c r="H2" s="10" t="n">
        <v>216</v>
      </c>
      <c r="I2" s="8" t="s">
        <v>79</v>
      </c>
      <c r="J2" s="8" t="s">
        <v>80</v>
      </c>
      <c r="K2" s="8" t="s">
        <v>81</v>
      </c>
      <c r="L2" s="8" t="s">
        <v>82</v>
      </c>
      <c r="M2" s="8" t="n">
        <v>3</v>
      </c>
      <c r="N2" s="8" t="s">
        <v>83</v>
      </c>
      <c r="O2" s="8" t="s">
        <v>84</v>
      </c>
      <c r="P2" s="10" t="n">
        <f aca="false">INDEX(Budget_Tiers!$L$2:$L$46,MATCH($A2&amp;"|Budget",Budget_Tiers!$A$2:$A$46,0))</f>
        <v>1750</v>
      </c>
      <c r="Q2" s="10" t="n">
        <f aca="false">INDEX(Budget_Tiers!$L$2:$L$46,MATCH($A2&amp;"|Mid-range",Budget_Tiers!$A$2:$A$46,0))</f>
        <v>4500</v>
      </c>
      <c r="R2" s="10" t="n">
        <f aca="false">INDEX(Budget_Tiers!$L$2:$L$46,MATCH($A2&amp;"|Premium",Budget_Tiers!$A$2:$A$46,0))</f>
        <v>11500</v>
      </c>
      <c r="S2" s="8" t="n">
        <f aca="false">COUNTIF(Attractions!$B:$B,$A2)</f>
        <v>12</v>
      </c>
      <c r="T2" s="8" t="n">
        <f aca="false">COUNTIF(Hotels!$B:$B,$A2)</f>
        <v>7</v>
      </c>
      <c r="U2" s="8" t="n">
        <f aca="false">COUNTIF(Restaurants!$B:$B,$A2)</f>
        <v>7</v>
      </c>
      <c r="V2" s="8" t="s">
        <v>85</v>
      </c>
    </row>
    <row r="3" customFormat="false" ht="23.85" hidden="false" customHeight="false" outlineLevel="0" collapsed="false">
      <c r="A3" s="8" t="s">
        <v>86</v>
      </c>
      <c r="B3" s="8" t="s">
        <v>87</v>
      </c>
      <c r="C3" s="8" t="s">
        <v>88</v>
      </c>
      <c r="D3" s="8" t="s">
        <v>77</v>
      </c>
      <c r="E3" s="8" t="s">
        <v>89</v>
      </c>
      <c r="F3" s="9" t="n">
        <v>27.1751</v>
      </c>
      <c r="G3" s="9" t="n">
        <v>78.0421</v>
      </c>
      <c r="H3" s="10" t="n">
        <v>171</v>
      </c>
      <c r="I3" s="8" t="s">
        <v>90</v>
      </c>
      <c r="J3" s="8" t="s">
        <v>91</v>
      </c>
      <c r="K3" s="8" t="s">
        <v>92</v>
      </c>
      <c r="L3" s="8" t="s">
        <v>93</v>
      </c>
      <c r="M3" s="8" t="n">
        <v>2</v>
      </c>
      <c r="N3" s="8" t="s">
        <v>94</v>
      </c>
      <c r="O3" s="8" t="s">
        <v>95</v>
      </c>
      <c r="P3" s="10" t="n">
        <f aca="false">INDEX(Budget_Tiers!$L$2:$L$46,MATCH($A3&amp;"|Budget",Budget_Tiers!$A$2:$A$46,0))</f>
        <v>1750</v>
      </c>
      <c r="Q3" s="10" t="n">
        <f aca="false">INDEX(Budget_Tiers!$L$2:$L$46,MATCH($A3&amp;"|Mid-range",Budget_Tiers!$A$2:$A$46,0))</f>
        <v>4500</v>
      </c>
      <c r="R3" s="10" t="n">
        <f aca="false">INDEX(Budget_Tiers!$L$2:$L$46,MATCH($A3&amp;"|Premium",Budget_Tiers!$A$2:$A$46,0))</f>
        <v>10700</v>
      </c>
      <c r="S3" s="8" t="n">
        <f aca="false">COUNTIF(Attractions!$B:$B,$A3)</f>
        <v>8</v>
      </c>
      <c r="T3" s="8" t="n">
        <f aca="false">COUNTIF(Hotels!$B:$B,$A3)</f>
        <v>8</v>
      </c>
      <c r="U3" s="8" t="n">
        <f aca="false">COUNTIF(Restaurants!$B:$B,$A3)</f>
        <v>6</v>
      </c>
      <c r="V3" s="8" t="s">
        <v>96</v>
      </c>
    </row>
    <row r="4" customFormat="false" ht="23.85" hidden="false" customHeight="false" outlineLevel="0" collapsed="false">
      <c r="A4" s="8" t="s">
        <v>97</v>
      </c>
      <c r="B4" s="8" t="s">
        <v>98</v>
      </c>
      <c r="C4" s="8" t="s">
        <v>99</v>
      </c>
      <c r="D4" s="8" t="s">
        <v>100</v>
      </c>
      <c r="E4" s="8" t="s">
        <v>101</v>
      </c>
      <c r="F4" s="9" t="n">
        <v>26.9124</v>
      </c>
      <c r="G4" s="9" t="n">
        <v>75.7873</v>
      </c>
      <c r="H4" s="10" t="n">
        <v>431</v>
      </c>
      <c r="I4" s="8" t="s">
        <v>102</v>
      </c>
      <c r="J4" s="8" t="s">
        <v>103</v>
      </c>
      <c r="K4" s="8" t="s">
        <v>92</v>
      </c>
      <c r="L4" s="8" t="s">
        <v>104</v>
      </c>
      <c r="M4" s="8" t="n">
        <v>3</v>
      </c>
      <c r="N4" s="8" t="s">
        <v>105</v>
      </c>
      <c r="O4" s="8" t="s">
        <v>106</v>
      </c>
      <c r="P4" s="10" t="n">
        <f aca="false">INDEX(Budget_Tiers!$L$2:$L$46,MATCH($A4&amp;"|Budget",Budget_Tiers!$A$2:$A$46,0))</f>
        <v>1700</v>
      </c>
      <c r="Q4" s="10" t="n">
        <f aca="false">INDEX(Budget_Tiers!$L$2:$L$46,MATCH($A4&amp;"|Mid-range",Budget_Tiers!$A$2:$A$46,0))</f>
        <v>4200</v>
      </c>
      <c r="R4" s="10" t="n">
        <f aca="false">INDEX(Budget_Tiers!$L$2:$L$46,MATCH($A4&amp;"|Premium",Budget_Tiers!$A$2:$A$46,0))</f>
        <v>10400</v>
      </c>
      <c r="S4" s="8" t="n">
        <f aca="false">COUNTIF(Attractions!$B:$B,$A4)</f>
        <v>10</v>
      </c>
      <c r="T4" s="8" t="n">
        <f aca="false">COUNTIF(Hotels!$B:$B,$A4)</f>
        <v>8</v>
      </c>
      <c r="U4" s="8" t="n">
        <f aca="false">COUNTIF(Restaurants!$B:$B,$A4)</f>
        <v>8</v>
      </c>
      <c r="V4" s="8" t="s">
        <v>107</v>
      </c>
    </row>
    <row r="5" customFormat="false" ht="23.85" hidden="false" customHeight="false" outlineLevel="0" collapsed="false">
      <c r="A5" s="8" t="s">
        <v>108</v>
      </c>
      <c r="B5" s="8" t="s">
        <v>109</v>
      </c>
      <c r="C5" s="8" t="s">
        <v>99</v>
      </c>
      <c r="D5" s="8" t="s">
        <v>100</v>
      </c>
      <c r="E5" s="8" t="s">
        <v>110</v>
      </c>
      <c r="F5" s="9" t="n">
        <v>24.5854</v>
      </c>
      <c r="G5" s="9" t="n">
        <v>73.7125</v>
      </c>
      <c r="H5" s="10" t="n">
        <v>598</v>
      </c>
      <c r="I5" s="8" t="s">
        <v>111</v>
      </c>
      <c r="J5" s="8" t="s">
        <v>112</v>
      </c>
      <c r="K5" s="8" t="s">
        <v>113</v>
      </c>
      <c r="L5" s="8" t="s">
        <v>114</v>
      </c>
      <c r="M5" s="8" t="n">
        <v>3</v>
      </c>
      <c r="N5" s="8" t="s">
        <v>115</v>
      </c>
      <c r="O5" s="8" t="s">
        <v>116</v>
      </c>
      <c r="P5" s="10" t="n">
        <f aca="false">INDEX(Budget_Tiers!$L$2:$L$46,MATCH($A5&amp;"|Budget",Budget_Tiers!$A$2:$A$46,0))</f>
        <v>1700</v>
      </c>
      <c r="Q5" s="10" t="n">
        <f aca="false">INDEX(Budget_Tiers!$L$2:$L$46,MATCH($A5&amp;"|Mid-range",Budget_Tiers!$A$2:$A$46,0))</f>
        <v>4650</v>
      </c>
      <c r="R5" s="10" t="n">
        <f aca="false">INDEX(Budget_Tiers!$L$2:$L$46,MATCH($A5&amp;"|Premium",Budget_Tiers!$A$2:$A$46,0))</f>
        <v>11900</v>
      </c>
      <c r="S5" s="8" t="n">
        <f aca="false">COUNTIF(Attractions!$B:$B,$A5)</f>
        <v>9</v>
      </c>
      <c r="T5" s="8" t="n">
        <f aca="false">COUNTIF(Hotels!$B:$B,$A5)</f>
        <v>7</v>
      </c>
      <c r="U5" s="8" t="n">
        <f aca="false">COUNTIF(Restaurants!$B:$B,$A5)</f>
        <v>6</v>
      </c>
      <c r="V5" s="8" t="s">
        <v>117</v>
      </c>
    </row>
    <row r="6" customFormat="false" ht="35.05" hidden="false" customHeight="false" outlineLevel="0" collapsed="false">
      <c r="A6" s="8" t="s">
        <v>118</v>
      </c>
      <c r="B6" s="8" t="s">
        <v>119</v>
      </c>
      <c r="C6" s="8" t="s">
        <v>120</v>
      </c>
      <c r="D6" s="8" t="s">
        <v>121</v>
      </c>
      <c r="E6" s="8" t="s">
        <v>122</v>
      </c>
      <c r="F6" s="9" t="n">
        <v>15.335</v>
      </c>
      <c r="G6" s="9" t="n">
        <v>76.46</v>
      </c>
      <c r="H6" s="10" t="n">
        <v>467</v>
      </c>
      <c r="I6" s="8" t="s">
        <v>123</v>
      </c>
      <c r="J6" s="8" t="s">
        <v>124</v>
      </c>
      <c r="K6" s="8" t="s">
        <v>125</v>
      </c>
      <c r="L6" s="8" t="s">
        <v>126</v>
      </c>
      <c r="M6" s="8" t="n">
        <v>3</v>
      </c>
      <c r="N6" s="8" t="s">
        <v>127</v>
      </c>
      <c r="O6" s="8" t="s">
        <v>128</v>
      </c>
      <c r="P6" s="10" t="n">
        <f aca="false">INDEX(Budget_Tiers!$L$2:$L$46,MATCH($A6&amp;"|Budget",Budget_Tiers!$A$2:$A$46,0))</f>
        <v>1200</v>
      </c>
      <c r="Q6" s="10" t="n">
        <f aca="false">INDEX(Budget_Tiers!$L$2:$L$46,MATCH($A6&amp;"|Mid-range",Budget_Tiers!$A$2:$A$46,0))</f>
        <v>3550</v>
      </c>
      <c r="R6" s="10" t="n">
        <f aca="false">INDEX(Budget_Tiers!$L$2:$L$46,MATCH($A6&amp;"|Premium",Budget_Tiers!$A$2:$A$46,0))</f>
        <v>8450</v>
      </c>
      <c r="S6" s="8" t="n">
        <f aca="false">COUNTIF(Attractions!$B:$B,$A6)</f>
        <v>9</v>
      </c>
      <c r="T6" s="8" t="n">
        <f aca="false">COUNTIF(Hotels!$B:$B,$A6)</f>
        <v>7</v>
      </c>
      <c r="U6" s="8" t="n">
        <f aca="false">COUNTIF(Restaurants!$B:$B,$A6)</f>
        <v>4</v>
      </c>
      <c r="V6" s="8" t="s">
        <v>129</v>
      </c>
    </row>
    <row r="7" customFormat="false" ht="35.05" hidden="false" customHeight="false" outlineLevel="0" collapsed="false">
      <c r="A7" s="8" t="s">
        <v>130</v>
      </c>
      <c r="B7" s="8" t="s">
        <v>131</v>
      </c>
      <c r="C7" s="8" t="s">
        <v>132</v>
      </c>
      <c r="D7" s="8" t="s">
        <v>133</v>
      </c>
      <c r="E7" s="8" t="s">
        <v>134</v>
      </c>
      <c r="F7" s="9" t="n">
        <v>19.8762</v>
      </c>
      <c r="G7" s="9" t="n">
        <v>75.3433</v>
      </c>
      <c r="H7" s="10" t="n">
        <v>568</v>
      </c>
      <c r="I7" s="8" t="s">
        <v>135</v>
      </c>
      <c r="J7" s="8" t="s">
        <v>136</v>
      </c>
      <c r="K7" s="8" t="s">
        <v>137</v>
      </c>
      <c r="L7" s="8" t="s">
        <v>138</v>
      </c>
      <c r="M7" s="8" t="n">
        <v>3</v>
      </c>
      <c r="N7" s="8" t="s">
        <v>139</v>
      </c>
      <c r="O7" s="8" t="s">
        <v>140</v>
      </c>
      <c r="P7" s="10" t="n">
        <f aca="false">INDEX(Budget_Tiers!$L$2:$L$46,MATCH($A7&amp;"|Budget",Budget_Tiers!$A$2:$A$46,0))</f>
        <v>1700</v>
      </c>
      <c r="Q7" s="10" t="n">
        <f aca="false">INDEX(Budget_Tiers!$L$2:$L$46,MATCH($A7&amp;"|Mid-range",Budget_Tiers!$A$2:$A$46,0))</f>
        <v>4050</v>
      </c>
      <c r="R7" s="10" t="n">
        <f aca="false">INDEX(Budget_Tiers!$L$2:$L$46,MATCH($A7&amp;"|Premium",Budget_Tiers!$A$2:$A$46,0))</f>
        <v>8550</v>
      </c>
      <c r="S7" s="8" t="n">
        <f aca="false">COUNTIF(Attractions!$B:$B,$A7)</f>
        <v>7</v>
      </c>
      <c r="T7" s="8" t="n">
        <f aca="false">COUNTIF(Hotels!$B:$B,$A7)</f>
        <v>6</v>
      </c>
      <c r="U7" s="8" t="n">
        <f aca="false">COUNTIF(Restaurants!$B:$B,$A7)</f>
        <v>4</v>
      </c>
      <c r="V7" s="8" t="s">
        <v>141</v>
      </c>
    </row>
    <row r="8" customFormat="false" ht="23.85" hidden="false" customHeight="false" outlineLevel="0" collapsed="false">
      <c r="A8" s="8" t="s">
        <v>142</v>
      </c>
      <c r="B8" s="8" t="s">
        <v>143</v>
      </c>
      <c r="C8" s="8" t="s">
        <v>143</v>
      </c>
      <c r="D8" s="8" t="s">
        <v>133</v>
      </c>
      <c r="E8" s="8" t="s">
        <v>144</v>
      </c>
      <c r="F8" s="9" t="n">
        <v>15.2993</v>
      </c>
      <c r="G8" s="9" t="n">
        <v>74.124</v>
      </c>
      <c r="H8" s="10" t="n">
        <v>10</v>
      </c>
      <c r="I8" s="8" t="s">
        <v>145</v>
      </c>
      <c r="J8" s="8" t="s">
        <v>146</v>
      </c>
      <c r="K8" s="8" t="s">
        <v>147</v>
      </c>
      <c r="L8" s="8" t="s">
        <v>148</v>
      </c>
      <c r="M8" s="8" t="n">
        <v>5</v>
      </c>
      <c r="N8" s="8" t="s">
        <v>149</v>
      </c>
      <c r="O8" s="8" t="s">
        <v>150</v>
      </c>
      <c r="P8" s="10" t="n">
        <f aca="false">INDEX(Budget_Tiers!$L$2:$L$46,MATCH($A8&amp;"|Budget",Budget_Tiers!$A$2:$A$46,0))</f>
        <v>1900</v>
      </c>
      <c r="Q8" s="10" t="n">
        <f aca="false">INDEX(Budget_Tiers!$L$2:$L$46,MATCH($A8&amp;"|Mid-range",Budget_Tiers!$A$2:$A$46,0))</f>
        <v>5450</v>
      </c>
      <c r="R8" s="10" t="n">
        <f aca="false">INDEX(Budget_Tiers!$L$2:$L$46,MATCH($A8&amp;"|Premium",Budget_Tiers!$A$2:$A$46,0))</f>
        <v>15000</v>
      </c>
      <c r="S8" s="8" t="n">
        <f aca="false">COUNTIF(Attractions!$B:$B,$A8)</f>
        <v>10</v>
      </c>
      <c r="T8" s="8" t="n">
        <f aca="false">COUNTIF(Hotels!$B:$B,$A8)</f>
        <v>7</v>
      </c>
      <c r="U8" s="8" t="n">
        <f aca="false">COUNTIF(Restaurants!$B:$B,$A8)</f>
        <v>7</v>
      </c>
      <c r="V8" s="8" t="s">
        <v>151</v>
      </c>
    </row>
    <row r="9" customFormat="false" ht="35.05" hidden="false" customHeight="false" outlineLevel="0" collapsed="false">
      <c r="A9" s="8" t="s">
        <v>152</v>
      </c>
      <c r="B9" s="8" t="s">
        <v>153</v>
      </c>
      <c r="C9" s="8" t="s">
        <v>154</v>
      </c>
      <c r="D9" s="8" t="s">
        <v>121</v>
      </c>
      <c r="E9" s="8" t="s">
        <v>155</v>
      </c>
      <c r="F9" s="9" t="n">
        <v>9.4981</v>
      </c>
      <c r="G9" s="9" t="n">
        <v>76.3388</v>
      </c>
      <c r="H9" s="10" t="n">
        <v>1</v>
      </c>
      <c r="I9" s="8" t="s">
        <v>156</v>
      </c>
      <c r="J9" s="8" t="s">
        <v>157</v>
      </c>
      <c r="K9" s="8" t="s">
        <v>158</v>
      </c>
      <c r="L9" s="8" t="s">
        <v>159</v>
      </c>
      <c r="M9" s="8" t="n">
        <v>4</v>
      </c>
      <c r="N9" s="8" t="s">
        <v>160</v>
      </c>
      <c r="O9" s="8" t="s">
        <v>161</v>
      </c>
      <c r="P9" s="10" t="n">
        <f aca="false">INDEX(Budget_Tiers!$L$2:$L$46,MATCH($A9&amp;"|Budget",Budget_Tiers!$A$2:$A$46,0))</f>
        <v>1900</v>
      </c>
      <c r="Q9" s="10" t="n">
        <f aca="false">INDEX(Budget_Tiers!$L$2:$L$46,MATCH($A9&amp;"|Mid-range",Budget_Tiers!$A$2:$A$46,0))</f>
        <v>4750</v>
      </c>
      <c r="R9" s="10" t="n">
        <f aca="false">INDEX(Budget_Tiers!$L$2:$L$46,MATCH($A9&amp;"|Premium",Budget_Tiers!$A$2:$A$46,0))</f>
        <v>12000</v>
      </c>
      <c r="S9" s="8" t="n">
        <f aca="false">COUNTIF(Attractions!$B:$B,$A9)</f>
        <v>8</v>
      </c>
      <c r="T9" s="8" t="n">
        <f aca="false">COUNTIF(Hotels!$B:$B,$A9)</f>
        <v>7</v>
      </c>
      <c r="U9" s="8" t="n">
        <f aca="false">COUNTIF(Restaurants!$B:$B,$A9)</f>
        <v>5</v>
      </c>
      <c r="V9" s="8" t="s">
        <v>162</v>
      </c>
    </row>
    <row r="10" customFormat="false" ht="23.85" hidden="false" customHeight="false" outlineLevel="0" collapsed="false">
      <c r="A10" s="8" t="s">
        <v>163</v>
      </c>
      <c r="B10" s="8" t="s">
        <v>164</v>
      </c>
      <c r="C10" s="8" t="s">
        <v>165</v>
      </c>
      <c r="D10" s="8" t="s">
        <v>166</v>
      </c>
      <c r="E10" s="8" t="s">
        <v>167</v>
      </c>
      <c r="F10" s="9" t="n">
        <v>11.6234</v>
      </c>
      <c r="G10" s="9" t="n">
        <v>92.7265</v>
      </c>
      <c r="H10" s="10" t="n">
        <v>16</v>
      </c>
      <c r="I10" s="8" t="s">
        <v>168</v>
      </c>
      <c r="J10" s="8" t="s">
        <v>169</v>
      </c>
      <c r="K10" s="8" t="s">
        <v>170</v>
      </c>
      <c r="L10" s="8" t="s">
        <v>171</v>
      </c>
      <c r="M10" s="8" t="n">
        <v>6</v>
      </c>
      <c r="N10" s="8" t="s">
        <v>172</v>
      </c>
      <c r="O10" s="8" t="s">
        <v>173</v>
      </c>
      <c r="P10" s="10" t="n">
        <f aca="false">INDEX(Budget_Tiers!$L$2:$L$46,MATCH($A10&amp;"|Budget",Budget_Tiers!$A$2:$A$46,0))</f>
        <v>3000</v>
      </c>
      <c r="Q10" s="10" t="n">
        <f aca="false">INDEX(Budget_Tiers!$L$2:$L$46,MATCH($A10&amp;"|Mid-range",Budget_Tiers!$A$2:$A$46,0))</f>
        <v>6700</v>
      </c>
      <c r="R10" s="10" t="n">
        <f aca="false">INDEX(Budget_Tiers!$L$2:$L$46,MATCH($A10&amp;"|Premium",Budget_Tiers!$A$2:$A$46,0))</f>
        <v>15700</v>
      </c>
      <c r="S10" s="8" t="n">
        <f aca="false">COUNTIF(Attractions!$B:$B,$A10)</f>
        <v>9</v>
      </c>
      <c r="T10" s="8" t="n">
        <f aca="false">COUNTIF(Hotels!$B:$B,$A10)</f>
        <v>7</v>
      </c>
      <c r="U10" s="8" t="n">
        <f aca="false">COUNTIF(Restaurants!$B:$B,$A10)</f>
        <v>4</v>
      </c>
      <c r="V10" s="8" t="s">
        <v>174</v>
      </c>
    </row>
    <row r="11" customFormat="false" ht="35.05" hidden="false" customHeight="false" outlineLevel="0" collapsed="false">
      <c r="A11" s="8" t="s">
        <v>175</v>
      </c>
      <c r="B11" s="8" t="s">
        <v>176</v>
      </c>
      <c r="C11" s="8" t="s">
        <v>177</v>
      </c>
      <c r="D11" s="8" t="s">
        <v>121</v>
      </c>
      <c r="E11" s="8" t="s">
        <v>178</v>
      </c>
      <c r="F11" s="9" t="n">
        <v>11.9416</v>
      </c>
      <c r="G11" s="9" t="n">
        <v>79.8083</v>
      </c>
      <c r="H11" s="10" t="n">
        <v>3</v>
      </c>
      <c r="I11" s="8" t="s">
        <v>179</v>
      </c>
      <c r="J11" s="8" t="s">
        <v>180</v>
      </c>
      <c r="K11" s="8" t="s">
        <v>92</v>
      </c>
      <c r="L11" s="8" t="s">
        <v>181</v>
      </c>
      <c r="M11" s="8" t="n">
        <v>3</v>
      </c>
      <c r="N11" s="8" t="s">
        <v>182</v>
      </c>
      <c r="O11" s="8" t="s">
        <v>183</v>
      </c>
      <c r="P11" s="10" t="n">
        <f aca="false">INDEX(Budget_Tiers!$L$2:$L$46,MATCH($A11&amp;"|Budget",Budget_Tiers!$A$2:$A$46,0))</f>
        <v>1650</v>
      </c>
      <c r="Q11" s="10" t="n">
        <f aca="false">INDEX(Budget_Tiers!$L$2:$L$46,MATCH($A11&amp;"|Mid-range",Budget_Tiers!$A$2:$A$46,0))</f>
        <v>4550</v>
      </c>
      <c r="R11" s="10" t="n">
        <f aca="false">INDEX(Budget_Tiers!$L$2:$L$46,MATCH($A11&amp;"|Premium",Budget_Tiers!$A$2:$A$46,0))</f>
        <v>10400</v>
      </c>
      <c r="S11" s="8" t="n">
        <f aca="false">COUNTIF(Attractions!$B:$B,$A11)</f>
        <v>9</v>
      </c>
      <c r="T11" s="8" t="n">
        <f aca="false">COUNTIF(Hotels!$B:$B,$A11)</f>
        <v>6</v>
      </c>
      <c r="U11" s="8" t="n">
        <f aca="false">COUNTIF(Restaurants!$B:$B,$A11)</f>
        <v>7</v>
      </c>
      <c r="V11" s="8" t="s">
        <v>184</v>
      </c>
    </row>
    <row r="12" customFormat="false" ht="23.85" hidden="false" customHeight="false" outlineLevel="0" collapsed="false">
      <c r="A12" s="8" t="s">
        <v>185</v>
      </c>
      <c r="B12" s="8" t="s">
        <v>186</v>
      </c>
      <c r="C12" s="8" t="s">
        <v>88</v>
      </c>
      <c r="D12" s="8" t="s">
        <v>77</v>
      </c>
      <c r="E12" s="8" t="s">
        <v>187</v>
      </c>
      <c r="F12" s="9" t="n">
        <v>25.3176</v>
      </c>
      <c r="G12" s="9" t="n">
        <v>82.9739</v>
      </c>
      <c r="H12" s="10" t="n">
        <v>80</v>
      </c>
      <c r="I12" s="8" t="s">
        <v>188</v>
      </c>
      <c r="J12" s="8" t="s">
        <v>189</v>
      </c>
      <c r="K12" s="8" t="s">
        <v>190</v>
      </c>
      <c r="L12" s="8" t="s">
        <v>191</v>
      </c>
      <c r="M12" s="8" t="n">
        <v>3</v>
      </c>
      <c r="N12" s="8" t="s">
        <v>192</v>
      </c>
      <c r="O12" s="8" t="s">
        <v>193</v>
      </c>
      <c r="P12" s="10" t="n">
        <f aca="false">INDEX(Budget_Tiers!$L$2:$L$46,MATCH($A12&amp;"|Budget",Budget_Tiers!$A$2:$A$46,0))</f>
        <v>1300</v>
      </c>
      <c r="Q12" s="10" t="n">
        <f aca="false">INDEX(Budget_Tiers!$L$2:$L$46,MATCH($A12&amp;"|Mid-range",Budget_Tiers!$A$2:$A$46,0))</f>
        <v>3500</v>
      </c>
      <c r="R12" s="10" t="n">
        <f aca="false">INDEX(Budget_Tiers!$L$2:$L$46,MATCH($A12&amp;"|Premium",Budget_Tiers!$A$2:$A$46,0))</f>
        <v>10000</v>
      </c>
      <c r="S12" s="8" t="n">
        <f aca="false">COUNTIF(Attractions!$B:$B,$A12)</f>
        <v>9</v>
      </c>
      <c r="T12" s="8" t="n">
        <f aca="false">COUNTIF(Hotels!$B:$B,$A12)</f>
        <v>6</v>
      </c>
      <c r="U12" s="8" t="n">
        <f aca="false">COUNTIF(Restaurants!$B:$B,$A12)</f>
        <v>5</v>
      </c>
      <c r="V12" s="8" t="s">
        <v>194</v>
      </c>
    </row>
    <row r="13" customFormat="false" ht="23.85" hidden="false" customHeight="false" outlineLevel="0" collapsed="false">
      <c r="A13" s="8" t="s">
        <v>195</v>
      </c>
      <c r="B13" s="8" t="s">
        <v>196</v>
      </c>
      <c r="C13" s="8" t="s">
        <v>197</v>
      </c>
      <c r="D13" s="8" t="s">
        <v>77</v>
      </c>
      <c r="E13" s="8" t="s">
        <v>198</v>
      </c>
      <c r="F13" s="9" t="n">
        <v>31.634</v>
      </c>
      <c r="G13" s="9" t="n">
        <v>74.8723</v>
      </c>
      <c r="H13" s="10" t="n">
        <v>234</v>
      </c>
      <c r="I13" s="8" t="s">
        <v>199</v>
      </c>
      <c r="J13" s="8" t="s">
        <v>200</v>
      </c>
      <c r="K13" s="8" t="s">
        <v>201</v>
      </c>
      <c r="L13" s="8" t="s">
        <v>202</v>
      </c>
      <c r="M13" s="8" t="n">
        <v>2</v>
      </c>
      <c r="N13" s="8" t="s">
        <v>203</v>
      </c>
      <c r="O13" s="8" t="s">
        <v>204</v>
      </c>
      <c r="P13" s="10" t="n">
        <f aca="false">INDEX(Budget_Tiers!$L$2:$L$46,MATCH($A13&amp;"|Budget",Budget_Tiers!$A$2:$A$46,0))</f>
        <v>1200</v>
      </c>
      <c r="Q13" s="10" t="n">
        <f aca="false">INDEX(Budget_Tiers!$L$2:$L$46,MATCH($A13&amp;"|Mid-range",Budget_Tiers!$A$2:$A$46,0))</f>
        <v>3400</v>
      </c>
      <c r="R13" s="10" t="n">
        <f aca="false">INDEX(Budget_Tiers!$L$2:$L$46,MATCH($A13&amp;"|Premium",Budget_Tiers!$A$2:$A$46,0))</f>
        <v>8650</v>
      </c>
      <c r="S13" s="8" t="n">
        <f aca="false">COUNTIF(Attractions!$B:$B,$A13)</f>
        <v>8</v>
      </c>
      <c r="T13" s="8" t="n">
        <f aca="false">COUNTIF(Hotels!$B:$B,$A13)</f>
        <v>6</v>
      </c>
      <c r="U13" s="8" t="n">
        <f aca="false">COUNTIF(Restaurants!$B:$B,$A13)</f>
        <v>6</v>
      </c>
      <c r="V13" s="8" t="s">
        <v>205</v>
      </c>
    </row>
    <row r="14" customFormat="false" ht="35.05" hidden="false" customHeight="false" outlineLevel="0" collapsed="false">
      <c r="A14" s="8" t="s">
        <v>206</v>
      </c>
      <c r="B14" s="8" t="s">
        <v>207</v>
      </c>
      <c r="C14" s="8" t="s">
        <v>120</v>
      </c>
      <c r="D14" s="8" t="s">
        <v>121</v>
      </c>
      <c r="E14" s="8" t="s">
        <v>208</v>
      </c>
      <c r="F14" s="9" t="n">
        <v>12.2958</v>
      </c>
      <c r="G14" s="9" t="n">
        <v>76.6394</v>
      </c>
      <c r="H14" s="10" t="n">
        <v>770</v>
      </c>
      <c r="I14" s="8" t="s">
        <v>209</v>
      </c>
      <c r="J14" s="8" t="s">
        <v>210</v>
      </c>
      <c r="K14" s="8" t="s">
        <v>211</v>
      </c>
      <c r="L14" s="8" t="s">
        <v>212</v>
      </c>
      <c r="M14" s="8" t="n">
        <v>2</v>
      </c>
      <c r="N14" s="8" t="s">
        <v>213</v>
      </c>
      <c r="O14" s="8" t="s">
        <v>214</v>
      </c>
      <c r="P14" s="10" t="n">
        <f aca="false">INDEX(Budget_Tiers!$L$2:$L$46,MATCH($A14&amp;"|Budget",Budget_Tiers!$A$2:$A$46,0))</f>
        <v>1400</v>
      </c>
      <c r="Q14" s="10" t="n">
        <f aca="false">INDEX(Budget_Tiers!$L$2:$L$46,MATCH($A14&amp;"|Mid-range",Budget_Tiers!$A$2:$A$46,0))</f>
        <v>3600</v>
      </c>
      <c r="R14" s="10" t="n">
        <f aca="false">INDEX(Budget_Tiers!$L$2:$L$46,MATCH($A14&amp;"|Premium",Budget_Tiers!$A$2:$A$46,0))</f>
        <v>8900</v>
      </c>
      <c r="S14" s="8" t="n">
        <f aca="false">COUNTIF(Attractions!$B:$B,$A14)</f>
        <v>8</v>
      </c>
      <c r="T14" s="8" t="n">
        <f aca="false">COUNTIF(Hotels!$B:$B,$A14)</f>
        <v>6</v>
      </c>
      <c r="U14" s="8" t="n">
        <f aca="false">COUNTIF(Restaurants!$B:$B,$A14)</f>
        <v>4</v>
      </c>
      <c r="V14" s="8" t="s">
        <v>215</v>
      </c>
    </row>
    <row r="15" customFormat="false" ht="35.05" hidden="false" customHeight="false" outlineLevel="0" collapsed="false">
      <c r="A15" s="8" t="s">
        <v>216</v>
      </c>
      <c r="B15" s="8" t="s">
        <v>217</v>
      </c>
      <c r="C15" s="8" t="s">
        <v>218</v>
      </c>
      <c r="D15" s="8" t="s">
        <v>219</v>
      </c>
      <c r="E15" s="8" t="s">
        <v>220</v>
      </c>
      <c r="F15" s="9" t="n">
        <v>34.1526</v>
      </c>
      <c r="G15" s="9" t="n">
        <v>77.5771</v>
      </c>
      <c r="H15" s="10" t="n">
        <v>3524</v>
      </c>
      <c r="I15" s="8" t="s">
        <v>221</v>
      </c>
      <c r="J15" s="8" t="s">
        <v>222</v>
      </c>
      <c r="K15" s="8" t="s">
        <v>223</v>
      </c>
      <c r="L15" s="8" t="s">
        <v>224</v>
      </c>
      <c r="M15" s="8" t="n">
        <v>7</v>
      </c>
      <c r="N15" s="8" t="s">
        <v>225</v>
      </c>
      <c r="O15" s="8" t="s">
        <v>226</v>
      </c>
      <c r="P15" s="10" t="n">
        <f aca="false">INDEX(Budget_Tiers!$L$2:$L$46,MATCH($A15&amp;"|Budget",Budget_Tiers!$A$2:$A$46,0))</f>
        <v>2650</v>
      </c>
      <c r="Q15" s="10" t="n">
        <f aca="false">INDEX(Budget_Tiers!$L$2:$L$46,MATCH($A15&amp;"|Mid-range",Budget_Tiers!$A$2:$A$46,0))</f>
        <v>6100</v>
      </c>
      <c r="R15" s="10" t="n">
        <f aca="false">INDEX(Budget_Tiers!$L$2:$L$46,MATCH($A15&amp;"|Premium",Budget_Tiers!$A$2:$A$46,0))</f>
        <v>13800</v>
      </c>
      <c r="S15" s="8" t="n">
        <f aca="false">COUNTIF(Attractions!$B:$B,$A15)</f>
        <v>10</v>
      </c>
      <c r="T15" s="8" t="n">
        <f aca="false">COUNTIF(Hotels!$B:$B,$A15)</f>
        <v>6</v>
      </c>
      <c r="U15" s="8" t="n">
        <f aca="false">COUNTIF(Restaurants!$B:$B,$A15)</f>
        <v>5</v>
      </c>
      <c r="V15" s="8" t="s">
        <v>227</v>
      </c>
    </row>
    <row r="16" customFormat="false" ht="35.05" hidden="false" customHeight="false" outlineLevel="0" collapsed="false">
      <c r="A16" s="8" t="s">
        <v>228</v>
      </c>
      <c r="B16" s="8" t="s">
        <v>229</v>
      </c>
      <c r="C16" s="8" t="s">
        <v>230</v>
      </c>
      <c r="D16" s="8" t="s">
        <v>231</v>
      </c>
      <c r="E16" s="8" t="s">
        <v>232</v>
      </c>
      <c r="F16" s="9" t="n">
        <v>27.036</v>
      </c>
      <c r="G16" s="9" t="n">
        <v>88.2627</v>
      </c>
      <c r="H16" s="10" t="n">
        <v>2042</v>
      </c>
      <c r="I16" s="8" t="s">
        <v>233</v>
      </c>
      <c r="J16" s="8" t="s">
        <v>234</v>
      </c>
      <c r="K16" s="8" t="s">
        <v>235</v>
      </c>
      <c r="L16" s="8" t="s">
        <v>236</v>
      </c>
      <c r="M16" s="8" t="n">
        <v>3</v>
      </c>
      <c r="N16" s="8" t="s">
        <v>237</v>
      </c>
      <c r="O16" s="8" t="s">
        <v>238</v>
      </c>
      <c r="P16" s="10" t="n">
        <f aca="false">INDEX(Budget_Tiers!$L$2:$L$46,MATCH($A16&amp;"|Budget",Budget_Tiers!$A$2:$A$46,0))</f>
        <v>1750</v>
      </c>
      <c r="Q16" s="10" t="n">
        <f aca="false">INDEX(Budget_Tiers!$L$2:$L$46,MATCH($A16&amp;"|Mid-range",Budget_Tiers!$A$2:$A$46,0))</f>
        <v>4400</v>
      </c>
      <c r="R16" s="10" t="n">
        <f aca="false">INDEX(Budget_Tiers!$L$2:$L$46,MATCH($A16&amp;"|Premium",Budget_Tiers!$A$2:$A$46,0))</f>
        <v>10550</v>
      </c>
      <c r="S16" s="8" t="n">
        <f aca="false">COUNTIF(Attractions!$B:$B,$A16)</f>
        <v>9</v>
      </c>
      <c r="T16" s="8" t="n">
        <f aca="false">COUNTIF(Hotels!$B:$B,$A16)</f>
        <v>7</v>
      </c>
      <c r="U16" s="8" t="n">
        <f aca="false">COUNTIF(Restaurants!$B:$B,$A16)</f>
        <v>6</v>
      </c>
      <c r="V16" s="8" t="s">
        <v>239</v>
      </c>
    </row>
  </sheetData>
  <autoFilter ref="A1:V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70"/>
    <col collapsed="false" customWidth="true" hidden="false" outlineLevel="0" max="14" min="14" style="0" width="11"/>
  </cols>
  <sheetData>
    <row r="1" customFormat="false" ht="31.5" hidden="false" customHeight="true" outlineLevel="0" collapsed="false">
      <c r="A1" s="7" t="s">
        <v>240</v>
      </c>
      <c r="B1" s="7" t="s">
        <v>52</v>
      </c>
      <c r="C1" s="7" t="s">
        <v>53</v>
      </c>
      <c r="D1" s="7" t="s">
        <v>241</v>
      </c>
      <c r="E1" s="7" t="s">
        <v>56</v>
      </c>
      <c r="F1" s="7" t="s">
        <v>242</v>
      </c>
      <c r="G1" s="7" t="s">
        <v>243</v>
      </c>
      <c r="H1" s="7" t="s">
        <v>244</v>
      </c>
      <c r="I1" s="7" t="s">
        <v>245</v>
      </c>
      <c r="J1" s="7" t="s">
        <v>246</v>
      </c>
      <c r="K1" s="7" t="s">
        <v>247</v>
      </c>
      <c r="L1" s="7" t="s">
        <v>248</v>
      </c>
      <c r="M1" s="7" t="s">
        <v>249</v>
      </c>
      <c r="N1" s="7" t="s">
        <v>250</v>
      </c>
    </row>
    <row r="2" customFormat="false" ht="23.85" hidden="false" customHeight="false" outlineLevel="0" collapsed="false">
      <c r="A2" s="8" t="s">
        <v>251</v>
      </c>
      <c r="B2" s="11" t="s">
        <v>74</v>
      </c>
      <c r="C2" s="8" t="s">
        <v>75</v>
      </c>
      <c r="D2" s="8" t="s">
        <v>252</v>
      </c>
      <c r="E2" s="8" t="s">
        <v>253</v>
      </c>
      <c r="F2" s="10" t="n">
        <v>35</v>
      </c>
      <c r="G2" s="10" t="n">
        <v>500</v>
      </c>
      <c r="H2" s="8" t="s">
        <v>254</v>
      </c>
      <c r="I2" s="8" t="s">
        <v>255</v>
      </c>
      <c r="J2" s="8" t="s">
        <v>256</v>
      </c>
      <c r="K2" s="8" t="s">
        <v>257</v>
      </c>
      <c r="L2" s="11" t="s">
        <v>258</v>
      </c>
      <c r="M2" s="8" t="s">
        <v>259</v>
      </c>
      <c r="N2" s="11" t="s">
        <v>260</v>
      </c>
    </row>
    <row r="3" customFormat="false" ht="23.85" hidden="false" customHeight="false" outlineLevel="0" collapsed="false">
      <c r="A3" s="8" t="s">
        <v>261</v>
      </c>
      <c r="B3" s="11" t="s">
        <v>74</v>
      </c>
      <c r="C3" s="8" t="s">
        <v>75</v>
      </c>
      <c r="D3" s="8" t="s">
        <v>262</v>
      </c>
      <c r="E3" s="8" t="s">
        <v>253</v>
      </c>
      <c r="F3" s="10" t="n">
        <v>35</v>
      </c>
      <c r="G3" s="10" t="n">
        <v>550</v>
      </c>
      <c r="H3" s="8" t="s">
        <v>263</v>
      </c>
      <c r="I3" s="8" t="s">
        <v>264</v>
      </c>
      <c r="J3" s="8" t="s">
        <v>265</v>
      </c>
      <c r="K3" s="8" t="s">
        <v>266</v>
      </c>
      <c r="L3" s="11" t="s">
        <v>258</v>
      </c>
      <c r="M3" s="8" t="s">
        <v>267</v>
      </c>
      <c r="N3" s="11" t="s">
        <v>260</v>
      </c>
    </row>
    <row r="4" customFormat="false" ht="15" hidden="false" customHeight="false" outlineLevel="0" collapsed="false">
      <c r="A4" s="8" t="s">
        <v>268</v>
      </c>
      <c r="B4" s="11" t="s">
        <v>74</v>
      </c>
      <c r="C4" s="8" t="s">
        <v>75</v>
      </c>
      <c r="D4" s="8" t="s">
        <v>269</v>
      </c>
      <c r="E4" s="8" t="s">
        <v>253</v>
      </c>
      <c r="F4" s="10" t="n">
        <v>35</v>
      </c>
      <c r="G4" s="10" t="n">
        <v>550</v>
      </c>
      <c r="H4" s="8" t="s">
        <v>270</v>
      </c>
      <c r="I4" s="8" t="s">
        <v>264</v>
      </c>
      <c r="J4" s="8" t="s">
        <v>265</v>
      </c>
      <c r="K4" s="8" t="s">
        <v>257</v>
      </c>
      <c r="L4" s="11" t="s">
        <v>258</v>
      </c>
      <c r="M4" s="8" t="s">
        <v>271</v>
      </c>
      <c r="N4" s="11" t="s">
        <v>260</v>
      </c>
    </row>
    <row r="5" customFormat="false" ht="23.85" hidden="false" customHeight="false" outlineLevel="0" collapsed="false">
      <c r="A5" s="8" t="s">
        <v>272</v>
      </c>
      <c r="B5" s="11" t="s">
        <v>74</v>
      </c>
      <c r="C5" s="8" t="s">
        <v>75</v>
      </c>
      <c r="D5" s="8" t="s">
        <v>273</v>
      </c>
      <c r="E5" s="8" t="s">
        <v>274</v>
      </c>
      <c r="F5" s="10" t="n">
        <v>0</v>
      </c>
      <c r="G5" s="10" t="n">
        <v>0</v>
      </c>
      <c r="H5" s="8" t="s">
        <v>275</v>
      </c>
      <c r="I5" s="8" t="s">
        <v>264</v>
      </c>
      <c r="J5" s="8" t="s">
        <v>276</v>
      </c>
      <c r="K5" s="8" t="s">
        <v>277</v>
      </c>
      <c r="L5" s="11" t="s">
        <v>278</v>
      </c>
      <c r="M5" s="8" t="s">
        <v>279</v>
      </c>
      <c r="N5" s="11" t="s">
        <v>260</v>
      </c>
    </row>
    <row r="6" customFormat="false" ht="15" hidden="false" customHeight="false" outlineLevel="0" collapsed="false">
      <c r="A6" s="8" t="s">
        <v>280</v>
      </c>
      <c r="B6" s="11" t="s">
        <v>74</v>
      </c>
      <c r="C6" s="8" t="s">
        <v>75</v>
      </c>
      <c r="D6" s="8" t="s">
        <v>281</v>
      </c>
      <c r="E6" s="8" t="s">
        <v>282</v>
      </c>
      <c r="F6" s="10" t="n">
        <v>0</v>
      </c>
      <c r="G6" s="10" t="n">
        <v>0</v>
      </c>
      <c r="H6" s="8" t="s">
        <v>283</v>
      </c>
      <c r="I6" s="8" t="s">
        <v>255</v>
      </c>
      <c r="J6" s="8" t="s">
        <v>276</v>
      </c>
      <c r="K6" s="8" t="s">
        <v>284</v>
      </c>
      <c r="L6" s="11" t="s">
        <v>278</v>
      </c>
      <c r="M6" s="8" t="s">
        <v>285</v>
      </c>
      <c r="N6" s="11" t="s">
        <v>260</v>
      </c>
    </row>
    <row r="7" customFormat="false" ht="23.85" hidden="false" customHeight="false" outlineLevel="0" collapsed="false">
      <c r="A7" s="8" t="s">
        <v>286</v>
      </c>
      <c r="B7" s="11" t="s">
        <v>74</v>
      </c>
      <c r="C7" s="8" t="s">
        <v>75</v>
      </c>
      <c r="D7" s="8" t="s">
        <v>287</v>
      </c>
      <c r="E7" s="8" t="s">
        <v>282</v>
      </c>
      <c r="F7" s="10" t="n">
        <v>0</v>
      </c>
      <c r="G7" s="10" t="n">
        <v>0</v>
      </c>
      <c r="H7" s="8" t="s">
        <v>288</v>
      </c>
      <c r="I7" s="8" t="s">
        <v>255</v>
      </c>
      <c r="J7" s="8" t="s">
        <v>289</v>
      </c>
      <c r="K7" s="8" t="s">
        <v>290</v>
      </c>
      <c r="L7" s="11" t="s">
        <v>278</v>
      </c>
      <c r="M7" s="8" t="s">
        <v>291</v>
      </c>
      <c r="N7" s="11" t="s">
        <v>260</v>
      </c>
    </row>
    <row r="8" customFormat="false" ht="23.85" hidden="false" customHeight="false" outlineLevel="0" collapsed="false">
      <c r="A8" s="8" t="s">
        <v>292</v>
      </c>
      <c r="B8" s="11" t="s">
        <v>74</v>
      </c>
      <c r="C8" s="8" t="s">
        <v>75</v>
      </c>
      <c r="D8" s="8" t="s">
        <v>293</v>
      </c>
      <c r="E8" s="8" t="s">
        <v>282</v>
      </c>
      <c r="F8" s="10" t="n">
        <v>0</v>
      </c>
      <c r="G8" s="10" t="n">
        <v>0</v>
      </c>
      <c r="H8" s="8" t="s">
        <v>294</v>
      </c>
      <c r="I8" s="8" t="s">
        <v>264</v>
      </c>
      <c r="J8" s="8" t="s">
        <v>276</v>
      </c>
      <c r="K8" s="8" t="s">
        <v>257</v>
      </c>
      <c r="L8" s="11" t="s">
        <v>278</v>
      </c>
      <c r="M8" s="8" t="s">
        <v>295</v>
      </c>
      <c r="N8" s="11" t="s">
        <v>260</v>
      </c>
    </row>
    <row r="9" customFormat="false" ht="23.85" hidden="false" customHeight="false" outlineLevel="0" collapsed="false">
      <c r="A9" s="8" t="s">
        <v>296</v>
      </c>
      <c r="B9" s="11" t="s">
        <v>74</v>
      </c>
      <c r="C9" s="8" t="s">
        <v>75</v>
      </c>
      <c r="D9" s="8" t="s">
        <v>297</v>
      </c>
      <c r="E9" s="8" t="s">
        <v>298</v>
      </c>
      <c r="F9" s="10" t="n">
        <v>0</v>
      </c>
      <c r="G9" s="10" t="n">
        <v>0</v>
      </c>
      <c r="H9" s="8" t="s">
        <v>299</v>
      </c>
      <c r="I9" s="8" t="s">
        <v>300</v>
      </c>
      <c r="J9" s="8" t="s">
        <v>301</v>
      </c>
      <c r="K9" s="8" t="s">
        <v>302</v>
      </c>
      <c r="L9" s="11" t="s">
        <v>278</v>
      </c>
      <c r="M9" s="8" t="s">
        <v>303</v>
      </c>
      <c r="N9" s="11" t="s">
        <v>260</v>
      </c>
    </row>
    <row r="10" customFormat="false" ht="15" hidden="false" customHeight="false" outlineLevel="0" collapsed="false">
      <c r="A10" s="8" t="s">
        <v>304</v>
      </c>
      <c r="B10" s="11" t="s">
        <v>74</v>
      </c>
      <c r="C10" s="8" t="s">
        <v>75</v>
      </c>
      <c r="D10" s="8" t="s">
        <v>305</v>
      </c>
      <c r="E10" s="8" t="s">
        <v>306</v>
      </c>
      <c r="F10" s="10" t="n">
        <v>20</v>
      </c>
      <c r="G10" s="10" t="n">
        <v>650</v>
      </c>
      <c r="H10" s="8" t="s">
        <v>307</v>
      </c>
      <c r="I10" s="8" t="s">
        <v>255</v>
      </c>
      <c r="J10" s="8" t="s">
        <v>308</v>
      </c>
      <c r="K10" s="8" t="s">
        <v>309</v>
      </c>
      <c r="L10" s="11" t="s">
        <v>278</v>
      </c>
      <c r="M10" s="8" t="s">
        <v>310</v>
      </c>
      <c r="N10" s="11" t="s">
        <v>311</v>
      </c>
    </row>
    <row r="11" customFormat="false" ht="15" hidden="false" customHeight="false" outlineLevel="0" collapsed="false">
      <c r="A11" s="8" t="s">
        <v>312</v>
      </c>
      <c r="B11" s="11" t="s">
        <v>74</v>
      </c>
      <c r="C11" s="8" t="s">
        <v>75</v>
      </c>
      <c r="D11" s="8" t="s">
        <v>313</v>
      </c>
      <c r="E11" s="8" t="s">
        <v>253</v>
      </c>
      <c r="F11" s="10" t="n">
        <v>25</v>
      </c>
      <c r="G11" s="10" t="n">
        <v>200</v>
      </c>
      <c r="H11" s="8" t="s">
        <v>314</v>
      </c>
      <c r="I11" s="8" t="s">
        <v>264</v>
      </c>
      <c r="J11" s="8" t="s">
        <v>315</v>
      </c>
      <c r="K11" s="8" t="s">
        <v>257</v>
      </c>
      <c r="L11" s="11" t="s">
        <v>278</v>
      </c>
      <c r="M11" s="8" t="s">
        <v>316</v>
      </c>
      <c r="N11" s="11" t="s">
        <v>311</v>
      </c>
    </row>
    <row r="12" customFormat="false" ht="15" hidden="false" customHeight="false" outlineLevel="0" collapsed="false">
      <c r="A12" s="8" t="s">
        <v>317</v>
      </c>
      <c r="B12" s="11" t="s">
        <v>74</v>
      </c>
      <c r="C12" s="8" t="s">
        <v>75</v>
      </c>
      <c r="D12" s="8" t="s">
        <v>318</v>
      </c>
      <c r="E12" s="8" t="s">
        <v>319</v>
      </c>
      <c r="F12" s="10" t="n">
        <v>0</v>
      </c>
      <c r="G12" s="10" t="n">
        <v>0</v>
      </c>
      <c r="H12" s="8" t="s">
        <v>320</v>
      </c>
      <c r="I12" s="8" t="s">
        <v>264</v>
      </c>
      <c r="J12" s="8" t="s">
        <v>265</v>
      </c>
      <c r="K12" s="8" t="s">
        <v>321</v>
      </c>
      <c r="L12" s="11" t="s">
        <v>278</v>
      </c>
      <c r="M12" s="8" t="s">
        <v>322</v>
      </c>
      <c r="N12" s="11" t="s">
        <v>260</v>
      </c>
    </row>
    <row r="13" customFormat="false" ht="15" hidden="false" customHeight="false" outlineLevel="0" collapsed="false">
      <c r="A13" s="8" t="s">
        <v>323</v>
      </c>
      <c r="B13" s="11" t="s">
        <v>74</v>
      </c>
      <c r="C13" s="8" t="s">
        <v>75</v>
      </c>
      <c r="D13" s="8" t="s">
        <v>324</v>
      </c>
      <c r="E13" s="8" t="s">
        <v>325</v>
      </c>
      <c r="F13" s="10" t="n">
        <v>0</v>
      </c>
      <c r="G13" s="10" t="n">
        <v>0</v>
      </c>
      <c r="H13" s="8" t="s">
        <v>326</v>
      </c>
      <c r="I13" s="8" t="s">
        <v>264</v>
      </c>
      <c r="J13" s="8" t="s">
        <v>308</v>
      </c>
      <c r="K13" s="8" t="s">
        <v>277</v>
      </c>
      <c r="L13" s="11" t="s">
        <v>278</v>
      </c>
      <c r="M13" s="8" t="s">
        <v>327</v>
      </c>
      <c r="N13" s="11" t="s">
        <v>260</v>
      </c>
    </row>
    <row r="14" customFormat="false" ht="57.45" hidden="false" customHeight="false" outlineLevel="0" collapsed="false">
      <c r="A14" s="8" t="s">
        <v>328</v>
      </c>
      <c r="B14" s="11" t="s">
        <v>86</v>
      </c>
      <c r="C14" s="8" t="s">
        <v>87</v>
      </c>
      <c r="D14" s="8" t="s">
        <v>329</v>
      </c>
      <c r="E14" s="8" t="s">
        <v>253</v>
      </c>
      <c r="F14" s="10" t="n">
        <v>50</v>
      </c>
      <c r="G14" s="10" t="n">
        <v>1100</v>
      </c>
      <c r="H14" s="8" t="s">
        <v>330</v>
      </c>
      <c r="I14" s="8" t="s">
        <v>331</v>
      </c>
      <c r="J14" s="8" t="s">
        <v>301</v>
      </c>
      <c r="K14" s="8" t="s">
        <v>332</v>
      </c>
      <c r="L14" s="11" t="s">
        <v>258</v>
      </c>
      <c r="M14" s="8" t="s">
        <v>333</v>
      </c>
      <c r="N14" s="11" t="s">
        <v>334</v>
      </c>
    </row>
    <row r="15" customFormat="false" ht="15" hidden="false" customHeight="false" outlineLevel="0" collapsed="false">
      <c r="A15" s="8" t="s">
        <v>335</v>
      </c>
      <c r="B15" s="11" t="s">
        <v>86</v>
      </c>
      <c r="C15" s="8" t="s">
        <v>87</v>
      </c>
      <c r="D15" s="8" t="s">
        <v>336</v>
      </c>
      <c r="E15" s="8" t="s">
        <v>253</v>
      </c>
      <c r="F15" s="10" t="n">
        <v>50</v>
      </c>
      <c r="G15" s="10" t="n">
        <v>650</v>
      </c>
      <c r="H15" s="8" t="s">
        <v>314</v>
      </c>
      <c r="I15" s="8" t="s">
        <v>264</v>
      </c>
      <c r="J15" s="8" t="s">
        <v>256</v>
      </c>
      <c r="K15" s="8" t="s">
        <v>257</v>
      </c>
      <c r="L15" s="11" t="s">
        <v>258</v>
      </c>
      <c r="M15" s="8" t="s">
        <v>337</v>
      </c>
      <c r="N15" s="11" t="s">
        <v>260</v>
      </c>
    </row>
    <row r="16" customFormat="false" ht="23.85" hidden="false" customHeight="false" outlineLevel="0" collapsed="false">
      <c r="A16" s="8" t="s">
        <v>338</v>
      </c>
      <c r="B16" s="11" t="s">
        <v>86</v>
      </c>
      <c r="C16" s="8" t="s">
        <v>87</v>
      </c>
      <c r="D16" s="8" t="s">
        <v>339</v>
      </c>
      <c r="E16" s="8" t="s">
        <v>340</v>
      </c>
      <c r="F16" s="10" t="n">
        <v>50</v>
      </c>
      <c r="G16" s="10" t="n">
        <v>610</v>
      </c>
      <c r="H16" s="8" t="s">
        <v>314</v>
      </c>
      <c r="I16" s="8" t="s">
        <v>264</v>
      </c>
      <c r="J16" s="8" t="s">
        <v>301</v>
      </c>
      <c r="K16" s="8" t="s">
        <v>257</v>
      </c>
      <c r="L16" s="11" t="s">
        <v>258</v>
      </c>
      <c r="M16" s="8" t="s">
        <v>341</v>
      </c>
      <c r="N16" s="11" t="s">
        <v>260</v>
      </c>
    </row>
    <row r="17" customFormat="false" ht="15" hidden="false" customHeight="false" outlineLevel="0" collapsed="false">
      <c r="A17" s="8" t="s">
        <v>342</v>
      </c>
      <c r="B17" s="11" t="s">
        <v>86</v>
      </c>
      <c r="C17" s="8" t="s">
        <v>87</v>
      </c>
      <c r="D17" s="8" t="s">
        <v>343</v>
      </c>
      <c r="E17" s="8" t="s">
        <v>253</v>
      </c>
      <c r="F17" s="10" t="n">
        <v>30</v>
      </c>
      <c r="G17" s="10" t="n">
        <v>310</v>
      </c>
      <c r="H17" s="8" t="s">
        <v>314</v>
      </c>
      <c r="I17" s="8" t="s">
        <v>264</v>
      </c>
      <c r="J17" s="8" t="s">
        <v>276</v>
      </c>
      <c r="K17" s="8" t="s">
        <v>284</v>
      </c>
      <c r="L17" s="11" t="s">
        <v>278</v>
      </c>
      <c r="M17" s="8" t="s">
        <v>344</v>
      </c>
      <c r="N17" s="11" t="s">
        <v>260</v>
      </c>
    </row>
    <row r="18" customFormat="false" ht="15" hidden="false" customHeight="false" outlineLevel="0" collapsed="false">
      <c r="A18" s="8" t="s">
        <v>345</v>
      </c>
      <c r="B18" s="11" t="s">
        <v>86</v>
      </c>
      <c r="C18" s="8" t="s">
        <v>87</v>
      </c>
      <c r="D18" s="8" t="s">
        <v>346</v>
      </c>
      <c r="E18" s="8" t="s">
        <v>347</v>
      </c>
      <c r="F18" s="10" t="n">
        <v>50</v>
      </c>
      <c r="G18" s="10" t="n">
        <v>200</v>
      </c>
      <c r="H18" s="8" t="s">
        <v>314</v>
      </c>
      <c r="I18" s="8" t="s">
        <v>264</v>
      </c>
      <c r="J18" s="8" t="s">
        <v>276</v>
      </c>
      <c r="K18" s="8" t="s">
        <v>348</v>
      </c>
      <c r="L18" s="11" t="s">
        <v>278</v>
      </c>
      <c r="M18" s="8" t="s">
        <v>349</v>
      </c>
      <c r="N18" s="11" t="s">
        <v>311</v>
      </c>
    </row>
    <row r="19" customFormat="false" ht="15" hidden="false" customHeight="false" outlineLevel="0" collapsed="false">
      <c r="A19" s="8" t="s">
        <v>350</v>
      </c>
      <c r="B19" s="11" t="s">
        <v>86</v>
      </c>
      <c r="C19" s="8" t="s">
        <v>87</v>
      </c>
      <c r="D19" s="8" t="s">
        <v>351</v>
      </c>
      <c r="E19" s="8" t="s">
        <v>253</v>
      </c>
      <c r="F19" s="10" t="n">
        <v>30</v>
      </c>
      <c r="G19" s="10" t="n">
        <v>310</v>
      </c>
      <c r="H19" s="8" t="s">
        <v>314</v>
      </c>
      <c r="I19" s="8" t="s">
        <v>264</v>
      </c>
      <c r="J19" s="8" t="s">
        <v>276</v>
      </c>
      <c r="K19" s="8" t="s">
        <v>257</v>
      </c>
      <c r="L19" s="11" t="s">
        <v>278</v>
      </c>
      <c r="M19" s="8" t="s">
        <v>352</v>
      </c>
      <c r="N19" s="11" t="s">
        <v>260</v>
      </c>
    </row>
    <row r="20" customFormat="false" ht="23.85" hidden="false" customHeight="false" outlineLevel="0" collapsed="false">
      <c r="A20" s="8" t="s">
        <v>353</v>
      </c>
      <c r="B20" s="11" t="s">
        <v>86</v>
      </c>
      <c r="C20" s="8" t="s">
        <v>87</v>
      </c>
      <c r="D20" s="8" t="s">
        <v>354</v>
      </c>
      <c r="E20" s="8" t="s">
        <v>355</v>
      </c>
      <c r="F20" s="10" t="n">
        <v>0</v>
      </c>
      <c r="G20" s="10" t="n">
        <v>0</v>
      </c>
      <c r="H20" s="8" t="s">
        <v>356</v>
      </c>
      <c r="I20" s="8" t="s">
        <v>357</v>
      </c>
      <c r="J20" s="8" t="s">
        <v>256</v>
      </c>
      <c r="K20" s="8" t="s">
        <v>358</v>
      </c>
      <c r="L20" s="11" t="s">
        <v>278</v>
      </c>
      <c r="M20" s="8" t="s">
        <v>359</v>
      </c>
      <c r="N20" s="11" t="s">
        <v>311</v>
      </c>
    </row>
    <row r="21" customFormat="false" ht="23.85" hidden="false" customHeight="false" outlineLevel="0" collapsed="false">
      <c r="A21" s="8" t="s">
        <v>360</v>
      </c>
      <c r="B21" s="11" t="s">
        <v>86</v>
      </c>
      <c r="C21" s="8" t="s">
        <v>87</v>
      </c>
      <c r="D21" s="8" t="s">
        <v>361</v>
      </c>
      <c r="E21" s="8" t="s">
        <v>362</v>
      </c>
      <c r="F21" s="10"/>
      <c r="G21" s="10"/>
      <c r="H21" s="8" t="s">
        <v>363</v>
      </c>
      <c r="I21" s="8" t="s">
        <v>357</v>
      </c>
      <c r="J21" s="8" t="s">
        <v>265</v>
      </c>
      <c r="K21" s="8" t="s">
        <v>277</v>
      </c>
      <c r="L21" s="11" t="s">
        <v>278</v>
      </c>
      <c r="M21" s="8" t="s">
        <v>364</v>
      </c>
      <c r="N21" s="11" t="s">
        <v>311</v>
      </c>
    </row>
    <row r="22" customFormat="false" ht="23.85" hidden="false" customHeight="false" outlineLevel="0" collapsed="false">
      <c r="A22" s="8" t="s">
        <v>365</v>
      </c>
      <c r="B22" s="11" t="s">
        <v>97</v>
      </c>
      <c r="C22" s="8" t="s">
        <v>98</v>
      </c>
      <c r="D22" s="8" t="s">
        <v>366</v>
      </c>
      <c r="E22" s="8" t="s">
        <v>253</v>
      </c>
      <c r="F22" s="10" t="n">
        <v>100</v>
      </c>
      <c r="G22" s="10" t="n">
        <v>500</v>
      </c>
      <c r="H22" s="8" t="s">
        <v>367</v>
      </c>
      <c r="I22" s="8" t="s">
        <v>264</v>
      </c>
      <c r="J22" s="8" t="s">
        <v>301</v>
      </c>
      <c r="K22" s="8" t="s">
        <v>368</v>
      </c>
      <c r="L22" s="11" t="s">
        <v>258</v>
      </c>
      <c r="M22" s="8" t="s">
        <v>369</v>
      </c>
      <c r="N22" s="11" t="s">
        <v>260</v>
      </c>
    </row>
    <row r="23" customFormat="false" ht="15" hidden="false" customHeight="false" outlineLevel="0" collapsed="false">
      <c r="A23" s="8" t="s">
        <v>370</v>
      </c>
      <c r="B23" s="11" t="s">
        <v>97</v>
      </c>
      <c r="C23" s="8" t="s">
        <v>98</v>
      </c>
      <c r="D23" s="8" t="s">
        <v>371</v>
      </c>
      <c r="E23" s="8" t="s">
        <v>372</v>
      </c>
      <c r="F23" s="10" t="n">
        <v>200</v>
      </c>
      <c r="G23" s="10" t="n">
        <v>700</v>
      </c>
      <c r="H23" s="8" t="s">
        <v>373</v>
      </c>
      <c r="I23" s="8" t="s">
        <v>264</v>
      </c>
      <c r="J23" s="8" t="s">
        <v>374</v>
      </c>
      <c r="K23" s="8" t="s">
        <v>257</v>
      </c>
      <c r="L23" s="11" t="s">
        <v>278</v>
      </c>
      <c r="M23" s="8" t="s">
        <v>375</v>
      </c>
      <c r="N23" s="11" t="s">
        <v>260</v>
      </c>
    </row>
    <row r="24" customFormat="false" ht="15" hidden="false" customHeight="false" outlineLevel="0" collapsed="false">
      <c r="A24" s="8" t="s">
        <v>376</v>
      </c>
      <c r="B24" s="11" t="s">
        <v>97</v>
      </c>
      <c r="C24" s="8" t="s">
        <v>98</v>
      </c>
      <c r="D24" s="8" t="s">
        <v>377</v>
      </c>
      <c r="E24" s="8" t="s">
        <v>253</v>
      </c>
      <c r="F24" s="10" t="n">
        <v>50</v>
      </c>
      <c r="G24" s="10" t="n">
        <v>200</v>
      </c>
      <c r="H24" s="8" t="s">
        <v>378</v>
      </c>
      <c r="I24" s="8" t="s">
        <v>264</v>
      </c>
      <c r="J24" s="8" t="s">
        <v>276</v>
      </c>
      <c r="K24" s="8" t="s">
        <v>379</v>
      </c>
      <c r="L24" s="11" t="s">
        <v>278</v>
      </c>
      <c r="M24" s="8" t="s">
        <v>380</v>
      </c>
      <c r="N24" s="11" t="s">
        <v>260</v>
      </c>
    </row>
    <row r="25" customFormat="false" ht="15" hidden="false" customHeight="false" outlineLevel="0" collapsed="false">
      <c r="A25" s="8" t="s">
        <v>381</v>
      </c>
      <c r="B25" s="11" t="s">
        <v>97</v>
      </c>
      <c r="C25" s="8" t="s">
        <v>98</v>
      </c>
      <c r="D25" s="8" t="s">
        <v>382</v>
      </c>
      <c r="E25" s="8" t="s">
        <v>253</v>
      </c>
      <c r="F25" s="10" t="n">
        <v>50</v>
      </c>
      <c r="G25" s="10" t="n">
        <v>200</v>
      </c>
      <c r="H25" s="8" t="s">
        <v>378</v>
      </c>
      <c r="I25" s="8" t="s">
        <v>264</v>
      </c>
      <c r="J25" s="8" t="s">
        <v>265</v>
      </c>
      <c r="K25" s="8" t="s">
        <v>383</v>
      </c>
      <c r="L25" s="11" t="s">
        <v>258</v>
      </c>
      <c r="M25" s="8" t="s">
        <v>384</v>
      </c>
      <c r="N25" s="11" t="s">
        <v>260</v>
      </c>
    </row>
    <row r="26" customFormat="false" ht="15" hidden="false" customHeight="false" outlineLevel="0" collapsed="false">
      <c r="A26" s="8" t="s">
        <v>385</v>
      </c>
      <c r="B26" s="11" t="s">
        <v>97</v>
      </c>
      <c r="C26" s="8" t="s">
        <v>98</v>
      </c>
      <c r="D26" s="8" t="s">
        <v>386</v>
      </c>
      <c r="E26" s="8" t="s">
        <v>347</v>
      </c>
      <c r="F26" s="10" t="n">
        <v>50</v>
      </c>
      <c r="G26" s="10" t="n">
        <v>200</v>
      </c>
      <c r="H26" s="8" t="s">
        <v>387</v>
      </c>
      <c r="I26" s="8" t="s">
        <v>264</v>
      </c>
      <c r="J26" s="8" t="s">
        <v>256</v>
      </c>
      <c r="K26" s="8" t="s">
        <v>348</v>
      </c>
      <c r="L26" s="11" t="s">
        <v>278</v>
      </c>
      <c r="M26" s="8" t="s">
        <v>388</v>
      </c>
      <c r="N26" s="11" t="s">
        <v>311</v>
      </c>
    </row>
    <row r="27" customFormat="false" ht="15" hidden="false" customHeight="false" outlineLevel="0" collapsed="false">
      <c r="A27" s="8" t="s">
        <v>389</v>
      </c>
      <c r="B27" s="11" t="s">
        <v>97</v>
      </c>
      <c r="C27" s="8" t="s">
        <v>98</v>
      </c>
      <c r="D27" s="8" t="s">
        <v>390</v>
      </c>
      <c r="E27" s="8" t="s">
        <v>253</v>
      </c>
      <c r="F27" s="10" t="n">
        <v>100</v>
      </c>
      <c r="G27" s="10" t="n">
        <v>200</v>
      </c>
      <c r="H27" s="8" t="s">
        <v>378</v>
      </c>
      <c r="I27" s="8" t="s">
        <v>264</v>
      </c>
      <c r="J27" s="8" t="s">
        <v>256</v>
      </c>
      <c r="K27" s="8" t="s">
        <v>358</v>
      </c>
      <c r="L27" s="11" t="s">
        <v>278</v>
      </c>
      <c r="M27" s="8" t="s">
        <v>391</v>
      </c>
      <c r="N27" s="11" t="s">
        <v>311</v>
      </c>
    </row>
    <row r="28" customFormat="false" ht="15" hidden="false" customHeight="false" outlineLevel="0" collapsed="false">
      <c r="A28" s="8" t="s">
        <v>392</v>
      </c>
      <c r="B28" s="11" t="s">
        <v>97</v>
      </c>
      <c r="C28" s="8" t="s">
        <v>98</v>
      </c>
      <c r="D28" s="8" t="s">
        <v>393</v>
      </c>
      <c r="E28" s="8" t="s">
        <v>306</v>
      </c>
      <c r="F28" s="10" t="n">
        <v>40</v>
      </c>
      <c r="G28" s="10" t="n">
        <v>300</v>
      </c>
      <c r="H28" s="8" t="s">
        <v>394</v>
      </c>
      <c r="I28" s="8" t="s">
        <v>331</v>
      </c>
      <c r="J28" s="8" t="s">
        <v>265</v>
      </c>
      <c r="K28" s="8" t="s">
        <v>395</v>
      </c>
      <c r="L28" s="11" t="s">
        <v>278</v>
      </c>
      <c r="M28" s="8" t="s">
        <v>396</v>
      </c>
      <c r="N28" s="11" t="s">
        <v>311</v>
      </c>
    </row>
    <row r="29" customFormat="false" ht="15" hidden="false" customHeight="false" outlineLevel="0" collapsed="false">
      <c r="A29" s="8" t="s">
        <v>397</v>
      </c>
      <c r="B29" s="11" t="s">
        <v>97</v>
      </c>
      <c r="C29" s="8" t="s">
        <v>98</v>
      </c>
      <c r="D29" s="8" t="s">
        <v>398</v>
      </c>
      <c r="E29" s="8" t="s">
        <v>399</v>
      </c>
      <c r="F29" s="10" t="n">
        <v>0</v>
      </c>
      <c r="G29" s="10" t="n">
        <v>0</v>
      </c>
      <c r="H29" s="8" t="s">
        <v>400</v>
      </c>
      <c r="I29" s="8" t="s">
        <v>264</v>
      </c>
      <c r="J29" s="8" t="s">
        <v>315</v>
      </c>
      <c r="K29" s="8" t="s">
        <v>332</v>
      </c>
      <c r="L29" s="11" t="s">
        <v>278</v>
      </c>
      <c r="M29" s="8" t="s">
        <v>401</v>
      </c>
      <c r="N29" s="11" t="s">
        <v>260</v>
      </c>
    </row>
    <row r="30" customFormat="false" ht="15" hidden="false" customHeight="false" outlineLevel="0" collapsed="false">
      <c r="A30" s="8" t="s">
        <v>402</v>
      </c>
      <c r="B30" s="11" t="s">
        <v>97</v>
      </c>
      <c r="C30" s="8" t="s">
        <v>98</v>
      </c>
      <c r="D30" s="8" t="s">
        <v>403</v>
      </c>
      <c r="E30" s="8" t="s">
        <v>399</v>
      </c>
      <c r="F30" s="10" t="n">
        <v>0</v>
      </c>
      <c r="G30" s="10" t="n">
        <v>0</v>
      </c>
      <c r="H30" s="8" t="s">
        <v>404</v>
      </c>
      <c r="I30" s="8" t="s">
        <v>264</v>
      </c>
      <c r="J30" s="8" t="s">
        <v>315</v>
      </c>
      <c r="K30" s="8" t="s">
        <v>348</v>
      </c>
      <c r="L30" s="11" t="s">
        <v>278</v>
      </c>
      <c r="M30" s="8" t="s">
        <v>405</v>
      </c>
      <c r="N30" s="11" t="s">
        <v>260</v>
      </c>
    </row>
    <row r="31" customFormat="false" ht="15" hidden="false" customHeight="false" outlineLevel="0" collapsed="false">
      <c r="A31" s="8" t="s">
        <v>406</v>
      </c>
      <c r="B31" s="11" t="s">
        <v>97</v>
      </c>
      <c r="C31" s="8" t="s">
        <v>98</v>
      </c>
      <c r="D31" s="8" t="s">
        <v>407</v>
      </c>
      <c r="E31" s="8" t="s">
        <v>355</v>
      </c>
      <c r="F31" s="10" t="n">
        <v>0</v>
      </c>
      <c r="G31" s="10" t="n">
        <v>0</v>
      </c>
      <c r="H31" s="8" t="s">
        <v>408</v>
      </c>
      <c r="I31" s="8" t="s">
        <v>300</v>
      </c>
      <c r="J31" s="8" t="s">
        <v>301</v>
      </c>
      <c r="K31" s="8" t="s">
        <v>358</v>
      </c>
      <c r="L31" s="11" t="s">
        <v>278</v>
      </c>
      <c r="M31" s="8" t="s">
        <v>409</v>
      </c>
      <c r="N31" s="11" t="s">
        <v>260</v>
      </c>
    </row>
    <row r="32" customFormat="false" ht="15" hidden="false" customHeight="false" outlineLevel="0" collapsed="false">
      <c r="A32" s="8" t="s">
        <v>410</v>
      </c>
      <c r="B32" s="11" t="s">
        <v>108</v>
      </c>
      <c r="C32" s="8" t="s">
        <v>109</v>
      </c>
      <c r="D32" s="8" t="s">
        <v>411</v>
      </c>
      <c r="E32" s="8" t="s">
        <v>372</v>
      </c>
      <c r="F32" s="10" t="n">
        <v>300</v>
      </c>
      <c r="G32" s="10" t="n">
        <v>700</v>
      </c>
      <c r="H32" s="8" t="s">
        <v>412</v>
      </c>
      <c r="I32" s="8" t="s">
        <v>264</v>
      </c>
      <c r="J32" s="8" t="s">
        <v>374</v>
      </c>
      <c r="K32" s="8" t="s">
        <v>257</v>
      </c>
      <c r="L32" s="11" t="s">
        <v>278</v>
      </c>
      <c r="M32" s="8" t="s">
        <v>413</v>
      </c>
      <c r="N32" s="11" t="s">
        <v>311</v>
      </c>
    </row>
    <row r="33" customFormat="false" ht="23.85" hidden="false" customHeight="false" outlineLevel="0" collapsed="false">
      <c r="A33" s="8" t="s">
        <v>414</v>
      </c>
      <c r="B33" s="11" t="s">
        <v>108</v>
      </c>
      <c r="C33" s="8" t="s">
        <v>109</v>
      </c>
      <c r="D33" s="8" t="s">
        <v>415</v>
      </c>
      <c r="E33" s="8" t="s">
        <v>416</v>
      </c>
      <c r="F33" s="10" t="n">
        <v>500</v>
      </c>
      <c r="G33" s="10" t="n">
        <v>700</v>
      </c>
      <c r="H33" s="8" t="s">
        <v>417</v>
      </c>
      <c r="I33" s="8" t="s">
        <v>418</v>
      </c>
      <c r="J33" s="8" t="s">
        <v>276</v>
      </c>
      <c r="K33" s="8" t="s">
        <v>348</v>
      </c>
      <c r="L33" s="11" t="s">
        <v>278</v>
      </c>
      <c r="M33" s="8" t="s">
        <v>419</v>
      </c>
      <c r="N33" s="11" t="s">
        <v>311</v>
      </c>
    </row>
    <row r="34" customFormat="false" ht="15" hidden="false" customHeight="false" outlineLevel="0" collapsed="false">
      <c r="A34" s="8" t="s">
        <v>420</v>
      </c>
      <c r="B34" s="11" t="s">
        <v>108</v>
      </c>
      <c r="C34" s="8" t="s">
        <v>109</v>
      </c>
      <c r="D34" s="8" t="s">
        <v>421</v>
      </c>
      <c r="E34" s="8" t="s">
        <v>282</v>
      </c>
      <c r="F34" s="10" t="n">
        <v>0</v>
      </c>
      <c r="G34" s="10" t="n">
        <v>0</v>
      </c>
      <c r="H34" s="8" t="s">
        <v>422</v>
      </c>
      <c r="I34" s="8" t="s">
        <v>264</v>
      </c>
      <c r="J34" s="8" t="s">
        <v>315</v>
      </c>
      <c r="K34" s="8" t="s">
        <v>257</v>
      </c>
      <c r="L34" s="11" t="s">
        <v>278</v>
      </c>
      <c r="M34" s="8" t="s">
        <v>423</v>
      </c>
      <c r="N34" s="11" t="s">
        <v>260</v>
      </c>
    </row>
    <row r="35" customFormat="false" ht="15" hidden="false" customHeight="false" outlineLevel="0" collapsed="false">
      <c r="A35" s="8" t="s">
        <v>424</v>
      </c>
      <c r="B35" s="11" t="s">
        <v>108</v>
      </c>
      <c r="C35" s="8" t="s">
        <v>109</v>
      </c>
      <c r="D35" s="8" t="s">
        <v>425</v>
      </c>
      <c r="E35" s="8" t="s">
        <v>426</v>
      </c>
      <c r="F35" s="10" t="n">
        <v>10</v>
      </c>
      <c r="G35" s="10" t="n">
        <v>50</v>
      </c>
      <c r="H35" s="8" t="s">
        <v>427</v>
      </c>
      <c r="I35" s="8" t="s">
        <v>264</v>
      </c>
      <c r="J35" s="8" t="s">
        <v>276</v>
      </c>
      <c r="K35" s="8" t="s">
        <v>257</v>
      </c>
      <c r="L35" s="11" t="s">
        <v>278</v>
      </c>
      <c r="M35" s="8" t="s">
        <v>428</v>
      </c>
      <c r="N35" s="11" t="s">
        <v>311</v>
      </c>
    </row>
    <row r="36" customFormat="false" ht="15" hidden="false" customHeight="false" outlineLevel="0" collapsed="false">
      <c r="A36" s="8" t="s">
        <v>429</v>
      </c>
      <c r="B36" s="11" t="s">
        <v>108</v>
      </c>
      <c r="C36" s="8" t="s">
        <v>109</v>
      </c>
      <c r="D36" s="8" t="s">
        <v>430</v>
      </c>
      <c r="E36" s="8" t="s">
        <v>431</v>
      </c>
      <c r="F36" s="10" t="n">
        <v>90</v>
      </c>
      <c r="G36" s="10"/>
      <c r="H36" s="8" t="s">
        <v>432</v>
      </c>
      <c r="I36" s="8" t="s">
        <v>264</v>
      </c>
      <c r="J36" s="8" t="s">
        <v>256</v>
      </c>
      <c r="K36" s="8" t="s">
        <v>277</v>
      </c>
      <c r="L36" s="11" t="s">
        <v>278</v>
      </c>
      <c r="M36" s="8" t="s">
        <v>433</v>
      </c>
      <c r="N36" s="11" t="s">
        <v>311</v>
      </c>
    </row>
    <row r="37" customFormat="false" ht="15" hidden="false" customHeight="false" outlineLevel="0" collapsed="false">
      <c r="A37" s="8" t="s">
        <v>434</v>
      </c>
      <c r="B37" s="11" t="s">
        <v>108</v>
      </c>
      <c r="C37" s="8" t="s">
        <v>109</v>
      </c>
      <c r="D37" s="8" t="s">
        <v>435</v>
      </c>
      <c r="E37" s="8" t="s">
        <v>347</v>
      </c>
      <c r="F37" s="10"/>
      <c r="G37" s="10"/>
      <c r="H37" s="8" t="s">
        <v>436</v>
      </c>
      <c r="I37" s="8" t="s">
        <v>264</v>
      </c>
      <c r="J37" s="8" t="s">
        <v>265</v>
      </c>
      <c r="K37" s="8" t="s">
        <v>348</v>
      </c>
      <c r="L37" s="11" t="s">
        <v>278</v>
      </c>
      <c r="M37" s="8" t="s">
        <v>437</v>
      </c>
      <c r="N37" s="11" t="s">
        <v>311</v>
      </c>
    </row>
    <row r="38" customFormat="false" ht="15" hidden="false" customHeight="false" outlineLevel="0" collapsed="false">
      <c r="A38" s="8" t="s">
        <v>438</v>
      </c>
      <c r="B38" s="11" t="s">
        <v>108</v>
      </c>
      <c r="C38" s="8" t="s">
        <v>109</v>
      </c>
      <c r="D38" s="8" t="s">
        <v>439</v>
      </c>
      <c r="E38" s="8" t="s">
        <v>306</v>
      </c>
      <c r="F38" s="10"/>
      <c r="G38" s="10"/>
      <c r="H38" s="8" t="s">
        <v>440</v>
      </c>
      <c r="I38" s="8" t="s">
        <v>264</v>
      </c>
      <c r="J38" s="8" t="s">
        <v>276</v>
      </c>
      <c r="K38" s="8" t="s">
        <v>358</v>
      </c>
      <c r="L38" s="11" t="s">
        <v>278</v>
      </c>
      <c r="M38" s="8" t="s">
        <v>441</v>
      </c>
      <c r="N38" s="11" t="s">
        <v>311</v>
      </c>
    </row>
    <row r="39" customFormat="false" ht="15" hidden="false" customHeight="false" outlineLevel="0" collapsed="false">
      <c r="A39" s="8" t="s">
        <v>442</v>
      </c>
      <c r="B39" s="11" t="s">
        <v>108</v>
      </c>
      <c r="C39" s="8" t="s">
        <v>109</v>
      </c>
      <c r="D39" s="8" t="s">
        <v>443</v>
      </c>
      <c r="E39" s="8" t="s">
        <v>340</v>
      </c>
      <c r="F39" s="10"/>
      <c r="G39" s="10"/>
      <c r="H39" s="8" t="s">
        <v>444</v>
      </c>
      <c r="I39" s="8" t="s">
        <v>264</v>
      </c>
      <c r="J39" s="8" t="s">
        <v>301</v>
      </c>
      <c r="K39" s="8" t="s">
        <v>257</v>
      </c>
      <c r="L39" s="11" t="s">
        <v>258</v>
      </c>
      <c r="M39" s="8" t="s">
        <v>445</v>
      </c>
      <c r="N39" s="11" t="s">
        <v>311</v>
      </c>
    </row>
    <row r="40" customFormat="false" ht="15" hidden="false" customHeight="false" outlineLevel="0" collapsed="false">
      <c r="A40" s="8" t="s">
        <v>446</v>
      </c>
      <c r="B40" s="11" t="s">
        <v>108</v>
      </c>
      <c r="C40" s="8" t="s">
        <v>109</v>
      </c>
      <c r="D40" s="8" t="s">
        <v>447</v>
      </c>
      <c r="E40" s="8" t="s">
        <v>448</v>
      </c>
      <c r="F40" s="10"/>
      <c r="G40" s="10"/>
      <c r="H40" s="8" t="s">
        <v>449</v>
      </c>
      <c r="I40" s="8" t="s">
        <v>264</v>
      </c>
      <c r="J40" s="8" t="s">
        <v>265</v>
      </c>
      <c r="K40" s="8" t="s">
        <v>358</v>
      </c>
      <c r="L40" s="11" t="s">
        <v>278</v>
      </c>
      <c r="M40" s="8" t="s">
        <v>450</v>
      </c>
      <c r="N40" s="11" t="s">
        <v>260</v>
      </c>
    </row>
    <row r="41" customFormat="false" ht="15" hidden="false" customHeight="false" outlineLevel="0" collapsed="false">
      <c r="A41" s="8" t="s">
        <v>451</v>
      </c>
      <c r="B41" s="11" t="s">
        <v>118</v>
      </c>
      <c r="C41" s="8" t="s">
        <v>119</v>
      </c>
      <c r="D41" s="8" t="s">
        <v>452</v>
      </c>
      <c r="E41" s="8" t="s">
        <v>282</v>
      </c>
      <c r="F41" s="10" t="n">
        <v>0</v>
      </c>
      <c r="G41" s="10" t="n">
        <v>0</v>
      </c>
      <c r="H41" s="8" t="s">
        <v>453</v>
      </c>
      <c r="I41" s="8" t="s">
        <v>264</v>
      </c>
      <c r="J41" s="8" t="s">
        <v>265</v>
      </c>
      <c r="K41" s="8" t="s">
        <v>321</v>
      </c>
      <c r="L41" s="11" t="s">
        <v>258</v>
      </c>
      <c r="M41" s="8" t="s">
        <v>454</v>
      </c>
      <c r="N41" s="11" t="s">
        <v>260</v>
      </c>
    </row>
    <row r="42" customFormat="false" ht="23.85" hidden="false" customHeight="false" outlineLevel="0" collapsed="false">
      <c r="A42" s="8" t="s">
        <v>455</v>
      </c>
      <c r="B42" s="11" t="s">
        <v>118</v>
      </c>
      <c r="C42" s="8" t="s">
        <v>119</v>
      </c>
      <c r="D42" s="8" t="s">
        <v>456</v>
      </c>
      <c r="E42" s="8" t="s">
        <v>253</v>
      </c>
      <c r="F42" s="10" t="n">
        <v>40</v>
      </c>
      <c r="G42" s="10" t="n">
        <v>600</v>
      </c>
      <c r="H42" s="8" t="s">
        <v>457</v>
      </c>
      <c r="I42" s="8" t="s">
        <v>264</v>
      </c>
      <c r="J42" s="8" t="s">
        <v>256</v>
      </c>
      <c r="K42" s="8" t="s">
        <v>257</v>
      </c>
      <c r="L42" s="11" t="s">
        <v>258</v>
      </c>
      <c r="M42" s="8" t="s">
        <v>458</v>
      </c>
      <c r="N42" s="11" t="s">
        <v>260</v>
      </c>
    </row>
    <row r="43" customFormat="false" ht="23.85" hidden="false" customHeight="false" outlineLevel="0" collapsed="false">
      <c r="A43" s="8" t="s">
        <v>459</v>
      </c>
      <c r="B43" s="11" t="s">
        <v>118</v>
      </c>
      <c r="C43" s="8" t="s">
        <v>119</v>
      </c>
      <c r="D43" s="8" t="s">
        <v>460</v>
      </c>
      <c r="E43" s="8" t="s">
        <v>253</v>
      </c>
      <c r="F43" s="10" t="n">
        <v>40</v>
      </c>
      <c r="G43" s="10" t="n">
        <v>600</v>
      </c>
      <c r="H43" s="8" t="s">
        <v>457</v>
      </c>
      <c r="I43" s="8" t="s">
        <v>264</v>
      </c>
      <c r="J43" s="8" t="s">
        <v>265</v>
      </c>
      <c r="K43" s="8" t="s">
        <v>257</v>
      </c>
      <c r="L43" s="11" t="s">
        <v>258</v>
      </c>
      <c r="M43" s="8" t="s">
        <v>461</v>
      </c>
      <c r="N43" s="11" t="s">
        <v>260</v>
      </c>
    </row>
    <row r="44" customFormat="false" ht="15" hidden="false" customHeight="false" outlineLevel="0" collapsed="false">
      <c r="A44" s="8" t="s">
        <v>462</v>
      </c>
      <c r="B44" s="11" t="s">
        <v>118</v>
      </c>
      <c r="C44" s="8" t="s">
        <v>119</v>
      </c>
      <c r="D44" s="8" t="s">
        <v>463</v>
      </c>
      <c r="E44" s="8" t="s">
        <v>464</v>
      </c>
      <c r="F44" s="10" t="n">
        <v>0</v>
      </c>
      <c r="G44" s="10" t="n">
        <v>0</v>
      </c>
      <c r="H44" s="8" t="s">
        <v>314</v>
      </c>
      <c r="I44" s="8" t="s">
        <v>264</v>
      </c>
      <c r="J44" s="8" t="s">
        <v>276</v>
      </c>
      <c r="K44" s="8" t="s">
        <v>348</v>
      </c>
      <c r="L44" s="11" t="s">
        <v>258</v>
      </c>
      <c r="M44" s="8" t="s">
        <v>465</v>
      </c>
      <c r="N44" s="11" t="s">
        <v>260</v>
      </c>
    </row>
    <row r="45" customFormat="false" ht="15" hidden="false" customHeight="false" outlineLevel="0" collapsed="false">
      <c r="A45" s="8" t="s">
        <v>466</v>
      </c>
      <c r="B45" s="11" t="s">
        <v>118</v>
      </c>
      <c r="C45" s="8" t="s">
        <v>119</v>
      </c>
      <c r="D45" s="8" t="s">
        <v>467</v>
      </c>
      <c r="E45" s="8" t="s">
        <v>468</v>
      </c>
      <c r="F45" s="10" t="n">
        <v>0</v>
      </c>
      <c r="G45" s="10" t="n">
        <v>0</v>
      </c>
      <c r="H45" s="8" t="s">
        <v>469</v>
      </c>
      <c r="I45" s="8" t="s">
        <v>264</v>
      </c>
      <c r="J45" s="8" t="s">
        <v>265</v>
      </c>
      <c r="K45" s="8" t="s">
        <v>332</v>
      </c>
      <c r="L45" s="11" t="s">
        <v>258</v>
      </c>
      <c r="M45" s="8" t="s">
        <v>470</v>
      </c>
      <c r="N45" s="11" t="s">
        <v>260</v>
      </c>
    </row>
    <row r="46" customFormat="false" ht="15" hidden="false" customHeight="false" outlineLevel="0" collapsed="false">
      <c r="A46" s="8" t="s">
        <v>471</v>
      </c>
      <c r="B46" s="11" t="s">
        <v>118</v>
      </c>
      <c r="C46" s="8" t="s">
        <v>119</v>
      </c>
      <c r="D46" s="8" t="s">
        <v>472</v>
      </c>
      <c r="E46" s="8" t="s">
        <v>473</v>
      </c>
      <c r="F46" s="10" t="n">
        <v>0</v>
      </c>
      <c r="G46" s="10" t="n">
        <v>0</v>
      </c>
      <c r="H46" s="8" t="s">
        <v>474</v>
      </c>
      <c r="I46" s="8" t="s">
        <v>264</v>
      </c>
      <c r="J46" s="8" t="s">
        <v>256</v>
      </c>
      <c r="K46" s="8" t="s">
        <v>332</v>
      </c>
      <c r="L46" s="11" t="s">
        <v>278</v>
      </c>
      <c r="M46" s="8" t="s">
        <v>475</v>
      </c>
      <c r="N46" s="11" t="s">
        <v>260</v>
      </c>
    </row>
    <row r="47" customFormat="false" ht="15" hidden="false" customHeight="false" outlineLevel="0" collapsed="false">
      <c r="A47" s="8" t="s">
        <v>476</v>
      </c>
      <c r="B47" s="11" t="s">
        <v>118</v>
      </c>
      <c r="C47" s="8" t="s">
        <v>119</v>
      </c>
      <c r="D47" s="8" t="s">
        <v>477</v>
      </c>
      <c r="E47" s="8" t="s">
        <v>253</v>
      </c>
      <c r="F47" s="10" t="n">
        <v>0</v>
      </c>
      <c r="G47" s="10" t="n">
        <v>0</v>
      </c>
      <c r="H47" s="8" t="s">
        <v>314</v>
      </c>
      <c r="I47" s="8" t="s">
        <v>264</v>
      </c>
      <c r="J47" s="8" t="s">
        <v>276</v>
      </c>
      <c r="K47" s="8" t="s">
        <v>257</v>
      </c>
      <c r="L47" s="11" t="s">
        <v>258</v>
      </c>
      <c r="M47" s="8" t="s">
        <v>478</v>
      </c>
      <c r="N47" s="11" t="s">
        <v>260</v>
      </c>
    </row>
    <row r="48" customFormat="false" ht="23.85" hidden="false" customHeight="false" outlineLevel="0" collapsed="false">
      <c r="A48" s="8" t="s">
        <v>479</v>
      </c>
      <c r="B48" s="11" t="s">
        <v>118</v>
      </c>
      <c r="C48" s="8" t="s">
        <v>119</v>
      </c>
      <c r="D48" s="8" t="s">
        <v>480</v>
      </c>
      <c r="E48" s="8" t="s">
        <v>416</v>
      </c>
      <c r="F48" s="10"/>
      <c r="G48" s="10"/>
      <c r="H48" s="8" t="s">
        <v>481</v>
      </c>
      <c r="I48" s="8" t="s">
        <v>482</v>
      </c>
      <c r="J48" s="8" t="s">
        <v>276</v>
      </c>
      <c r="K48" s="8" t="s">
        <v>257</v>
      </c>
      <c r="L48" s="11" t="s">
        <v>278</v>
      </c>
      <c r="M48" s="8" t="s">
        <v>483</v>
      </c>
      <c r="N48" s="11" t="s">
        <v>311</v>
      </c>
    </row>
    <row r="49" customFormat="false" ht="15" hidden="false" customHeight="false" outlineLevel="0" collapsed="false">
      <c r="A49" s="8" t="s">
        <v>484</v>
      </c>
      <c r="B49" s="11" t="s">
        <v>118</v>
      </c>
      <c r="C49" s="8" t="s">
        <v>119</v>
      </c>
      <c r="D49" s="8" t="s">
        <v>485</v>
      </c>
      <c r="E49" s="8" t="s">
        <v>306</v>
      </c>
      <c r="F49" s="10" t="n">
        <v>5</v>
      </c>
      <c r="G49" s="10" t="n">
        <v>100</v>
      </c>
      <c r="H49" s="8" t="s">
        <v>486</v>
      </c>
      <c r="I49" s="8" t="s">
        <v>331</v>
      </c>
      <c r="J49" s="8" t="s">
        <v>276</v>
      </c>
      <c r="K49" s="8" t="s">
        <v>383</v>
      </c>
      <c r="L49" s="11" t="s">
        <v>278</v>
      </c>
      <c r="M49" s="8" t="s">
        <v>487</v>
      </c>
      <c r="N49" s="11" t="s">
        <v>311</v>
      </c>
    </row>
    <row r="50" customFormat="false" ht="35.05" hidden="false" customHeight="false" outlineLevel="0" collapsed="false">
      <c r="A50" s="8" t="s">
        <v>488</v>
      </c>
      <c r="B50" s="11" t="s">
        <v>130</v>
      </c>
      <c r="C50" s="8" t="s">
        <v>131</v>
      </c>
      <c r="D50" s="8" t="s">
        <v>489</v>
      </c>
      <c r="E50" s="8" t="s">
        <v>490</v>
      </c>
      <c r="F50" s="10" t="n">
        <v>40</v>
      </c>
      <c r="G50" s="10" t="n">
        <v>600</v>
      </c>
      <c r="H50" s="8" t="s">
        <v>491</v>
      </c>
      <c r="I50" s="8" t="s">
        <v>255</v>
      </c>
      <c r="J50" s="8" t="s">
        <v>492</v>
      </c>
      <c r="K50" s="8" t="s">
        <v>493</v>
      </c>
      <c r="L50" s="11" t="s">
        <v>258</v>
      </c>
      <c r="M50" s="8" t="s">
        <v>494</v>
      </c>
      <c r="N50" s="11" t="s">
        <v>260</v>
      </c>
    </row>
    <row r="51" customFormat="false" ht="23.85" hidden="false" customHeight="false" outlineLevel="0" collapsed="false">
      <c r="A51" s="8" t="s">
        <v>495</v>
      </c>
      <c r="B51" s="11" t="s">
        <v>130</v>
      </c>
      <c r="C51" s="8" t="s">
        <v>131</v>
      </c>
      <c r="D51" s="8" t="s">
        <v>496</v>
      </c>
      <c r="E51" s="8" t="s">
        <v>490</v>
      </c>
      <c r="F51" s="10" t="n">
        <v>40</v>
      </c>
      <c r="G51" s="10" t="n">
        <v>600</v>
      </c>
      <c r="H51" s="8" t="s">
        <v>263</v>
      </c>
      <c r="I51" s="8" t="s">
        <v>497</v>
      </c>
      <c r="J51" s="8" t="s">
        <v>289</v>
      </c>
      <c r="K51" s="8" t="s">
        <v>257</v>
      </c>
      <c r="L51" s="11" t="s">
        <v>258</v>
      </c>
      <c r="M51" s="8" t="s">
        <v>498</v>
      </c>
      <c r="N51" s="11" t="s">
        <v>260</v>
      </c>
    </row>
    <row r="52" customFormat="false" ht="15" hidden="false" customHeight="false" outlineLevel="0" collapsed="false">
      <c r="A52" s="8" t="s">
        <v>499</v>
      </c>
      <c r="B52" s="11" t="s">
        <v>130</v>
      </c>
      <c r="C52" s="8" t="s">
        <v>131</v>
      </c>
      <c r="D52" s="8" t="s">
        <v>500</v>
      </c>
      <c r="E52" s="8" t="s">
        <v>282</v>
      </c>
      <c r="F52" s="10" t="n">
        <v>0</v>
      </c>
      <c r="G52" s="10" t="n">
        <v>0</v>
      </c>
      <c r="H52" s="8" t="s">
        <v>501</v>
      </c>
      <c r="I52" s="8" t="s">
        <v>264</v>
      </c>
      <c r="J52" s="8" t="s">
        <v>276</v>
      </c>
      <c r="K52" s="8" t="s">
        <v>257</v>
      </c>
      <c r="L52" s="11" t="s">
        <v>278</v>
      </c>
      <c r="M52" s="8" t="s">
        <v>502</v>
      </c>
      <c r="N52" s="11" t="s">
        <v>260</v>
      </c>
    </row>
    <row r="53" customFormat="false" ht="15" hidden="false" customHeight="false" outlineLevel="0" collapsed="false">
      <c r="A53" s="8" t="s">
        <v>503</v>
      </c>
      <c r="B53" s="11" t="s">
        <v>130</v>
      </c>
      <c r="C53" s="8" t="s">
        <v>131</v>
      </c>
      <c r="D53" s="8" t="s">
        <v>504</v>
      </c>
      <c r="E53" s="8" t="s">
        <v>253</v>
      </c>
      <c r="F53" s="10" t="n">
        <v>25</v>
      </c>
      <c r="G53" s="10" t="n">
        <v>300</v>
      </c>
      <c r="H53" s="8" t="s">
        <v>505</v>
      </c>
      <c r="I53" s="8" t="s">
        <v>264</v>
      </c>
      <c r="J53" s="8" t="s">
        <v>374</v>
      </c>
      <c r="K53" s="8" t="s">
        <v>257</v>
      </c>
      <c r="L53" s="11" t="s">
        <v>278</v>
      </c>
      <c r="M53" s="8" t="s">
        <v>506</v>
      </c>
      <c r="N53" s="11" t="s">
        <v>311</v>
      </c>
    </row>
    <row r="54" customFormat="false" ht="15" hidden="false" customHeight="false" outlineLevel="0" collapsed="false">
      <c r="A54" s="8" t="s">
        <v>507</v>
      </c>
      <c r="B54" s="11" t="s">
        <v>130</v>
      </c>
      <c r="C54" s="8" t="s">
        <v>131</v>
      </c>
      <c r="D54" s="8" t="s">
        <v>508</v>
      </c>
      <c r="E54" s="8" t="s">
        <v>253</v>
      </c>
      <c r="F54" s="10" t="n">
        <v>25</v>
      </c>
      <c r="G54" s="10" t="n">
        <v>300</v>
      </c>
      <c r="H54" s="8" t="s">
        <v>509</v>
      </c>
      <c r="I54" s="8" t="s">
        <v>264</v>
      </c>
      <c r="J54" s="8" t="s">
        <v>276</v>
      </c>
      <c r="K54" s="8" t="s">
        <v>284</v>
      </c>
      <c r="L54" s="11" t="s">
        <v>278</v>
      </c>
      <c r="M54" s="8" t="s">
        <v>510</v>
      </c>
      <c r="N54" s="11" t="s">
        <v>311</v>
      </c>
    </row>
    <row r="55" customFormat="false" ht="15" hidden="false" customHeight="false" outlineLevel="0" collapsed="false">
      <c r="A55" s="8" t="s">
        <v>511</v>
      </c>
      <c r="B55" s="11" t="s">
        <v>130</v>
      </c>
      <c r="C55" s="8" t="s">
        <v>131</v>
      </c>
      <c r="D55" s="8" t="s">
        <v>512</v>
      </c>
      <c r="E55" s="8" t="s">
        <v>490</v>
      </c>
      <c r="F55" s="10" t="n">
        <v>25</v>
      </c>
      <c r="G55" s="10" t="n">
        <v>300</v>
      </c>
      <c r="H55" s="8" t="s">
        <v>513</v>
      </c>
      <c r="I55" s="8" t="s">
        <v>264</v>
      </c>
      <c r="J55" s="8" t="s">
        <v>265</v>
      </c>
      <c r="K55" s="8" t="s">
        <v>358</v>
      </c>
      <c r="L55" s="11" t="s">
        <v>278</v>
      </c>
      <c r="M55" s="8" t="s">
        <v>514</v>
      </c>
      <c r="N55" s="11" t="s">
        <v>311</v>
      </c>
    </row>
    <row r="56" customFormat="false" ht="15" hidden="false" customHeight="false" outlineLevel="0" collapsed="false">
      <c r="A56" s="8" t="s">
        <v>515</v>
      </c>
      <c r="B56" s="11" t="s">
        <v>130</v>
      </c>
      <c r="C56" s="8" t="s">
        <v>131</v>
      </c>
      <c r="D56" s="8" t="s">
        <v>516</v>
      </c>
      <c r="E56" s="8" t="s">
        <v>253</v>
      </c>
      <c r="F56" s="10" t="n">
        <v>0</v>
      </c>
      <c r="G56" s="10" t="n">
        <v>0</v>
      </c>
      <c r="H56" s="8" t="s">
        <v>314</v>
      </c>
      <c r="I56" s="8" t="s">
        <v>264</v>
      </c>
      <c r="J56" s="8" t="s">
        <v>315</v>
      </c>
      <c r="K56" s="8" t="s">
        <v>257</v>
      </c>
      <c r="L56" s="11" t="s">
        <v>278</v>
      </c>
      <c r="M56" s="8" t="s">
        <v>517</v>
      </c>
      <c r="N56" s="11" t="s">
        <v>260</v>
      </c>
    </row>
    <row r="57" customFormat="false" ht="15" hidden="false" customHeight="false" outlineLevel="0" collapsed="false">
      <c r="A57" s="8" t="s">
        <v>518</v>
      </c>
      <c r="B57" s="11" t="s">
        <v>142</v>
      </c>
      <c r="C57" s="8" t="s">
        <v>143</v>
      </c>
      <c r="D57" s="8" t="s">
        <v>519</v>
      </c>
      <c r="E57" s="8" t="s">
        <v>520</v>
      </c>
      <c r="F57" s="10" t="n">
        <v>0</v>
      </c>
      <c r="G57" s="10" t="n">
        <v>0</v>
      </c>
      <c r="H57" s="8" t="s">
        <v>521</v>
      </c>
      <c r="I57" s="8" t="s">
        <v>264</v>
      </c>
      <c r="J57" s="8" t="s">
        <v>276</v>
      </c>
      <c r="K57" s="8" t="s">
        <v>257</v>
      </c>
      <c r="L57" s="11" t="s">
        <v>258</v>
      </c>
      <c r="M57" s="8" t="s">
        <v>522</v>
      </c>
      <c r="N57" s="11" t="s">
        <v>260</v>
      </c>
    </row>
    <row r="58" customFormat="false" ht="15" hidden="false" customHeight="false" outlineLevel="0" collapsed="false">
      <c r="A58" s="8" t="s">
        <v>523</v>
      </c>
      <c r="B58" s="11" t="s">
        <v>142</v>
      </c>
      <c r="C58" s="8" t="s">
        <v>143</v>
      </c>
      <c r="D58" s="8" t="s">
        <v>524</v>
      </c>
      <c r="E58" s="8" t="s">
        <v>520</v>
      </c>
      <c r="F58" s="10" t="n">
        <v>0</v>
      </c>
      <c r="G58" s="10" t="n">
        <v>0</v>
      </c>
      <c r="H58" s="8" t="s">
        <v>525</v>
      </c>
      <c r="I58" s="8" t="s">
        <v>264</v>
      </c>
      <c r="J58" s="8" t="s">
        <v>276</v>
      </c>
      <c r="K58" s="8" t="s">
        <v>257</v>
      </c>
      <c r="L58" s="11" t="s">
        <v>258</v>
      </c>
      <c r="M58" s="8" t="s">
        <v>526</v>
      </c>
      <c r="N58" s="11" t="s">
        <v>260</v>
      </c>
    </row>
    <row r="59" customFormat="false" ht="15" hidden="false" customHeight="false" outlineLevel="0" collapsed="false">
      <c r="A59" s="8" t="s">
        <v>527</v>
      </c>
      <c r="B59" s="11" t="s">
        <v>142</v>
      </c>
      <c r="C59" s="8" t="s">
        <v>143</v>
      </c>
      <c r="D59" s="8" t="s">
        <v>528</v>
      </c>
      <c r="E59" s="8" t="s">
        <v>253</v>
      </c>
      <c r="F59" s="10" t="n">
        <v>0</v>
      </c>
      <c r="G59" s="10" t="n">
        <v>0</v>
      </c>
      <c r="H59" s="8" t="s">
        <v>529</v>
      </c>
      <c r="I59" s="8" t="s">
        <v>264</v>
      </c>
      <c r="J59" s="8" t="s">
        <v>276</v>
      </c>
      <c r="K59" s="8" t="s">
        <v>348</v>
      </c>
      <c r="L59" s="11" t="s">
        <v>278</v>
      </c>
      <c r="M59" s="8" t="s">
        <v>530</v>
      </c>
      <c r="N59" s="11" t="s">
        <v>260</v>
      </c>
    </row>
    <row r="60" customFormat="false" ht="15" hidden="false" customHeight="false" outlineLevel="0" collapsed="false">
      <c r="A60" s="8" t="s">
        <v>531</v>
      </c>
      <c r="B60" s="11" t="s">
        <v>142</v>
      </c>
      <c r="C60" s="8" t="s">
        <v>143</v>
      </c>
      <c r="D60" s="8" t="s">
        <v>532</v>
      </c>
      <c r="E60" s="8" t="s">
        <v>347</v>
      </c>
      <c r="F60" s="10" t="n">
        <v>0</v>
      </c>
      <c r="G60" s="10" t="n">
        <v>0</v>
      </c>
      <c r="H60" s="8" t="s">
        <v>533</v>
      </c>
      <c r="I60" s="8" t="s">
        <v>264</v>
      </c>
      <c r="J60" s="8" t="s">
        <v>276</v>
      </c>
      <c r="K60" s="8" t="s">
        <v>348</v>
      </c>
      <c r="L60" s="11" t="s">
        <v>278</v>
      </c>
      <c r="M60" s="8" t="s">
        <v>534</v>
      </c>
      <c r="N60" s="11" t="s">
        <v>260</v>
      </c>
    </row>
    <row r="61" customFormat="false" ht="23.85" hidden="false" customHeight="false" outlineLevel="0" collapsed="false">
      <c r="A61" s="8" t="s">
        <v>535</v>
      </c>
      <c r="B61" s="11" t="s">
        <v>142</v>
      </c>
      <c r="C61" s="8" t="s">
        <v>143</v>
      </c>
      <c r="D61" s="8" t="s">
        <v>536</v>
      </c>
      <c r="E61" s="8" t="s">
        <v>537</v>
      </c>
      <c r="F61" s="10" t="n">
        <v>0</v>
      </c>
      <c r="G61" s="10" t="n">
        <v>0</v>
      </c>
      <c r="H61" s="8" t="s">
        <v>538</v>
      </c>
      <c r="I61" s="8" t="s">
        <v>539</v>
      </c>
      <c r="J61" s="8" t="s">
        <v>301</v>
      </c>
      <c r="K61" s="8" t="s">
        <v>540</v>
      </c>
      <c r="L61" s="11" t="s">
        <v>278</v>
      </c>
      <c r="M61" s="8" t="s">
        <v>541</v>
      </c>
      <c r="N61" s="11" t="s">
        <v>311</v>
      </c>
    </row>
    <row r="62" customFormat="false" ht="15" hidden="false" customHeight="false" outlineLevel="0" collapsed="false">
      <c r="A62" s="8" t="s">
        <v>542</v>
      </c>
      <c r="B62" s="11" t="s">
        <v>142</v>
      </c>
      <c r="C62" s="8" t="s">
        <v>143</v>
      </c>
      <c r="D62" s="8" t="s">
        <v>543</v>
      </c>
      <c r="E62" s="8" t="s">
        <v>355</v>
      </c>
      <c r="F62" s="10" t="n">
        <v>0</v>
      </c>
      <c r="G62" s="10" t="n">
        <v>0</v>
      </c>
      <c r="H62" s="8" t="s">
        <v>544</v>
      </c>
      <c r="I62" s="8" t="s">
        <v>545</v>
      </c>
      <c r="J62" s="8" t="s">
        <v>301</v>
      </c>
      <c r="K62" s="8" t="s">
        <v>358</v>
      </c>
      <c r="L62" s="11" t="s">
        <v>278</v>
      </c>
      <c r="M62" s="8" t="s">
        <v>546</v>
      </c>
      <c r="N62" s="11" t="s">
        <v>260</v>
      </c>
    </row>
    <row r="63" customFormat="false" ht="15" hidden="false" customHeight="false" outlineLevel="0" collapsed="false">
      <c r="A63" s="8" t="s">
        <v>547</v>
      </c>
      <c r="B63" s="11" t="s">
        <v>142</v>
      </c>
      <c r="C63" s="8" t="s">
        <v>143</v>
      </c>
      <c r="D63" s="8" t="s">
        <v>548</v>
      </c>
      <c r="E63" s="8" t="s">
        <v>537</v>
      </c>
      <c r="F63" s="10" t="n">
        <v>0</v>
      </c>
      <c r="G63" s="10" t="n">
        <v>0</v>
      </c>
      <c r="H63" s="8" t="s">
        <v>400</v>
      </c>
      <c r="I63" s="8" t="s">
        <v>549</v>
      </c>
      <c r="J63" s="8" t="s">
        <v>301</v>
      </c>
      <c r="K63" s="8" t="s">
        <v>332</v>
      </c>
      <c r="L63" s="11" t="s">
        <v>278</v>
      </c>
      <c r="M63" s="8" t="s">
        <v>550</v>
      </c>
      <c r="N63" s="11" t="s">
        <v>260</v>
      </c>
    </row>
    <row r="64" customFormat="false" ht="23.85" hidden="false" customHeight="false" outlineLevel="0" collapsed="false">
      <c r="A64" s="8" t="s">
        <v>551</v>
      </c>
      <c r="B64" s="11" t="s">
        <v>142</v>
      </c>
      <c r="C64" s="8" t="s">
        <v>143</v>
      </c>
      <c r="D64" s="8" t="s">
        <v>552</v>
      </c>
      <c r="E64" s="8" t="s">
        <v>553</v>
      </c>
      <c r="F64" s="10"/>
      <c r="G64" s="10"/>
      <c r="H64" s="8" t="s">
        <v>554</v>
      </c>
      <c r="I64" s="8" t="s">
        <v>555</v>
      </c>
      <c r="J64" s="8" t="s">
        <v>556</v>
      </c>
      <c r="K64" s="8" t="s">
        <v>257</v>
      </c>
      <c r="L64" s="11" t="s">
        <v>278</v>
      </c>
      <c r="M64" s="8" t="s">
        <v>557</v>
      </c>
      <c r="N64" s="11" t="s">
        <v>311</v>
      </c>
    </row>
    <row r="65" customFormat="false" ht="15" hidden="false" customHeight="false" outlineLevel="0" collapsed="false">
      <c r="A65" s="8" t="s">
        <v>558</v>
      </c>
      <c r="B65" s="11" t="s">
        <v>142</v>
      </c>
      <c r="C65" s="8" t="s">
        <v>143</v>
      </c>
      <c r="D65" s="8" t="s">
        <v>559</v>
      </c>
      <c r="E65" s="8" t="s">
        <v>560</v>
      </c>
      <c r="F65" s="10" t="n">
        <v>0</v>
      </c>
      <c r="G65" s="10" t="n">
        <v>0</v>
      </c>
      <c r="H65" s="8" t="s">
        <v>561</v>
      </c>
      <c r="I65" s="8" t="s">
        <v>264</v>
      </c>
      <c r="J65" s="8" t="s">
        <v>265</v>
      </c>
      <c r="K65" s="8" t="s">
        <v>257</v>
      </c>
      <c r="L65" s="11" t="s">
        <v>278</v>
      </c>
      <c r="M65" s="8" t="s">
        <v>562</v>
      </c>
      <c r="N65" s="11" t="s">
        <v>260</v>
      </c>
    </row>
    <row r="66" customFormat="false" ht="15" hidden="false" customHeight="false" outlineLevel="0" collapsed="false">
      <c r="A66" s="8" t="s">
        <v>563</v>
      </c>
      <c r="B66" s="11" t="s">
        <v>142</v>
      </c>
      <c r="C66" s="8" t="s">
        <v>143</v>
      </c>
      <c r="D66" s="8" t="s">
        <v>564</v>
      </c>
      <c r="E66" s="8" t="s">
        <v>416</v>
      </c>
      <c r="F66" s="10"/>
      <c r="G66" s="10"/>
      <c r="H66" s="8" t="s">
        <v>565</v>
      </c>
      <c r="I66" s="8" t="s">
        <v>264</v>
      </c>
      <c r="J66" s="8" t="s">
        <v>301</v>
      </c>
      <c r="K66" s="8" t="s">
        <v>257</v>
      </c>
      <c r="L66" s="11" t="s">
        <v>278</v>
      </c>
      <c r="M66" s="8" t="s">
        <v>566</v>
      </c>
      <c r="N66" s="11" t="s">
        <v>311</v>
      </c>
    </row>
    <row r="67" customFormat="false" ht="23.85" hidden="false" customHeight="false" outlineLevel="0" collapsed="false">
      <c r="A67" s="8" t="s">
        <v>567</v>
      </c>
      <c r="B67" s="11" t="s">
        <v>152</v>
      </c>
      <c r="C67" s="8" t="s">
        <v>153</v>
      </c>
      <c r="D67" s="8" t="s">
        <v>568</v>
      </c>
      <c r="E67" s="8" t="s">
        <v>416</v>
      </c>
      <c r="F67" s="10"/>
      <c r="G67" s="10"/>
      <c r="H67" s="8" t="s">
        <v>569</v>
      </c>
      <c r="I67" s="8" t="s">
        <v>570</v>
      </c>
      <c r="J67" s="8" t="s">
        <v>571</v>
      </c>
      <c r="K67" s="8" t="s">
        <v>572</v>
      </c>
      <c r="L67" s="11" t="s">
        <v>278</v>
      </c>
      <c r="M67" s="8" t="s">
        <v>573</v>
      </c>
      <c r="N67" s="11" t="s">
        <v>311</v>
      </c>
    </row>
    <row r="68" customFormat="false" ht="23.85" hidden="false" customHeight="false" outlineLevel="0" collapsed="false">
      <c r="A68" s="8" t="s">
        <v>574</v>
      </c>
      <c r="B68" s="11" t="s">
        <v>152</v>
      </c>
      <c r="C68" s="8" t="s">
        <v>153</v>
      </c>
      <c r="D68" s="8" t="s">
        <v>575</v>
      </c>
      <c r="E68" s="8" t="s">
        <v>416</v>
      </c>
      <c r="F68" s="10"/>
      <c r="G68" s="10"/>
      <c r="H68" s="8" t="s">
        <v>576</v>
      </c>
      <c r="I68" s="8" t="s">
        <v>577</v>
      </c>
      <c r="J68" s="8" t="s">
        <v>301</v>
      </c>
      <c r="K68" s="8" t="s">
        <v>257</v>
      </c>
      <c r="L68" s="11" t="s">
        <v>278</v>
      </c>
      <c r="M68" s="8" t="s">
        <v>578</v>
      </c>
      <c r="N68" s="11" t="s">
        <v>311</v>
      </c>
    </row>
    <row r="69" customFormat="false" ht="23.85" hidden="false" customHeight="false" outlineLevel="0" collapsed="false">
      <c r="A69" s="8" t="s">
        <v>579</v>
      </c>
      <c r="B69" s="11" t="s">
        <v>152</v>
      </c>
      <c r="C69" s="8" t="s">
        <v>153</v>
      </c>
      <c r="D69" s="8" t="s">
        <v>580</v>
      </c>
      <c r="E69" s="8" t="s">
        <v>581</v>
      </c>
      <c r="F69" s="10" t="n">
        <v>50</v>
      </c>
      <c r="G69" s="10" t="n">
        <v>300</v>
      </c>
      <c r="H69" s="8" t="s">
        <v>582</v>
      </c>
      <c r="I69" s="8" t="s">
        <v>264</v>
      </c>
      <c r="J69" s="8" t="s">
        <v>256</v>
      </c>
      <c r="K69" s="8" t="s">
        <v>332</v>
      </c>
      <c r="L69" s="11" t="s">
        <v>278</v>
      </c>
      <c r="M69" s="8" t="s">
        <v>583</v>
      </c>
      <c r="N69" s="11" t="s">
        <v>311</v>
      </c>
    </row>
    <row r="70" customFormat="false" ht="23.85" hidden="false" customHeight="false" outlineLevel="0" collapsed="false">
      <c r="A70" s="8" t="s">
        <v>584</v>
      </c>
      <c r="B70" s="11" t="s">
        <v>152</v>
      </c>
      <c r="C70" s="8" t="s">
        <v>153</v>
      </c>
      <c r="D70" s="8" t="s">
        <v>585</v>
      </c>
      <c r="E70" s="8" t="s">
        <v>537</v>
      </c>
      <c r="F70" s="10" t="n">
        <v>10</v>
      </c>
      <c r="G70" s="10"/>
      <c r="H70" s="8" t="s">
        <v>586</v>
      </c>
      <c r="I70" s="8" t="s">
        <v>357</v>
      </c>
      <c r="J70" s="8" t="s">
        <v>265</v>
      </c>
      <c r="K70" s="8" t="s">
        <v>348</v>
      </c>
      <c r="L70" s="11" t="s">
        <v>278</v>
      </c>
      <c r="M70" s="8" t="s">
        <v>587</v>
      </c>
      <c r="N70" s="11" t="s">
        <v>311</v>
      </c>
    </row>
    <row r="71" customFormat="false" ht="35.05" hidden="false" customHeight="false" outlineLevel="0" collapsed="false">
      <c r="A71" s="8" t="s">
        <v>588</v>
      </c>
      <c r="B71" s="11" t="s">
        <v>152</v>
      </c>
      <c r="C71" s="8" t="s">
        <v>153</v>
      </c>
      <c r="D71" s="8" t="s">
        <v>589</v>
      </c>
      <c r="E71" s="8" t="s">
        <v>560</v>
      </c>
      <c r="F71" s="10"/>
      <c r="G71" s="10"/>
      <c r="H71" s="8" t="s">
        <v>590</v>
      </c>
      <c r="I71" s="8" t="s">
        <v>591</v>
      </c>
      <c r="J71" s="8" t="s">
        <v>492</v>
      </c>
      <c r="K71" s="8" t="s">
        <v>257</v>
      </c>
      <c r="L71" s="11" t="s">
        <v>278</v>
      </c>
      <c r="M71" s="8" t="s">
        <v>592</v>
      </c>
      <c r="N71" s="11" t="s">
        <v>311</v>
      </c>
    </row>
    <row r="72" customFormat="false" ht="23.85" hidden="false" customHeight="false" outlineLevel="0" collapsed="false">
      <c r="A72" s="8" t="s">
        <v>593</v>
      </c>
      <c r="B72" s="11" t="s">
        <v>152</v>
      </c>
      <c r="C72" s="8" t="s">
        <v>153</v>
      </c>
      <c r="D72" s="8" t="s">
        <v>594</v>
      </c>
      <c r="E72" s="8" t="s">
        <v>362</v>
      </c>
      <c r="F72" s="10"/>
      <c r="G72" s="10"/>
      <c r="H72" s="8" t="s">
        <v>595</v>
      </c>
      <c r="I72" s="8" t="s">
        <v>264</v>
      </c>
      <c r="J72" s="8" t="s">
        <v>265</v>
      </c>
      <c r="K72" s="8" t="s">
        <v>277</v>
      </c>
      <c r="L72" s="11" t="s">
        <v>278</v>
      </c>
      <c r="M72" s="8" t="s">
        <v>596</v>
      </c>
      <c r="N72" s="11" t="s">
        <v>311</v>
      </c>
    </row>
    <row r="73" customFormat="false" ht="23.85" hidden="false" customHeight="false" outlineLevel="0" collapsed="false">
      <c r="A73" s="8" t="s">
        <v>597</v>
      </c>
      <c r="B73" s="11" t="s">
        <v>152</v>
      </c>
      <c r="C73" s="8" t="s">
        <v>153</v>
      </c>
      <c r="D73" s="8" t="s">
        <v>598</v>
      </c>
      <c r="E73" s="8" t="s">
        <v>599</v>
      </c>
      <c r="F73" s="10"/>
      <c r="G73" s="10"/>
      <c r="H73" s="8" t="s">
        <v>600</v>
      </c>
      <c r="I73" s="8" t="s">
        <v>264</v>
      </c>
      <c r="J73" s="8" t="s">
        <v>265</v>
      </c>
      <c r="K73" s="8" t="s">
        <v>601</v>
      </c>
      <c r="L73" s="11" t="s">
        <v>278</v>
      </c>
      <c r="M73" s="8" t="s">
        <v>602</v>
      </c>
      <c r="N73" s="11" t="s">
        <v>311</v>
      </c>
    </row>
    <row r="74" customFormat="false" ht="23.85" hidden="false" customHeight="false" outlineLevel="0" collapsed="false">
      <c r="A74" s="8" t="s">
        <v>603</v>
      </c>
      <c r="B74" s="11" t="s">
        <v>152</v>
      </c>
      <c r="C74" s="8" t="s">
        <v>153</v>
      </c>
      <c r="D74" s="8" t="s">
        <v>604</v>
      </c>
      <c r="E74" s="8" t="s">
        <v>537</v>
      </c>
      <c r="F74" s="10" t="n">
        <v>0</v>
      </c>
      <c r="G74" s="10" t="n">
        <v>0</v>
      </c>
      <c r="H74" s="8" t="s">
        <v>400</v>
      </c>
      <c r="I74" s="8" t="s">
        <v>549</v>
      </c>
      <c r="J74" s="8" t="s">
        <v>256</v>
      </c>
      <c r="K74" s="8" t="s">
        <v>332</v>
      </c>
      <c r="L74" s="11" t="s">
        <v>278</v>
      </c>
      <c r="M74" s="8" t="s">
        <v>605</v>
      </c>
      <c r="N74" s="11" t="s">
        <v>260</v>
      </c>
    </row>
    <row r="75" customFormat="false" ht="15" hidden="false" customHeight="false" outlineLevel="0" collapsed="false">
      <c r="A75" s="8" t="s">
        <v>606</v>
      </c>
      <c r="B75" s="11" t="s">
        <v>163</v>
      </c>
      <c r="C75" s="8" t="s">
        <v>164</v>
      </c>
      <c r="D75" s="8" t="s">
        <v>607</v>
      </c>
      <c r="E75" s="8" t="s">
        <v>608</v>
      </c>
      <c r="F75" s="10" t="n">
        <v>30</v>
      </c>
      <c r="G75" s="10" t="n">
        <v>100</v>
      </c>
      <c r="H75" s="8" t="s">
        <v>609</v>
      </c>
      <c r="I75" s="8" t="s">
        <v>610</v>
      </c>
      <c r="J75" s="8" t="s">
        <v>256</v>
      </c>
      <c r="K75" s="8" t="s">
        <v>257</v>
      </c>
      <c r="L75" s="11" t="s">
        <v>278</v>
      </c>
      <c r="M75" s="8" t="s">
        <v>611</v>
      </c>
      <c r="N75" s="11" t="s">
        <v>311</v>
      </c>
    </row>
    <row r="76" customFormat="false" ht="23.85" hidden="false" customHeight="false" outlineLevel="0" collapsed="false">
      <c r="A76" s="8" t="s">
        <v>612</v>
      </c>
      <c r="B76" s="11" t="s">
        <v>163</v>
      </c>
      <c r="C76" s="8" t="s">
        <v>164</v>
      </c>
      <c r="D76" s="8" t="s">
        <v>613</v>
      </c>
      <c r="E76" s="8" t="s">
        <v>537</v>
      </c>
      <c r="F76" s="10" t="n">
        <v>0</v>
      </c>
      <c r="G76" s="10" t="n">
        <v>0</v>
      </c>
      <c r="H76" s="8" t="s">
        <v>314</v>
      </c>
      <c r="I76" s="8" t="s">
        <v>264</v>
      </c>
      <c r="J76" s="8" t="s">
        <v>301</v>
      </c>
      <c r="K76" s="8" t="s">
        <v>348</v>
      </c>
      <c r="L76" s="11" t="s">
        <v>278</v>
      </c>
      <c r="M76" s="8" t="s">
        <v>614</v>
      </c>
      <c r="N76" s="11" t="s">
        <v>260</v>
      </c>
    </row>
    <row r="77" customFormat="false" ht="23.85" hidden="false" customHeight="false" outlineLevel="0" collapsed="false">
      <c r="A77" s="8" t="s">
        <v>615</v>
      </c>
      <c r="B77" s="11" t="s">
        <v>163</v>
      </c>
      <c r="C77" s="8" t="s">
        <v>164</v>
      </c>
      <c r="D77" s="8" t="s">
        <v>616</v>
      </c>
      <c r="E77" s="8" t="s">
        <v>617</v>
      </c>
      <c r="F77" s="10"/>
      <c r="G77" s="10"/>
      <c r="H77" s="8" t="s">
        <v>618</v>
      </c>
      <c r="I77" s="8" t="s">
        <v>570</v>
      </c>
      <c r="J77" s="8" t="s">
        <v>301</v>
      </c>
      <c r="K77" s="8" t="s">
        <v>257</v>
      </c>
      <c r="L77" s="11" t="s">
        <v>278</v>
      </c>
      <c r="M77" s="8" t="s">
        <v>619</v>
      </c>
      <c r="N77" s="11" t="s">
        <v>311</v>
      </c>
    </row>
    <row r="78" customFormat="false" ht="15" hidden="false" customHeight="false" outlineLevel="0" collapsed="false">
      <c r="A78" s="8" t="s">
        <v>620</v>
      </c>
      <c r="B78" s="11" t="s">
        <v>163</v>
      </c>
      <c r="C78" s="8" t="s">
        <v>164</v>
      </c>
      <c r="D78" s="8" t="s">
        <v>621</v>
      </c>
      <c r="E78" s="8" t="s">
        <v>622</v>
      </c>
      <c r="F78" s="10" t="n">
        <v>0</v>
      </c>
      <c r="G78" s="10" t="n">
        <v>0</v>
      </c>
      <c r="H78" s="8" t="s">
        <v>314</v>
      </c>
      <c r="I78" s="8" t="s">
        <v>570</v>
      </c>
      <c r="J78" s="8" t="s">
        <v>623</v>
      </c>
      <c r="K78" s="8" t="s">
        <v>257</v>
      </c>
      <c r="L78" s="11" t="s">
        <v>278</v>
      </c>
      <c r="M78" s="8" t="s">
        <v>624</v>
      </c>
      <c r="N78" s="11" t="s">
        <v>260</v>
      </c>
    </row>
    <row r="79" customFormat="false" ht="23.85" hidden="false" customHeight="false" outlineLevel="0" collapsed="false">
      <c r="A79" s="8" t="s">
        <v>625</v>
      </c>
      <c r="B79" s="11" t="s">
        <v>163</v>
      </c>
      <c r="C79" s="8" t="s">
        <v>164</v>
      </c>
      <c r="D79" s="8" t="s">
        <v>626</v>
      </c>
      <c r="E79" s="8" t="s">
        <v>253</v>
      </c>
      <c r="F79" s="10" t="n">
        <v>30</v>
      </c>
      <c r="G79" s="10" t="n">
        <v>500</v>
      </c>
      <c r="H79" s="8" t="s">
        <v>627</v>
      </c>
      <c r="I79" s="8" t="s">
        <v>628</v>
      </c>
      <c r="J79" s="8" t="s">
        <v>301</v>
      </c>
      <c r="K79" s="8" t="s">
        <v>257</v>
      </c>
      <c r="L79" s="11" t="s">
        <v>278</v>
      </c>
      <c r="M79" s="8" t="s">
        <v>629</v>
      </c>
      <c r="N79" s="11" t="s">
        <v>311</v>
      </c>
    </row>
    <row r="80" customFormat="false" ht="15" hidden="false" customHeight="false" outlineLevel="0" collapsed="false">
      <c r="A80" s="8" t="s">
        <v>630</v>
      </c>
      <c r="B80" s="11" t="s">
        <v>163</v>
      </c>
      <c r="C80" s="8" t="s">
        <v>164</v>
      </c>
      <c r="D80" s="8" t="s">
        <v>631</v>
      </c>
      <c r="E80" s="8" t="s">
        <v>632</v>
      </c>
      <c r="F80" s="10" t="n">
        <v>3500</v>
      </c>
      <c r="G80" s="10" t="n">
        <v>6500</v>
      </c>
      <c r="H80" s="8" t="s">
        <v>633</v>
      </c>
      <c r="I80" s="8" t="s">
        <v>634</v>
      </c>
      <c r="J80" s="8" t="s">
        <v>301</v>
      </c>
      <c r="K80" s="8" t="s">
        <v>257</v>
      </c>
      <c r="L80" s="11" t="s">
        <v>278</v>
      </c>
      <c r="M80" s="8" t="s">
        <v>635</v>
      </c>
      <c r="N80" s="11" t="s">
        <v>311</v>
      </c>
    </row>
    <row r="81" customFormat="false" ht="15" hidden="false" customHeight="false" outlineLevel="0" collapsed="false">
      <c r="A81" s="8" t="s">
        <v>636</v>
      </c>
      <c r="B81" s="11" t="s">
        <v>163</v>
      </c>
      <c r="C81" s="8" t="s">
        <v>164</v>
      </c>
      <c r="D81" s="8" t="s">
        <v>637</v>
      </c>
      <c r="E81" s="8" t="s">
        <v>638</v>
      </c>
      <c r="F81" s="10"/>
      <c r="G81" s="10"/>
      <c r="H81" s="8" t="s">
        <v>639</v>
      </c>
      <c r="I81" s="8" t="s">
        <v>570</v>
      </c>
      <c r="J81" s="8" t="s">
        <v>301</v>
      </c>
      <c r="K81" s="8" t="s">
        <v>257</v>
      </c>
      <c r="L81" s="11" t="s">
        <v>278</v>
      </c>
      <c r="M81" s="8" t="s">
        <v>640</v>
      </c>
      <c r="N81" s="11" t="s">
        <v>311</v>
      </c>
    </row>
    <row r="82" customFormat="false" ht="23.85" hidden="false" customHeight="false" outlineLevel="0" collapsed="false">
      <c r="A82" s="8" t="s">
        <v>641</v>
      </c>
      <c r="B82" s="11" t="s">
        <v>163</v>
      </c>
      <c r="C82" s="8" t="s">
        <v>164</v>
      </c>
      <c r="D82" s="8" t="s">
        <v>642</v>
      </c>
      <c r="E82" s="8" t="s">
        <v>643</v>
      </c>
      <c r="F82" s="10"/>
      <c r="G82" s="10"/>
      <c r="H82" s="8" t="s">
        <v>644</v>
      </c>
      <c r="I82" s="8" t="s">
        <v>570</v>
      </c>
      <c r="J82" s="8" t="s">
        <v>645</v>
      </c>
      <c r="K82" s="8" t="s">
        <v>321</v>
      </c>
      <c r="L82" s="11" t="s">
        <v>278</v>
      </c>
      <c r="M82" s="8" t="s">
        <v>646</v>
      </c>
      <c r="N82" s="11" t="s">
        <v>311</v>
      </c>
    </row>
    <row r="83" customFormat="false" ht="15" hidden="false" customHeight="false" outlineLevel="0" collapsed="false">
      <c r="A83" s="8" t="s">
        <v>647</v>
      </c>
      <c r="B83" s="11" t="s">
        <v>163</v>
      </c>
      <c r="C83" s="8" t="s">
        <v>164</v>
      </c>
      <c r="D83" s="8" t="s">
        <v>648</v>
      </c>
      <c r="E83" s="8" t="s">
        <v>581</v>
      </c>
      <c r="F83" s="10" t="n">
        <v>0</v>
      </c>
      <c r="G83" s="10" t="n">
        <v>0</v>
      </c>
      <c r="H83" s="8" t="s">
        <v>348</v>
      </c>
      <c r="I83" s="8" t="s">
        <v>264</v>
      </c>
      <c r="J83" s="8" t="s">
        <v>256</v>
      </c>
      <c r="K83" s="8" t="s">
        <v>348</v>
      </c>
      <c r="L83" s="11" t="s">
        <v>278</v>
      </c>
      <c r="M83" s="8" t="s">
        <v>649</v>
      </c>
      <c r="N83" s="11" t="s">
        <v>260</v>
      </c>
    </row>
    <row r="84" customFormat="false" ht="15" hidden="false" customHeight="false" outlineLevel="0" collapsed="false">
      <c r="A84" s="8" t="s">
        <v>650</v>
      </c>
      <c r="B84" s="11" t="s">
        <v>175</v>
      </c>
      <c r="C84" s="8" t="s">
        <v>176</v>
      </c>
      <c r="D84" s="8" t="s">
        <v>651</v>
      </c>
      <c r="E84" s="8" t="s">
        <v>652</v>
      </c>
      <c r="F84" s="10" t="n">
        <v>0</v>
      </c>
      <c r="G84" s="10" t="n">
        <v>0</v>
      </c>
      <c r="H84" s="8" t="s">
        <v>653</v>
      </c>
      <c r="I84" s="8" t="s">
        <v>264</v>
      </c>
      <c r="J84" s="8" t="s">
        <v>265</v>
      </c>
      <c r="K84" s="8" t="s">
        <v>332</v>
      </c>
      <c r="L84" s="11" t="s">
        <v>278</v>
      </c>
      <c r="M84" s="8" t="s">
        <v>654</v>
      </c>
      <c r="N84" s="11" t="s">
        <v>260</v>
      </c>
    </row>
    <row r="85" customFormat="false" ht="15" hidden="false" customHeight="false" outlineLevel="0" collapsed="false">
      <c r="A85" s="8" t="s">
        <v>655</v>
      </c>
      <c r="B85" s="11" t="s">
        <v>175</v>
      </c>
      <c r="C85" s="8" t="s">
        <v>176</v>
      </c>
      <c r="D85" s="8" t="s">
        <v>656</v>
      </c>
      <c r="E85" s="8" t="s">
        <v>560</v>
      </c>
      <c r="F85" s="10" t="n">
        <v>0</v>
      </c>
      <c r="G85" s="10" t="n">
        <v>0</v>
      </c>
      <c r="H85" s="8" t="s">
        <v>400</v>
      </c>
      <c r="I85" s="8" t="s">
        <v>264</v>
      </c>
      <c r="J85" s="8" t="s">
        <v>256</v>
      </c>
      <c r="K85" s="8" t="s">
        <v>321</v>
      </c>
      <c r="L85" s="11" t="s">
        <v>278</v>
      </c>
      <c r="M85" s="8" t="s">
        <v>657</v>
      </c>
      <c r="N85" s="11" t="s">
        <v>260</v>
      </c>
    </row>
    <row r="86" customFormat="false" ht="23.85" hidden="false" customHeight="false" outlineLevel="0" collapsed="false">
      <c r="A86" s="8" t="s">
        <v>658</v>
      </c>
      <c r="B86" s="11" t="s">
        <v>175</v>
      </c>
      <c r="C86" s="8" t="s">
        <v>176</v>
      </c>
      <c r="D86" s="8" t="s">
        <v>659</v>
      </c>
      <c r="E86" s="8" t="s">
        <v>660</v>
      </c>
      <c r="F86" s="10" t="n">
        <v>0</v>
      </c>
      <c r="G86" s="10" t="n">
        <v>0</v>
      </c>
      <c r="H86" s="8" t="s">
        <v>661</v>
      </c>
      <c r="I86" s="8" t="s">
        <v>357</v>
      </c>
      <c r="J86" s="8" t="s">
        <v>301</v>
      </c>
      <c r="K86" s="8" t="s">
        <v>257</v>
      </c>
      <c r="L86" s="11" t="s">
        <v>278</v>
      </c>
      <c r="M86" s="8" t="s">
        <v>662</v>
      </c>
      <c r="N86" s="11" t="s">
        <v>260</v>
      </c>
    </row>
    <row r="87" customFormat="false" ht="15" hidden="false" customHeight="false" outlineLevel="0" collapsed="false">
      <c r="A87" s="8" t="s">
        <v>663</v>
      </c>
      <c r="B87" s="11" t="s">
        <v>175</v>
      </c>
      <c r="C87" s="8" t="s">
        <v>176</v>
      </c>
      <c r="D87" s="8" t="s">
        <v>664</v>
      </c>
      <c r="E87" s="8" t="s">
        <v>660</v>
      </c>
      <c r="F87" s="10" t="n">
        <v>0</v>
      </c>
      <c r="G87" s="10" t="n">
        <v>0</v>
      </c>
      <c r="H87" s="8" t="s">
        <v>665</v>
      </c>
      <c r="I87" s="8" t="s">
        <v>264</v>
      </c>
      <c r="J87" s="8" t="s">
        <v>276</v>
      </c>
      <c r="K87" s="8" t="s">
        <v>257</v>
      </c>
      <c r="L87" s="11" t="s">
        <v>278</v>
      </c>
      <c r="M87" s="8" t="s">
        <v>666</v>
      </c>
      <c r="N87" s="11" t="s">
        <v>260</v>
      </c>
    </row>
    <row r="88" customFormat="false" ht="15" hidden="false" customHeight="false" outlineLevel="0" collapsed="false">
      <c r="A88" s="8" t="s">
        <v>667</v>
      </c>
      <c r="B88" s="11" t="s">
        <v>175</v>
      </c>
      <c r="C88" s="8" t="s">
        <v>176</v>
      </c>
      <c r="D88" s="8" t="s">
        <v>668</v>
      </c>
      <c r="E88" s="8" t="s">
        <v>520</v>
      </c>
      <c r="F88" s="10" t="n">
        <v>0</v>
      </c>
      <c r="G88" s="10" t="n">
        <v>0</v>
      </c>
      <c r="H88" s="8" t="s">
        <v>669</v>
      </c>
      <c r="I88" s="8" t="s">
        <v>264</v>
      </c>
      <c r="J88" s="8" t="s">
        <v>315</v>
      </c>
      <c r="K88" s="8" t="s">
        <v>257</v>
      </c>
      <c r="L88" s="11" t="s">
        <v>278</v>
      </c>
      <c r="M88" s="8" t="s">
        <v>670</v>
      </c>
      <c r="N88" s="11" t="s">
        <v>260</v>
      </c>
    </row>
    <row r="89" customFormat="false" ht="15" hidden="false" customHeight="false" outlineLevel="0" collapsed="false">
      <c r="A89" s="8" t="s">
        <v>671</v>
      </c>
      <c r="B89" s="11" t="s">
        <v>175</v>
      </c>
      <c r="C89" s="8" t="s">
        <v>176</v>
      </c>
      <c r="D89" s="8" t="s">
        <v>672</v>
      </c>
      <c r="E89" s="8" t="s">
        <v>282</v>
      </c>
      <c r="F89" s="10" t="n">
        <v>0</v>
      </c>
      <c r="G89" s="10" t="n">
        <v>0</v>
      </c>
      <c r="H89" s="8" t="s">
        <v>673</v>
      </c>
      <c r="I89" s="8" t="s">
        <v>264</v>
      </c>
      <c r="J89" s="8" t="s">
        <v>315</v>
      </c>
      <c r="K89" s="8" t="s">
        <v>257</v>
      </c>
      <c r="L89" s="11" t="s">
        <v>278</v>
      </c>
      <c r="M89" s="8" t="s">
        <v>674</v>
      </c>
      <c r="N89" s="11" t="s">
        <v>260</v>
      </c>
    </row>
    <row r="90" customFormat="false" ht="23.85" hidden="false" customHeight="false" outlineLevel="0" collapsed="false">
      <c r="A90" s="8" t="s">
        <v>675</v>
      </c>
      <c r="B90" s="11" t="s">
        <v>175</v>
      </c>
      <c r="C90" s="8" t="s">
        <v>176</v>
      </c>
      <c r="D90" s="8" t="s">
        <v>676</v>
      </c>
      <c r="E90" s="8" t="s">
        <v>677</v>
      </c>
      <c r="F90" s="10"/>
      <c r="G90" s="10"/>
      <c r="H90" s="8" t="s">
        <v>609</v>
      </c>
      <c r="I90" s="8" t="s">
        <v>678</v>
      </c>
      <c r="J90" s="8" t="s">
        <v>301</v>
      </c>
      <c r="K90" s="8" t="s">
        <v>257</v>
      </c>
      <c r="L90" s="11" t="s">
        <v>278</v>
      </c>
      <c r="M90" s="8" t="s">
        <v>679</v>
      </c>
      <c r="N90" s="11" t="s">
        <v>311</v>
      </c>
    </row>
    <row r="91" customFormat="false" ht="15" hidden="false" customHeight="false" outlineLevel="0" collapsed="false">
      <c r="A91" s="8" t="s">
        <v>680</v>
      </c>
      <c r="B91" s="11" t="s">
        <v>175</v>
      </c>
      <c r="C91" s="8" t="s">
        <v>176</v>
      </c>
      <c r="D91" s="8" t="s">
        <v>681</v>
      </c>
      <c r="E91" s="8" t="s">
        <v>682</v>
      </c>
      <c r="F91" s="10" t="n">
        <v>0</v>
      </c>
      <c r="G91" s="10" t="n">
        <v>0</v>
      </c>
      <c r="H91" s="8" t="s">
        <v>400</v>
      </c>
      <c r="I91" s="8" t="s">
        <v>683</v>
      </c>
      <c r="J91" s="8" t="s">
        <v>256</v>
      </c>
      <c r="K91" s="8" t="s">
        <v>332</v>
      </c>
      <c r="L91" s="11" t="s">
        <v>278</v>
      </c>
      <c r="M91" s="8" t="s">
        <v>684</v>
      </c>
      <c r="N91" s="11" t="s">
        <v>311</v>
      </c>
    </row>
    <row r="92" customFormat="false" ht="15" hidden="false" customHeight="false" outlineLevel="0" collapsed="false">
      <c r="A92" s="8" t="s">
        <v>685</v>
      </c>
      <c r="B92" s="11" t="s">
        <v>175</v>
      </c>
      <c r="C92" s="8" t="s">
        <v>176</v>
      </c>
      <c r="D92" s="8" t="s">
        <v>686</v>
      </c>
      <c r="E92" s="8" t="s">
        <v>306</v>
      </c>
      <c r="F92" s="10" t="n">
        <v>5</v>
      </c>
      <c r="G92" s="10" t="n">
        <v>25</v>
      </c>
      <c r="H92" s="8" t="s">
        <v>687</v>
      </c>
      <c r="I92" s="8" t="s">
        <v>255</v>
      </c>
      <c r="J92" s="8" t="s">
        <v>276</v>
      </c>
      <c r="K92" s="8" t="s">
        <v>383</v>
      </c>
      <c r="L92" s="11" t="s">
        <v>278</v>
      </c>
      <c r="M92" s="8" t="s">
        <v>688</v>
      </c>
      <c r="N92" s="11" t="s">
        <v>311</v>
      </c>
    </row>
    <row r="93" customFormat="false" ht="23.85" hidden="false" customHeight="false" outlineLevel="0" collapsed="false">
      <c r="A93" s="8" t="s">
        <v>689</v>
      </c>
      <c r="B93" s="11" t="s">
        <v>185</v>
      </c>
      <c r="C93" s="8" t="s">
        <v>186</v>
      </c>
      <c r="D93" s="8" t="s">
        <v>690</v>
      </c>
      <c r="E93" s="8" t="s">
        <v>691</v>
      </c>
      <c r="F93" s="10" t="n">
        <v>0</v>
      </c>
      <c r="G93" s="10" t="n">
        <v>0</v>
      </c>
      <c r="H93" s="8" t="s">
        <v>692</v>
      </c>
      <c r="I93" s="8" t="s">
        <v>264</v>
      </c>
      <c r="J93" s="8" t="s">
        <v>265</v>
      </c>
      <c r="K93" s="8" t="s">
        <v>693</v>
      </c>
      <c r="L93" s="11" t="s">
        <v>278</v>
      </c>
      <c r="M93" s="8" t="s">
        <v>694</v>
      </c>
      <c r="N93" s="11" t="s">
        <v>260</v>
      </c>
    </row>
    <row r="94" customFormat="false" ht="23.85" hidden="false" customHeight="false" outlineLevel="0" collapsed="false">
      <c r="A94" s="8" t="s">
        <v>695</v>
      </c>
      <c r="B94" s="11" t="s">
        <v>185</v>
      </c>
      <c r="C94" s="8" t="s">
        <v>186</v>
      </c>
      <c r="D94" s="8" t="s">
        <v>696</v>
      </c>
      <c r="E94" s="8" t="s">
        <v>416</v>
      </c>
      <c r="F94" s="10" t="n">
        <v>300</v>
      </c>
      <c r="G94" s="10" t="n">
        <v>500</v>
      </c>
      <c r="H94" s="8" t="s">
        <v>697</v>
      </c>
      <c r="I94" s="8" t="s">
        <v>698</v>
      </c>
      <c r="J94" s="8" t="s">
        <v>265</v>
      </c>
      <c r="K94" s="8" t="s">
        <v>332</v>
      </c>
      <c r="L94" s="11" t="s">
        <v>278</v>
      </c>
      <c r="M94" s="8" t="s">
        <v>699</v>
      </c>
      <c r="N94" s="11" t="s">
        <v>311</v>
      </c>
    </row>
    <row r="95" customFormat="false" ht="23.85" hidden="false" customHeight="false" outlineLevel="0" collapsed="false">
      <c r="A95" s="8" t="s">
        <v>700</v>
      </c>
      <c r="B95" s="11" t="s">
        <v>185</v>
      </c>
      <c r="C95" s="8" t="s">
        <v>186</v>
      </c>
      <c r="D95" s="8" t="s">
        <v>701</v>
      </c>
      <c r="E95" s="8" t="s">
        <v>282</v>
      </c>
      <c r="F95" s="10" t="n">
        <v>0</v>
      </c>
      <c r="G95" s="10" t="n">
        <v>0</v>
      </c>
      <c r="H95" s="8" t="s">
        <v>702</v>
      </c>
      <c r="I95" s="8" t="s">
        <v>264</v>
      </c>
      <c r="J95" s="8" t="s">
        <v>256</v>
      </c>
      <c r="K95" s="8" t="s">
        <v>321</v>
      </c>
      <c r="L95" s="11" t="s">
        <v>278</v>
      </c>
      <c r="M95" s="8" t="s">
        <v>703</v>
      </c>
      <c r="N95" s="11" t="s">
        <v>260</v>
      </c>
    </row>
    <row r="96" customFormat="false" ht="15" hidden="false" customHeight="false" outlineLevel="0" collapsed="false">
      <c r="A96" s="8" t="s">
        <v>704</v>
      </c>
      <c r="B96" s="11" t="s">
        <v>185</v>
      </c>
      <c r="C96" s="8" t="s">
        <v>186</v>
      </c>
      <c r="D96" s="8" t="s">
        <v>705</v>
      </c>
      <c r="E96" s="8" t="s">
        <v>706</v>
      </c>
      <c r="F96" s="10" t="n">
        <v>25</v>
      </c>
      <c r="G96" s="10" t="n">
        <v>300</v>
      </c>
      <c r="H96" s="8" t="s">
        <v>707</v>
      </c>
      <c r="I96" s="8" t="s">
        <v>708</v>
      </c>
      <c r="J96" s="8" t="s">
        <v>301</v>
      </c>
      <c r="K96" s="8" t="s">
        <v>257</v>
      </c>
      <c r="L96" s="11" t="s">
        <v>278</v>
      </c>
      <c r="M96" s="8" t="s">
        <v>709</v>
      </c>
      <c r="N96" s="11" t="s">
        <v>260</v>
      </c>
    </row>
    <row r="97" customFormat="false" ht="15" hidden="false" customHeight="false" outlineLevel="0" collapsed="false">
      <c r="A97" s="8" t="s">
        <v>710</v>
      </c>
      <c r="B97" s="11" t="s">
        <v>185</v>
      </c>
      <c r="C97" s="8" t="s">
        <v>186</v>
      </c>
      <c r="D97" s="8" t="s">
        <v>711</v>
      </c>
      <c r="E97" s="8" t="s">
        <v>712</v>
      </c>
      <c r="F97" s="10" t="n">
        <v>0</v>
      </c>
      <c r="G97" s="10" t="n">
        <v>0</v>
      </c>
      <c r="H97" s="8" t="s">
        <v>400</v>
      </c>
      <c r="I97" s="8" t="s">
        <v>264</v>
      </c>
      <c r="J97" s="8" t="s">
        <v>265</v>
      </c>
      <c r="K97" s="8" t="s">
        <v>332</v>
      </c>
      <c r="L97" s="11" t="s">
        <v>278</v>
      </c>
      <c r="M97" s="8" t="s">
        <v>713</v>
      </c>
      <c r="N97" s="11" t="s">
        <v>260</v>
      </c>
    </row>
    <row r="98" customFormat="false" ht="15" hidden="false" customHeight="false" outlineLevel="0" collapsed="false">
      <c r="A98" s="8" t="s">
        <v>714</v>
      </c>
      <c r="B98" s="11" t="s">
        <v>185</v>
      </c>
      <c r="C98" s="8" t="s">
        <v>186</v>
      </c>
      <c r="D98" s="8" t="s">
        <v>715</v>
      </c>
      <c r="E98" s="8" t="s">
        <v>716</v>
      </c>
      <c r="F98" s="10"/>
      <c r="G98" s="10"/>
      <c r="H98" s="8" t="s">
        <v>687</v>
      </c>
      <c r="I98" s="8" t="s">
        <v>264</v>
      </c>
      <c r="J98" s="8" t="s">
        <v>265</v>
      </c>
      <c r="K98" s="8" t="s">
        <v>383</v>
      </c>
      <c r="L98" s="11" t="s">
        <v>278</v>
      </c>
      <c r="M98" s="8" t="s">
        <v>717</v>
      </c>
      <c r="N98" s="11" t="s">
        <v>311</v>
      </c>
    </row>
    <row r="99" customFormat="false" ht="15" hidden="false" customHeight="false" outlineLevel="0" collapsed="false">
      <c r="A99" s="8" t="s">
        <v>718</v>
      </c>
      <c r="B99" s="11" t="s">
        <v>185</v>
      </c>
      <c r="C99" s="8" t="s">
        <v>186</v>
      </c>
      <c r="D99" s="8" t="s">
        <v>719</v>
      </c>
      <c r="E99" s="8" t="s">
        <v>306</v>
      </c>
      <c r="F99" s="10"/>
      <c r="G99" s="10"/>
      <c r="H99" s="8" t="s">
        <v>720</v>
      </c>
      <c r="I99" s="8" t="s">
        <v>721</v>
      </c>
      <c r="J99" s="8" t="s">
        <v>265</v>
      </c>
      <c r="K99" s="8" t="s">
        <v>722</v>
      </c>
      <c r="L99" s="11" t="s">
        <v>278</v>
      </c>
      <c r="M99" s="8" t="s">
        <v>723</v>
      </c>
      <c r="N99" s="11" t="s">
        <v>311</v>
      </c>
    </row>
    <row r="100" customFormat="false" ht="15" hidden="false" customHeight="false" outlineLevel="0" collapsed="false">
      <c r="A100" s="8" t="s">
        <v>724</v>
      </c>
      <c r="B100" s="11" t="s">
        <v>185</v>
      </c>
      <c r="C100" s="8" t="s">
        <v>186</v>
      </c>
      <c r="D100" s="8" t="s">
        <v>725</v>
      </c>
      <c r="E100" s="8" t="s">
        <v>726</v>
      </c>
      <c r="F100" s="10" t="n">
        <v>0</v>
      </c>
      <c r="G100" s="10" t="n">
        <v>0</v>
      </c>
      <c r="H100" s="8" t="s">
        <v>727</v>
      </c>
      <c r="I100" s="8" t="s">
        <v>264</v>
      </c>
      <c r="J100" s="8" t="s">
        <v>256</v>
      </c>
      <c r="K100" s="8" t="s">
        <v>257</v>
      </c>
      <c r="L100" s="11" t="s">
        <v>278</v>
      </c>
      <c r="M100" s="8" t="s">
        <v>728</v>
      </c>
      <c r="N100" s="11" t="s">
        <v>260</v>
      </c>
    </row>
    <row r="101" customFormat="false" ht="23.85" hidden="false" customHeight="false" outlineLevel="0" collapsed="false">
      <c r="A101" s="8" t="s">
        <v>729</v>
      </c>
      <c r="B101" s="11" t="s">
        <v>185</v>
      </c>
      <c r="C101" s="8" t="s">
        <v>186</v>
      </c>
      <c r="D101" s="8" t="s">
        <v>730</v>
      </c>
      <c r="E101" s="8" t="s">
        <v>731</v>
      </c>
      <c r="F101" s="10" t="n">
        <v>0</v>
      </c>
      <c r="G101" s="10" t="n">
        <v>0</v>
      </c>
      <c r="H101" s="8" t="s">
        <v>356</v>
      </c>
      <c r="I101" s="8" t="s">
        <v>357</v>
      </c>
      <c r="J101" s="8" t="s">
        <v>256</v>
      </c>
      <c r="K101" s="8" t="s">
        <v>732</v>
      </c>
      <c r="L101" s="11" t="s">
        <v>278</v>
      </c>
      <c r="M101" s="8" t="s">
        <v>733</v>
      </c>
      <c r="N101" s="11" t="s">
        <v>311</v>
      </c>
    </row>
    <row r="102" customFormat="false" ht="23.85" hidden="false" customHeight="false" outlineLevel="0" collapsed="false">
      <c r="A102" s="8" t="s">
        <v>734</v>
      </c>
      <c r="B102" s="11" t="s">
        <v>195</v>
      </c>
      <c r="C102" s="8" t="s">
        <v>196</v>
      </c>
      <c r="D102" s="8" t="s">
        <v>735</v>
      </c>
      <c r="E102" s="8" t="s">
        <v>282</v>
      </c>
      <c r="F102" s="10" t="n">
        <v>0</v>
      </c>
      <c r="G102" s="10" t="n">
        <v>0</v>
      </c>
      <c r="H102" s="8" t="s">
        <v>736</v>
      </c>
      <c r="I102" s="8" t="s">
        <v>264</v>
      </c>
      <c r="J102" s="8" t="s">
        <v>301</v>
      </c>
      <c r="K102" s="8" t="s">
        <v>737</v>
      </c>
      <c r="L102" s="11" t="s">
        <v>278</v>
      </c>
      <c r="M102" s="8" t="s">
        <v>738</v>
      </c>
      <c r="N102" s="11" t="s">
        <v>260</v>
      </c>
    </row>
    <row r="103" customFormat="false" ht="15" hidden="false" customHeight="false" outlineLevel="0" collapsed="false">
      <c r="A103" s="8" t="s">
        <v>739</v>
      </c>
      <c r="B103" s="11" t="s">
        <v>195</v>
      </c>
      <c r="C103" s="8" t="s">
        <v>196</v>
      </c>
      <c r="D103" s="8" t="s">
        <v>740</v>
      </c>
      <c r="E103" s="8" t="s">
        <v>741</v>
      </c>
      <c r="F103" s="10" t="n">
        <v>0</v>
      </c>
      <c r="G103" s="10" t="n">
        <v>0</v>
      </c>
      <c r="H103" s="8" t="s">
        <v>742</v>
      </c>
      <c r="I103" s="8" t="s">
        <v>264</v>
      </c>
      <c r="J103" s="8" t="s">
        <v>276</v>
      </c>
      <c r="K103" s="8" t="s">
        <v>257</v>
      </c>
      <c r="L103" s="11" t="s">
        <v>278</v>
      </c>
      <c r="M103" s="8" t="s">
        <v>743</v>
      </c>
      <c r="N103" s="11" t="s">
        <v>260</v>
      </c>
    </row>
    <row r="104" customFormat="false" ht="23.85" hidden="false" customHeight="false" outlineLevel="0" collapsed="false">
      <c r="A104" s="8" t="s">
        <v>744</v>
      </c>
      <c r="B104" s="11" t="s">
        <v>195</v>
      </c>
      <c r="C104" s="8" t="s">
        <v>196</v>
      </c>
      <c r="D104" s="8" t="s">
        <v>745</v>
      </c>
      <c r="E104" s="8" t="s">
        <v>746</v>
      </c>
      <c r="F104" s="10" t="n">
        <v>0</v>
      </c>
      <c r="G104" s="10" t="n">
        <v>0</v>
      </c>
      <c r="H104" s="8" t="s">
        <v>747</v>
      </c>
      <c r="I104" s="8" t="s">
        <v>264</v>
      </c>
      <c r="J104" s="8" t="s">
        <v>492</v>
      </c>
      <c r="K104" s="8" t="s">
        <v>358</v>
      </c>
      <c r="L104" s="11" t="s">
        <v>278</v>
      </c>
      <c r="M104" s="8" t="s">
        <v>748</v>
      </c>
      <c r="N104" s="11" t="s">
        <v>260</v>
      </c>
    </row>
    <row r="105" customFormat="false" ht="15" hidden="false" customHeight="false" outlineLevel="0" collapsed="false">
      <c r="A105" s="8" t="s">
        <v>749</v>
      </c>
      <c r="B105" s="11" t="s">
        <v>195</v>
      </c>
      <c r="C105" s="8" t="s">
        <v>196</v>
      </c>
      <c r="D105" s="8" t="s">
        <v>750</v>
      </c>
      <c r="E105" s="8" t="s">
        <v>306</v>
      </c>
      <c r="F105" s="10" t="n">
        <v>10</v>
      </c>
      <c r="G105" s="10"/>
      <c r="H105" s="8" t="s">
        <v>417</v>
      </c>
      <c r="I105" s="8" t="s">
        <v>255</v>
      </c>
      <c r="J105" s="8" t="s">
        <v>256</v>
      </c>
      <c r="K105" s="8" t="s">
        <v>383</v>
      </c>
      <c r="L105" s="11" t="s">
        <v>278</v>
      </c>
      <c r="M105" s="8" t="s">
        <v>751</v>
      </c>
      <c r="N105" s="11" t="s">
        <v>311</v>
      </c>
    </row>
    <row r="106" customFormat="false" ht="15" hidden="false" customHeight="false" outlineLevel="0" collapsed="false">
      <c r="A106" s="8" t="s">
        <v>752</v>
      </c>
      <c r="B106" s="11" t="s">
        <v>195</v>
      </c>
      <c r="C106" s="8" t="s">
        <v>196</v>
      </c>
      <c r="D106" s="8" t="s">
        <v>753</v>
      </c>
      <c r="E106" s="8" t="s">
        <v>754</v>
      </c>
      <c r="F106" s="10" t="n">
        <v>100</v>
      </c>
      <c r="G106" s="10"/>
      <c r="H106" s="8" t="s">
        <v>755</v>
      </c>
      <c r="I106" s="8" t="s">
        <v>264</v>
      </c>
      <c r="J106" s="8" t="s">
        <v>374</v>
      </c>
      <c r="K106" s="8" t="s">
        <v>277</v>
      </c>
      <c r="L106" s="11" t="s">
        <v>278</v>
      </c>
      <c r="M106" s="8" t="s">
        <v>756</v>
      </c>
      <c r="N106" s="11" t="s">
        <v>311</v>
      </c>
    </row>
    <row r="107" customFormat="false" ht="15" hidden="false" customHeight="false" outlineLevel="0" collapsed="false">
      <c r="A107" s="8" t="s">
        <v>757</v>
      </c>
      <c r="B107" s="11" t="s">
        <v>195</v>
      </c>
      <c r="C107" s="8" t="s">
        <v>196</v>
      </c>
      <c r="D107" s="8" t="s">
        <v>758</v>
      </c>
      <c r="E107" s="8" t="s">
        <v>282</v>
      </c>
      <c r="F107" s="10" t="n">
        <v>0</v>
      </c>
      <c r="G107" s="10" t="n">
        <v>0</v>
      </c>
      <c r="H107" s="8" t="s">
        <v>422</v>
      </c>
      <c r="I107" s="8" t="s">
        <v>264</v>
      </c>
      <c r="J107" s="8" t="s">
        <v>276</v>
      </c>
      <c r="K107" s="8" t="s">
        <v>257</v>
      </c>
      <c r="L107" s="11" t="s">
        <v>278</v>
      </c>
      <c r="M107" s="8" t="s">
        <v>759</v>
      </c>
      <c r="N107" s="11" t="s">
        <v>260</v>
      </c>
    </row>
    <row r="108" customFormat="false" ht="23.85" hidden="false" customHeight="false" outlineLevel="0" collapsed="false">
      <c r="A108" s="8" t="s">
        <v>760</v>
      </c>
      <c r="B108" s="11" t="s">
        <v>195</v>
      </c>
      <c r="C108" s="8" t="s">
        <v>196</v>
      </c>
      <c r="D108" s="8" t="s">
        <v>761</v>
      </c>
      <c r="E108" s="8" t="s">
        <v>762</v>
      </c>
      <c r="F108" s="10" t="n">
        <v>0</v>
      </c>
      <c r="G108" s="10"/>
      <c r="H108" s="8" t="s">
        <v>763</v>
      </c>
      <c r="I108" s="8" t="s">
        <v>264</v>
      </c>
      <c r="J108" s="8" t="s">
        <v>276</v>
      </c>
      <c r="K108" s="8" t="s">
        <v>257</v>
      </c>
      <c r="L108" s="11" t="s">
        <v>278</v>
      </c>
      <c r="M108" s="8" t="s">
        <v>764</v>
      </c>
      <c r="N108" s="11" t="s">
        <v>311</v>
      </c>
    </row>
    <row r="109" customFormat="false" ht="15" hidden="false" customHeight="false" outlineLevel="0" collapsed="false">
      <c r="A109" s="8" t="s">
        <v>765</v>
      </c>
      <c r="B109" s="11" t="s">
        <v>195</v>
      </c>
      <c r="C109" s="8" t="s">
        <v>196</v>
      </c>
      <c r="D109" s="8" t="s">
        <v>766</v>
      </c>
      <c r="E109" s="8" t="s">
        <v>726</v>
      </c>
      <c r="F109" s="10" t="n">
        <v>0</v>
      </c>
      <c r="G109" s="10" t="n">
        <v>0</v>
      </c>
      <c r="H109" s="8" t="s">
        <v>767</v>
      </c>
      <c r="I109" s="8" t="s">
        <v>264</v>
      </c>
      <c r="J109" s="8" t="s">
        <v>256</v>
      </c>
      <c r="K109" s="8" t="s">
        <v>768</v>
      </c>
      <c r="L109" s="11" t="s">
        <v>278</v>
      </c>
      <c r="M109" s="8" t="s">
        <v>769</v>
      </c>
      <c r="N109" s="11" t="s">
        <v>260</v>
      </c>
    </row>
    <row r="110" customFormat="false" ht="23.85" hidden="false" customHeight="false" outlineLevel="0" collapsed="false">
      <c r="A110" s="8" t="s">
        <v>770</v>
      </c>
      <c r="B110" s="11" t="s">
        <v>206</v>
      </c>
      <c r="C110" s="8" t="s">
        <v>207</v>
      </c>
      <c r="D110" s="8" t="s">
        <v>771</v>
      </c>
      <c r="E110" s="8" t="s">
        <v>772</v>
      </c>
      <c r="F110" s="10" t="n">
        <v>100</v>
      </c>
      <c r="G110" s="10" t="n">
        <v>200</v>
      </c>
      <c r="H110" s="8" t="s">
        <v>773</v>
      </c>
      <c r="I110" s="8" t="s">
        <v>264</v>
      </c>
      <c r="J110" s="8" t="s">
        <v>256</v>
      </c>
      <c r="K110" s="8" t="s">
        <v>774</v>
      </c>
      <c r="L110" s="11" t="s">
        <v>278</v>
      </c>
      <c r="M110" s="8" t="s">
        <v>775</v>
      </c>
      <c r="N110" s="11" t="s">
        <v>311</v>
      </c>
    </row>
    <row r="111" customFormat="false" ht="15" hidden="false" customHeight="false" outlineLevel="0" collapsed="false">
      <c r="A111" s="8" t="s">
        <v>776</v>
      </c>
      <c r="B111" s="11" t="s">
        <v>206</v>
      </c>
      <c r="C111" s="8" t="s">
        <v>207</v>
      </c>
      <c r="D111" s="8" t="s">
        <v>777</v>
      </c>
      <c r="E111" s="8" t="s">
        <v>778</v>
      </c>
      <c r="F111" s="10" t="n">
        <v>0</v>
      </c>
      <c r="G111" s="10" t="n">
        <v>0</v>
      </c>
      <c r="H111" s="8" t="s">
        <v>779</v>
      </c>
      <c r="I111" s="8" t="s">
        <v>264</v>
      </c>
      <c r="J111" s="8" t="s">
        <v>374</v>
      </c>
      <c r="K111" s="8" t="s">
        <v>257</v>
      </c>
      <c r="L111" s="11" t="s">
        <v>278</v>
      </c>
      <c r="M111" s="8" t="s">
        <v>780</v>
      </c>
      <c r="N111" s="11" t="s">
        <v>260</v>
      </c>
    </row>
    <row r="112" customFormat="false" ht="15" hidden="false" customHeight="false" outlineLevel="0" collapsed="false">
      <c r="A112" s="8" t="s">
        <v>781</v>
      </c>
      <c r="B112" s="11" t="s">
        <v>206</v>
      </c>
      <c r="C112" s="8" t="s">
        <v>207</v>
      </c>
      <c r="D112" s="8" t="s">
        <v>782</v>
      </c>
      <c r="E112" s="8" t="s">
        <v>783</v>
      </c>
      <c r="F112" s="10"/>
      <c r="G112" s="10"/>
      <c r="H112" s="8" t="s">
        <v>784</v>
      </c>
      <c r="I112" s="8" t="s">
        <v>264</v>
      </c>
      <c r="J112" s="8" t="s">
        <v>256</v>
      </c>
      <c r="K112" s="8" t="s">
        <v>277</v>
      </c>
      <c r="L112" s="11" t="s">
        <v>278</v>
      </c>
      <c r="M112" s="8" t="s">
        <v>785</v>
      </c>
      <c r="N112" s="11" t="s">
        <v>311</v>
      </c>
    </row>
    <row r="113" customFormat="false" ht="15" hidden="false" customHeight="false" outlineLevel="0" collapsed="false">
      <c r="A113" s="8" t="s">
        <v>786</v>
      </c>
      <c r="B113" s="11" t="s">
        <v>206</v>
      </c>
      <c r="C113" s="8" t="s">
        <v>207</v>
      </c>
      <c r="D113" s="8" t="s">
        <v>787</v>
      </c>
      <c r="E113" s="8" t="s">
        <v>306</v>
      </c>
      <c r="F113" s="10"/>
      <c r="G113" s="10"/>
      <c r="H113" s="8" t="s">
        <v>627</v>
      </c>
      <c r="I113" s="8" t="s">
        <v>264</v>
      </c>
      <c r="J113" s="8" t="s">
        <v>276</v>
      </c>
      <c r="K113" s="8" t="s">
        <v>383</v>
      </c>
      <c r="L113" s="11" t="s">
        <v>278</v>
      </c>
      <c r="M113" s="8" t="s">
        <v>788</v>
      </c>
      <c r="N113" s="11" t="s">
        <v>311</v>
      </c>
    </row>
    <row r="114" customFormat="false" ht="23.85" hidden="false" customHeight="false" outlineLevel="0" collapsed="false">
      <c r="A114" s="8" t="s">
        <v>789</v>
      </c>
      <c r="B114" s="11" t="s">
        <v>206</v>
      </c>
      <c r="C114" s="8" t="s">
        <v>207</v>
      </c>
      <c r="D114" s="8" t="s">
        <v>790</v>
      </c>
      <c r="E114" s="8" t="s">
        <v>791</v>
      </c>
      <c r="F114" s="10"/>
      <c r="G114" s="10"/>
      <c r="H114" s="8" t="s">
        <v>513</v>
      </c>
      <c r="I114" s="8" t="s">
        <v>497</v>
      </c>
      <c r="J114" s="8" t="s">
        <v>301</v>
      </c>
      <c r="K114" s="8" t="s">
        <v>257</v>
      </c>
      <c r="L114" s="11" t="s">
        <v>278</v>
      </c>
      <c r="M114" s="8" t="s">
        <v>792</v>
      </c>
      <c r="N114" s="11" t="s">
        <v>311</v>
      </c>
    </row>
    <row r="115" customFormat="false" ht="15" hidden="false" customHeight="false" outlineLevel="0" collapsed="false">
      <c r="A115" s="8" t="s">
        <v>793</v>
      </c>
      <c r="B115" s="11" t="s">
        <v>206</v>
      </c>
      <c r="C115" s="8" t="s">
        <v>207</v>
      </c>
      <c r="D115" s="8" t="s">
        <v>794</v>
      </c>
      <c r="E115" s="8" t="s">
        <v>355</v>
      </c>
      <c r="F115" s="10" t="n">
        <v>0</v>
      </c>
      <c r="G115" s="10" t="n">
        <v>0</v>
      </c>
      <c r="H115" s="8" t="s">
        <v>509</v>
      </c>
      <c r="I115" s="8" t="s">
        <v>264</v>
      </c>
      <c r="J115" s="8" t="s">
        <v>265</v>
      </c>
      <c r="K115" s="8" t="s">
        <v>257</v>
      </c>
      <c r="L115" s="11" t="s">
        <v>278</v>
      </c>
      <c r="M115" s="8" t="s">
        <v>795</v>
      </c>
      <c r="N115" s="11" t="s">
        <v>260</v>
      </c>
    </row>
    <row r="116" customFormat="false" ht="23.85" hidden="false" customHeight="false" outlineLevel="0" collapsed="false">
      <c r="A116" s="8" t="s">
        <v>796</v>
      </c>
      <c r="B116" s="11" t="s">
        <v>206</v>
      </c>
      <c r="C116" s="8" t="s">
        <v>207</v>
      </c>
      <c r="D116" s="8" t="s">
        <v>797</v>
      </c>
      <c r="E116" s="8" t="s">
        <v>340</v>
      </c>
      <c r="F116" s="10" t="n">
        <v>25</v>
      </c>
      <c r="G116" s="10" t="n">
        <v>300</v>
      </c>
      <c r="H116" s="8" t="s">
        <v>609</v>
      </c>
      <c r="I116" s="8" t="s">
        <v>264</v>
      </c>
      <c r="J116" s="8" t="s">
        <v>265</v>
      </c>
      <c r="K116" s="8" t="s">
        <v>257</v>
      </c>
      <c r="L116" s="11" t="s">
        <v>258</v>
      </c>
      <c r="M116" s="8" t="s">
        <v>798</v>
      </c>
      <c r="N116" s="11" t="s">
        <v>311</v>
      </c>
    </row>
    <row r="117" customFormat="false" ht="23.85" hidden="false" customHeight="false" outlineLevel="0" collapsed="false">
      <c r="A117" s="8" t="s">
        <v>799</v>
      </c>
      <c r="B117" s="11" t="s">
        <v>206</v>
      </c>
      <c r="C117" s="8" t="s">
        <v>207</v>
      </c>
      <c r="D117" s="8" t="s">
        <v>800</v>
      </c>
      <c r="E117" s="8" t="s">
        <v>340</v>
      </c>
      <c r="F117" s="10" t="n">
        <v>25</v>
      </c>
      <c r="G117" s="10" t="n">
        <v>300</v>
      </c>
      <c r="H117" s="8" t="s">
        <v>609</v>
      </c>
      <c r="I117" s="8" t="s">
        <v>264</v>
      </c>
      <c r="J117" s="8" t="s">
        <v>301</v>
      </c>
      <c r="K117" s="8" t="s">
        <v>257</v>
      </c>
      <c r="L117" s="11" t="s">
        <v>278</v>
      </c>
      <c r="M117" s="8" t="s">
        <v>801</v>
      </c>
      <c r="N117" s="11" t="s">
        <v>311</v>
      </c>
    </row>
    <row r="118" customFormat="false" ht="15" hidden="false" customHeight="false" outlineLevel="0" collapsed="false">
      <c r="A118" s="8" t="s">
        <v>802</v>
      </c>
      <c r="B118" s="11" t="s">
        <v>216</v>
      </c>
      <c r="C118" s="8" t="s">
        <v>217</v>
      </c>
      <c r="D118" s="8" t="s">
        <v>803</v>
      </c>
      <c r="E118" s="8" t="s">
        <v>253</v>
      </c>
      <c r="F118" s="10"/>
      <c r="G118" s="10"/>
      <c r="H118" s="8" t="s">
        <v>804</v>
      </c>
      <c r="I118" s="8" t="s">
        <v>264</v>
      </c>
      <c r="J118" s="8" t="s">
        <v>265</v>
      </c>
      <c r="K118" s="8" t="s">
        <v>257</v>
      </c>
      <c r="L118" s="11" t="s">
        <v>278</v>
      </c>
      <c r="M118" s="8" t="s">
        <v>805</v>
      </c>
      <c r="N118" s="11" t="s">
        <v>311</v>
      </c>
    </row>
    <row r="119" customFormat="false" ht="15" hidden="false" customHeight="false" outlineLevel="0" collapsed="false">
      <c r="A119" s="8" t="s">
        <v>806</v>
      </c>
      <c r="B119" s="11" t="s">
        <v>216</v>
      </c>
      <c r="C119" s="8" t="s">
        <v>217</v>
      </c>
      <c r="D119" s="8" t="s">
        <v>807</v>
      </c>
      <c r="E119" s="8" t="s">
        <v>808</v>
      </c>
      <c r="F119" s="10" t="n">
        <v>0</v>
      </c>
      <c r="G119" s="10" t="n">
        <v>0</v>
      </c>
      <c r="H119" s="8" t="s">
        <v>763</v>
      </c>
      <c r="I119" s="8" t="s">
        <v>264</v>
      </c>
      <c r="J119" s="8" t="s">
        <v>276</v>
      </c>
      <c r="K119" s="8" t="s">
        <v>809</v>
      </c>
      <c r="L119" s="11" t="s">
        <v>278</v>
      </c>
      <c r="M119" s="8" t="s">
        <v>810</v>
      </c>
      <c r="N119" s="11" t="s">
        <v>260</v>
      </c>
    </row>
    <row r="120" customFormat="false" ht="15" hidden="false" customHeight="false" outlineLevel="0" collapsed="false">
      <c r="A120" s="8" t="s">
        <v>811</v>
      </c>
      <c r="B120" s="11" t="s">
        <v>216</v>
      </c>
      <c r="C120" s="8" t="s">
        <v>217</v>
      </c>
      <c r="D120" s="8" t="s">
        <v>812</v>
      </c>
      <c r="E120" s="8" t="s">
        <v>813</v>
      </c>
      <c r="F120" s="10"/>
      <c r="G120" s="10"/>
      <c r="H120" s="8" t="s">
        <v>814</v>
      </c>
      <c r="I120" s="8" t="s">
        <v>264</v>
      </c>
      <c r="J120" s="8" t="s">
        <v>265</v>
      </c>
      <c r="K120" s="8" t="s">
        <v>257</v>
      </c>
      <c r="L120" s="11" t="s">
        <v>278</v>
      </c>
      <c r="M120" s="8" t="s">
        <v>815</v>
      </c>
      <c r="N120" s="11" t="s">
        <v>311</v>
      </c>
    </row>
    <row r="121" customFormat="false" ht="15" hidden="false" customHeight="false" outlineLevel="0" collapsed="false">
      <c r="A121" s="8" t="s">
        <v>816</v>
      </c>
      <c r="B121" s="11" t="s">
        <v>216</v>
      </c>
      <c r="C121" s="8" t="s">
        <v>217</v>
      </c>
      <c r="D121" s="8" t="s">
        <v>817</v>
      </c>
      <c r="E121" s="8" t="s">
        <v>813</v>
      </c>
      <c r="F121" s="10"/>
      <c r="G121" s="10"/>
      <c r="H121" s="8" t="s">
        <v>554</v>
      </c>
      <c r="I121" s="8" t="s">
        <v>264</v>
      </c>
      <c r="J121" s="8" t="s">
        <v>265</v>
      </c>
      <c r="K121" s="8" t="s">
        <v>257</v>
      </c>
      <c r="L121" s="11" t="s">
        <v>278</v>
      </c>
      <c r="M121" s="8" t="s">
        <v>818</v>
      </c>
      <c r="N121" s="11" t="s">
        <v>311</v>
      </c>
    </row>
    <row r="122" customFormat="false" ht="35.05" hidden="false" customHeight="false" outlineLevel="0" collapsed="false">
      <c r="A122" s="8" t="s">
        <v>819</v>
      </c>
      <c r="B122" s="11" t="s">
        <v>216</v>
      </c>
      <c r="C122" s="8" t="s">
        <v>217</v>
      </c>
      <c r="D122" s="8" t="s">
        <v>820</v>
      </c>
      <c r="E122" s="8" t="s">
        <v>821</v>
      </c>
      <c r="F122" s="10" t="n">
        <v>0</v>
      </c>
      <c r="G122" s="10" t="n">
        <v>0</v>
      </c>
      <c r="H122" s="8" t="s">
        <v>822</v>
      </c>
      <c r="I122" s="8" t="s">
        <v>823</v>
      </c>
      <c r="J122" s="8" t="s">
        <v>824</v>
      </c>
      <c r="K122" s="8" t="s">
        <v>825</v>
      </c>
      <c r="L122" s="11" t="s">
        <v>278</v>
      </c>
      <c r="M122" s="8" t="s">
        <v>826</v>
      </c>
      <c r="N122" s="11" t="s">
        <v>334</v>
      </c>
    </row>
    <row r="123" customFormat="false" ht="23.85" hidden="false" customHeight="false" outlineLevel="0" collapsed="false">
      <c r="A123" s="8" t="s">
        <v>827</v>
      </c>
      <c r="B123" s="11" t="s">
        <v>216</v>
      </c>
      <c r="C123" s="8" t="s">
        <v>217</v>
      </c>
      <c r="D123" s="8" t="s">
        <v>828</v>
      </c>
      <c r="E123" s="8" t="s">
        <v>821</v>
      </c>
      <c r="F123" s="10" t="n">
        <v>0</v>
      </c>
      <c r="G123" s="10" t="n">
        <v>0</v>
      </c>
      <c r="H123" s="8" t="s">
        <v>829</v>
      </c>
      <c r="I123" s="8" t="s">
        <v>830</v>
      </c>
      <c r="J123" s="8" t="s">
        <v>831</v>
      </c>
      <c r="K123" s="8" t="s">
        <v>257</v>
      </c>
      <c r="L123" s="11" t="s">
        <v>278</v>
      </c>
      <c r="M123" s="8" t="s">
        <v>832</v>
      </c>
      <c r="N123" s="11" t="s">
        <v>334</v>
      </c>
    </row>
    <row r="124" customFormat="false" ht="23.85" hidden="false" customHeight="false" outlineLevel="0" collapsed="false">
      <c r="A124" s="8" t="s">
        <v>833</v>
      </c>
      <c r="B124" s="11" t="s">
        <v>216</v>
      </c>
      <c r="C124" s="8" t="s">
        <v>217</v>
      </c>
      <c r="D124" s="8" t="s">
        <v>834</v>
      </c>
      <c r="E124" s="8" t="s">
        <v>835</v>
      </c>
      <c r="F124" s="10" t="n">
        <v>0</v>
      </c>
      <c r="G124" s="10" t="n">
        <v>0</v>
      </c>
      <c r="H124" s="8" t="s">
        <v>829</v>
      </c>
      <c r="I124" s="8" t="s">
        <v>264</v>
      </c>
      <c r="J124" s="8" t="s">
        <v>492</v>
      </c>
      <c r="K124" s="8" t="s">
        <v>257</v>
      </c>
      <c r="L124" s="11" t="s">
        <v>278</v>
      </c>
      <c r="M124" s="8" t="s">
        <v>836</v>
      </c>
      <c r="N124" s="11" t="s">
        <v>260</v>
      </c>
    </row>
    <row r="125" customFormat="false" ht="15" hidden="false" customHeight="false" outlineLevel="0" collapsed="false">
      <c r="A125" s="8" t="s">
        <v>837</v>
      </c>
      <c r="B125" s="11" t="s">
        <v>216</v>
      </c>
      <c r="C125" s="8" t="s">
        <v>217</v>
      </c>
      <c r="D125" s="8" t="s">
        <v>838</v>
      </c>
      <c r="E125" s="8" t="s">
        <v>306</v>
      </c>
      <c r="F125" s="10" t="n">
        <v>30</v>
      </c>
      <c r="G125" s="10"/>
      <c r="H125" s="8" t="s">
        <v>839</v>
      </c>
      <c r="I125" s="8" t="s">
        <v>264</v>
      </c>
      <c r="J125" s="8" t="s">
        <v>276</v>
      </c>
      <c r="K125" s="8" t="s">
        <v>358</v>
      </c>
      <c r="L125" s="11" t="s">
        <v>278</v>
      </c>
      <c r="M125" s="8" t="s">
        <v>840</v>
      </c>
      <c r="N125" s="11" t="s">
        <v>311</v>
      </c>
    </row>
    <row r="126" customFormat="false" ht="15" hidden="false" customHeight="false" outlineLevel="0" collapsed="false">
      <c r="A126" s="8" t="s">
        <v>841</v>
      </c>
      <c r="B126" s="11" t="s">
        <v>216</v>
      </c>
      <c r="C126" s="8" t="s">
        <v>217</v>
      </c>
      <c r="D126" s="8" t="s">
        <v>842</v>
      </c>
      <c r="E126" s="8" t="s">
        <v>843</v>
      </c>
      <c r="F126" s="10"/>
      <c r="G126" s="10"/>
      <c r="H126" s="8" t="s">
        <v>554</v>
      </c>
      <c r="I126" s="8" t="s">
        <v>264</v>
      </c>
      <c r="J126" s="8" t="s">
        <v>265</v>
      </c>
      <c r="K126" s="8" t="s">
        <v>257</v>
      </c>
      <c r="L126" s="11" t="s">
        <v>278</v>
      </c>
      <c r="M126" s="8" t="s">
        <v>844</v>
      </c>
      <c r="N126" s="11" t="s">
        <v>311</v>
      </c>
    </row>
    <row r="127" customFormat="false" ht="15" hidden="false" customHeight="false" outlineLevel="0" collapsed="false">
      <c r="A127" s="8" t="s">
        <v>845</v>
      </c>
      <c r="B127" s="11" t="s">
        <v>216</v>
      </c>
      <c r="C127" s="8" t="s">
        <v>217</v>
      </c>
      <c r="D127" s="8" t="s">
        <v>846</v>
      </c>
      <c r="E127" s="8" t="s">
        <v>632</v>
      </c>
      <c r="F127" s="10" t="n">
        <v>2500</v>
      </c>
      <c r="G127" s="10" t="n">
        <v>3500</v>
      </c>
      <c r="H127" s="8" t="s">
        <v>847</v>
      </c>
      <c r="I127" s="8" t="s">
        <v>848</v>
      </c>
      <c r="J127" s="8" t="s">
        <v>301</v>
      </c>
      <c r="K127" s="8" t="s">
        <v>849</v>
      </c>
      <c r="L127" s="11" t="s">
        <v>278</v>
      </c>
      <c r="M127" s="8" t="s">
        <v>850</v>
      </c>
      <c r="N127" s="11" t="s">
        <v>311</v>
      </c>
    </row>
    <row r="128" customFormat="false" ht="23.85" hidden="false" customHeight="false" outlineLevel="0" collapsed="false">
      <c r="A128" s="8" t="s">
        <v>851</v>
      </c>
      <c r="B128" s="11" t="s">
        <v>228</v>
      </c>
      <c r="C128" s="8" t="s">
        <v>229</v>
      </c>
      <c r="D128" s="8" t="s">
        <v>852</v>
      </c>
      <c r="E128" s="8" t="s">
        <v>853</v>
      </c>
      <c r="F128" s="10" t="n">
        <v>50</v>
      </c>
      <c r="G128" s="10"/>
      <c r="H128" s="8" t="s">
        <v>854</v>
      </c>
      <c r="I128" s="8" t="s">
        <v>855</v>
      </c>
      <c r="J128" s="8" t="s">
        <v>374</v>
      </c>
      <c r="K128" s="8" t="s">
        <v>332</v>
      </c>
      <c r="L128" s="11" t="s">
        <v>278</v>
      </c>
      <c r="M128" s="8" t="s">
        <v>856</v>
      </c>
      <c r="N128" s="11" t="s">
        <v>311</v>
      </c>
    </row>
    <row r="129" customFormat="false" ht="23.85" hidden="false" customHeight="false" outlineLevel="0" collapsed="false">
      <c r="A129" s="8" t="s">
        <v>857</v>
      </c>
      <c r="B129" s="11" t="s">
        <v>228</v>
      </c>
      <c r="C129" s="8" t="s">
        <v>229</v>
      </c>
      <c r="D129" s="8" t="s">
        <v>858</v>
      </c>
      <c r="E129" s="8" t="s">
        <v>859</v>
      </c>
      <c r="F129" s="10" t="n">
        <v>1500</v>
      </c>
      <c r="G129" s="10"/>
      <c r="H129" s="8" t="s">
        <v>860</v>
      </c>
      <c r="I129" s="8" t="s">
        <v>861</v>
      </c>
      <c r="J129" s="8" t="s">
        <v>256</v>
      </c>
      <c r="K129" s="8" t="s">
        <v>257</v>
      </c>
      <c r="L129" s="11" t="s">
        <v>258</v>
      </c>
      <c r="M129" s="8" t="s">
        <v>862</v>
      </c>
      <c r="N129" s="11" t="s">
        <v>311</v>
      </c>
    </row>
    <row r="130" customFormat="false" ht="15" hidden="false" customHeight="false" outlineLevel="0" collapsed="false">
      <c r="A130" s="8" t="s">
        <v>863</v>
      </c>
      <c r="B130" s="11" t="s">
        <v>228</v>
      </c>
      <c r="C130" s="8" t="s">
        <v>229</v>
      </c>
      <c r="D130" s="8" t="s">
        <v>864</v>
      </c>
      <c r="E130" s="8" t="s">
        <v>865</v>
      </c>
      <c r="F130" s="10" t="n">
        <v>20</v>
      </c>
      <c r="G130" s="10"/>
      <c r="H130" s="8" t="s">
        <v>866</v>
      </c>
      <c r="I130" s="8" t="s">
        <v>264</v>
      </c>
      <c r="J130" s="8" t="s">
        <v>276</v>
      </c>
      <c r="K130" s="8" t="s">
        <v>257</v>
      </c>
      <c r="L130" s="11" t="s">
        <v>278</v>
      </c>
      <c r="M130" s="8" t="s">
        <v>867</v>
      </c>
      <c r="N130" s="11" t="s">
        <v>311</v>
      </c>
    </row>
    <row r="131" customFormat="false" ht="15" hidden="false" customHeight="false" outlineLevel="0" collapsed="false">
      <c r="A131" s="8" t="s">
        <v>868</v>
      </c>
      <c r="B131" s="11" t="s">
        <v>228</v>
      </c>
      <c r="C131" s="8" t="s">
        <v>229</v>
      </c>
      <c r="D131" s="8" t="s">
        <v>869</v>
      </c>
      <c r="E131" s="8" t="s">
        <v>870</v>
      </c>
      <c r="F131" s="10"/>
      <c r="G131" s="10"/>
      <c r="H131" s="8" t="s">
        <v>871</v>
      </c>
      <c r="I131" s="8" t="s">
        <v>872</v>
      </c>
      <c r="J131" s="8" t="s">
        <v>374</v>
      </c>
      <c r="K131" s="8" t="s">
        <v>257</v>
      </c>
      <c r="L131" s="11" t="s">
        <v>278</v>
      </c>
      <c r="M131" s="8" t="s">
        <v>873</v>
      </c>
      <c r="N131" s="11" t="s">
        <v>311</v>
      </c>
    </row>
    <row r="132" customFormat="false" ht="23.85" hidden="false" customHeight="false" outlineLevel="0" collapsed="false">
      <c r="A132" s="8" t="s">
        <v>874</v>
      </c>
      <c r="B132" s="11" t="s">
        <v>228</v>
      </c>
      <c r="C132" s="8" t="s">
        <v>229</v>
      </c>
      <c r="D132" s="8" t="s">
        <v>875</v>
      </c>
      <c r="E132" s="8" t="s">
        <v>876</v>
      </c>
      <c r="F132" s="10" t="n">
        <v>0</v>
      </c>
      <c r="G132" s="10" t="n">
        <v>0</v>
      </c>
      <c r="H132" s="8" t="s">
        <v>618</v>
      </c>
      <c r="I132" s="8" t="s">
        <v>877</v>
      </c>
      <c r="J132" s="8" t="s">
        <v>276</v>
      </c>
      <c r="K132" s="8" t="s">
        <v>257</v>
      </c>
      <c r="L132" s="11" t="s">
        <v>278</v>
      </c>
      <c r="M132" s="8" t="s">
        <v>878</v>
      </c>
      <c r="N132" s="11" t="s">
        <v>311</v>
      </c>
    </row>
    <row r="133" customFormat="false" ht="15" hidden="false" customHeight="false" outlineLevel="0" collapsed="false">
      <c r="A133" s="8" t="s">
        <v>879</v>
      </c>
      <c r="B133" s="11" t="s">
        <v>228</v>
      </c>
      <c r="C133" s="8" t="s">
        <v>229</v>
      </c>
      <c r="D133" s="8" t="s">
        <v>880</v>
      </c>
      <c r="E133" s="8" t="s">
        <v>282</v>
      </c>
      <c r="F133" s="10" t="n">
        <v>0</v>
      </c>
      <c r="G133" s="10" t="n">
        <v>0</v>
      </c>
      <c r="H133" s="8" t="s">
        <v>881</v>
      </c>
      <c r="I133" s="8" t="s">
        <v>264</v>
      </c>
      <c r="J133" s="8" t="s">
        <v>276</v>
      </c>
      <c r="K133" s="8" t="s">
        <v>332</v>
      </c>
      <c r="L133" s="11" t="s">
        <v>278</v>
      </c>
      <c r="M133" s="8" t="s">
        <v>882</v>
      </c>
      <c r="N133" s="11" t="s">
        <v>260</v>
      </c>
    </row>
    <row r="134" customFormat="false" ht="15" hidden="false" customHeight="false" outlineLevel="0" collapsed="false">
      <c r="A134" s="8" t="s">
        <v>883</v>
      </c>
      <c r="B134" s="11" t="s">
        <v>228</v>
      </c>
      <c r="C134" s="8" t="s">
        <v>229</v>
      </c>
      <c r="D134" s="8" t="s">
        <v>884</v>
      </c>
      <c r="E134" s="8" t="s">
        <v>813</v>
      </c>
      <c r="F134" s="10"/>
      <c r="G134" s="10"/>
      <c r="H134" s="8" t="s">
        <v>505</v>
      </c>
      <c r="I134" s="8" t="s">
        <v>264</v>
      </c>
      <c r="J134" s="8" t="s">
        <v>315</v>
      </c>
      <c r="K134" s="8" t="s">
        <v>257</v>
      </c>
      <c r="L134" s="11" t="s">
        <v>278</v>
      </c>
      <c r="M134" s="8" t="s">
        <v>885</v>
      </c>
      <c r="N134" s="11" t="s">
        <v>311</v>
      </c>
    </row>
    <row r="135" customFormat="false" ht="15" hidden="false" customHeight="false" outlineLevel="0" collapsed="false">
      <c r="A135" s="8" t="s">
        <v>886</v>
      </c>
      <c r="B135" s="11" t="s">
        <v>228</v>
      </c>
      <c r="C135" s="8" t="s">
        <v>229</v>
      </c>
      <c r="D135" s="8" t="s">
        <v>887</v>
      </c>
      <c r="E135" s="8" t="s">
        <v>888</v>
      </c>
      <c r="F135" s="10" t="n">
        <v>0</v>
      </c>
      <c r="G135" s="10" t="n">
        <v>0</v>
      </c>
      <c r="H135" s="8" t="s">
        <v>889</v>
      </c>
      <c r="I135" s="8" t="s">
        <v>264</v>
      </c>
      <c r="J135" s="8" t="s">
        <v>256</v>
      </c>
      <c r="K135" s="8" t="s">
        <v>277</v>
      </c>
      <c r="L135" s="11" t="s">
        <v>278</v>
      </c>
      <c r="M135" s="8" t="s">
        <v>890</v>
      </c>
      <c r="N135" s="11" t="s">
        <v>260</v>
      </c>
    </row>
    <row r="136" customFormat="false" ht="15" hidden="false" customHeight="false" outlineLevel="0" collapsed="false">
      <c r="A136" s="8" t="s">
        <v>891</v>
      </c>
      <c r="B136" s="11" t="s">
        <v>228</v>
      </c>
      <c r="C136" s="8" t="s">
        <v>229</v>
      </c>
      <c r="D136" s="8" t="s">
        <v>892</v>
      </c>
      <c r="E136" s="8" t="s">
        <v>893</v>
      </c>
      <c r="F136" s="10" t="n">
        <v>0</v>
      </c>
      <c r="G136" s="10" t="n">
        <v>0</v>
      </c>
      <c r="H136" s="8" t="s">
        <v>609</v>
      </c>
      <c r="I136" s="8" t="s">
        <v>721</v>
      </c>
      <c r="J136" s="8" t="s">
        <v>276</v>
      </c>
      <c r="K136" s="8" t="s">
        <v>257</v>
      </c>
      <c r="L136" s="11" t="s">
        <v>278</v>
      </c>
      <c r="M136" s="8" t="s">
        <v>894</v>
      </c>
      <c r="N136" s="11" t="s">
        <v>311</v>
      </c>
    </row>
  </sheetData>
  <autoFilter ref="A1:N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9" min="8" style="0" width="13"/>
    <col collapsed="false" customWidth="true" hidden="false" outlineLevel="0" max="10" min="10" style="0" width="26"/>
    <col collapsed="false" customWidth="true" hidden="false" outlineLevel="0" max="11" min="11" style="0" width="52"/>
    <col collapsed="false" customWidth="true" hidden="false" outlineLevel="0" max="12" min="12" style="0" width="20"/>
  </cols>
  <sheetData>
    <row r="1" customFormat="false" ht="31.5" hidden="false" customHeight="true" outlineLevel="0" collapsed="false">
      <c r="A1" s="7" t="s">
        <v>895</v>
      </c>
      <c r="B1" s="7" t="s">
        <v>52</v>
      </c>
      <c r="C1" s="7" t="s">
        <v>53</v>
      </c>
      <c r="D1" s="7" t="s">
        <v>896</v>
      </c>
      <c r="E1" s="7" t="s">
        <v>897</v>
      </c>
      <c r="F1" s="7" t="s">
        <v>898</v>
      </c>
      <c r="G1" s="7" t="s">
        <v>899</v>
      </c>
      <c r="H1" s="7" t="s">
        <v>900</v>
      </c>
      <c r="I1" s="7" t="s">
        <v>901</v>
      </c>
      <c r="J1" s="7" t="s">
        <v>902</v>
      </c>
      <c r="K1" s="7" t="s">
        <v>903</v>
      </c>
      <c r="L1" s="7" t="s">
        <v>904</v>
      </c>
    </row>
    <row r="2" customFormat="false" ht="23.85" hidden="false" customHeight="false" outlineLevel="0" collapsed="false">
      <c r="A2" s="8" t="s">
        <v>905</v>
      </c>
      <c r="B2" s="11" t="s">
        <v>74</v>
      </c>
      <c r="C2" s="8" t="s">
        <v>75</v>
      </c>
      <c r="D2" s="8" t="s">
        <v>906</v>
      </c>
      <c r="E2" s="11" t="s">
        <v>907</v>
      </c>
      <c r="F2" s="8" t="s">
        <v>908</v>
      </c>
      <c r="G2" s="8" t="s">
        <v>909</v>
      </c>
      <c r="H2" s="10" t="n">
        <v>700</v>
      </c>
      <c r="I2" s="10" t="n">
        <v>2500</v>
      </c>
      <c r="J2" s="8" t="s">
        <v>910</v>
      </c>
      <c r="K2" s="8" t="s">
        <v>911</v>
      </c>
      <c r="L2" s="8" t="s">
        <v>912</v>
      </c>
    </row>
    <row r="3" customFormat="false" ht="15" hidden="false" customHeight="false" outlineLevel="0" collapsed="false">
      <c r="A3" s="8" t="s">
        <v>913</v>
      </c>
      <c r="B3" s="11" t="s">
        <v>74</v>
      </c>
      <c r="C3" s="8" t="s">
        <v>75</v>
      </c>
      <c r="D3" s="8" t="s">
        <v>914</v>
      </c>
      <c r="E3" s="11" t="s">
        <v>907</v>
      </c>
      <c r="F3" s="8" t="s">
        <v>915</v>
      </c>
      <c r="G3" s="8" t="s">
        <v>916</v>
      </c>
      <c r="H3" s="10" t="n">
        <v>1500</v>
      </c>
      <c r="I3" s="10" t="n">
        <v>3200</v>
      </c>
      <c r="J3" s="8" t="s">
        <v>917</v>
      </c>
      <c r="K3" s="8" t="s">
        <v>918</v>
      </c>
      <c r="L3" s="8" t="s">
        <v>912</v>
      </c>
    </row>
    <row r="4" customFormat="false" ht="15" hidden="false" customHeight="false" outlineLevel="0" collapsed="false">
      <c r="A4" s="8" t="s">
        <v>919</v>
      </c>
      <c r="B4" s="11" t="s">
        <v>74</v>
      </c>
      <c r="C4" s="8" t="s">
        <v>75</v>
      </c>
      <c r="D4" s="8" t="s">
        <v>920</v>
      </c>
      <c r="E4" s="11" t="s">
        <v>921</v>
      </c>
      <c r="F4" s="8" t="s">
        <v>922</v>
      </c>
      <c r="G4" s="8" t="s">
        <v>923</v>
      </c>
      <c r="H4" s="10" t="n">
        <v>3500</v>
      </c>
      <c r="I4" s="10" t="n">
        <v>6500</v>
      </c>
      <c r="J4" s="8" t="s">
        <v>924</v>
      </c>
      <c r="K4" s="8" t="s">
        <v>925</v>
      </c>
      <c r="L4" s="8" t="s">
        <v>912</v>
      </c>
    </row>
    <row r="5" customFormat="false" ht="15" hidden="false" customHeight="false" outlineLevel="0" collapsed="false">
      <c r="A5" s="8" t="s">
        <v>926</v>
      </c>
      <c r="B5" s="11" t="s">
        <v>74</v>
      </c>
      <c r="C5" s="8" t="s">
        <v>75</v>
      </c>
      <c r="D5" s="8" t="s">
        <v>927</v>
      </c>
      <c r="E5" s="11" t="s">
        <v>921</v>
      </c>
      <c r="F5" s="8" t="s">
        <v>928</v>
      </c>
      <c r="G5" s="8" t="s">
        <v>929</v>
      </c>
      <c r="H5" s="10" t="n">
        <v>4000</v>
      </c>
      <c r="I5" s="10" t="n">
        <v>7500</v>
      </c>
      <c r="J5" s="8" t="s">
        <v>930</v>
      </c>
      <c r="K5" s="8" t="s">
        <v>931</v>
      </c>
      <c r="L5" s="8" t="s">
        <v>912</v>
      </c>
    </row>
    <row r="6" customFormat="false" ht="15" hidden="false" customHeight="false" outlineLevel="0" collapsed="false">
      <c r="A6" s="8" t="s">
        <v>932</v>
      </c>
      <c r="B6" s="11" t="s">
        <v>74</v>
      </c>
      <c r="C6" s="8" t="s">
        <v>75</v>
      </c>
      <c r="D6" s="8" t="s">
        <v>933</v>
      </c>
      <c r="E6" s="11" t="s">
        <v>934</v>
      </c>
      <c r="F6" s="8" t="s">
        <v>928</v>
      </c>
      <c r="G6" s="8" t="s">
        <v>935</v>
      </c>
      <c r="H6" s="10" t="n">
        <v>8500</v>
      </c>
      <c r="I6" s="10" t="n">
        <v>16000</v>
      </c>
      <c r="J6" s="8" t="s">
        <v>936</v>
      </c>
      <c r="K6" s="8" t="s">
        <v>937</v>
      </c>
      <c r="L6" s="8" t="s">
        <v>912</v>
      </c>
    </row>
    <row r="7" customFormat="false" ht="15" hidden="false" customHeight="false" outlineLevel="0" collapsed="false">
      <c r="A7" s="8" t="s">
        <v>938</v>
      </c>
      <c r="B7" s="11" t="s">
        <v>74</v>
      </c>
      <c r="C7" s="8" t="s">
        <v>75</v>
      </c>
      <c r="D7" s="8" t="s">
        <v>939</v>
      </c>
      <c r="E7" s="11" t="s">
        <v>934</v>
      </c>
      <c r="F7" s="8" t="s">
        <v>940</v>
      </c>
      <c r="G7" s="8" t="s">
        <v>941</v>
      </c>
      <c r="H7" s="10" t="n">
        <v>10000</v>
      </c>
      <c r="I7" s="10" t="n">
        <v>22000</v>
      </c>
      <c r="J7" s="8" t="s">
        <v>942</v>
      </c>
      <c r="K7" s="8" t="s">
        <v>943</v>
      </c>
      <c r="L7" s="8" t="s">
        <v>912</v>
      </c>
    </row>
    <row r="8" customFormat="false" ht="23.85" hidden="false" customHeight="false" outlineLevel="0" collapsed="false">
      <c r="A8" s="8" t="s">
        <v>944</v>
      </c>
      <c r="B8" s="11" t="s">
        <v>74</v>
      </c>
      <c r="C8" s="8" t="s">
        <v>75</v>
      </c>
      <c r="D8" s="8" t="s">
        <v>945</v>
      </c>
      <c r="E8" s="11" t="s">
        <v>946</v>
      </c>
      <c r="F8" s="8" t="s">
        <v>940</v>
      </c>
      <c r="G8" s="8" t="s">
        <v>947</v>
      </c>
      <c r="H8" s="10" t="n">
        <v>18000</v>
      </c>
      <c r="I8" s="10" t="n">
        <v>45000</v>
      </c>
      <c r="J8" s="8" t="s">
        <v>948</v>
      </c>
      <c r="K8" s="8" t="s">
        <v>949</v>
      </c>
      <c r="L8" s="8" t="s">
        <v>912</v>
      </c>
    </row>
    <row r="9" customFormat="false" ht="15" hidden="false" customHeight="false" outlineLevel="0" collapsed="false">
      <c r="A9" s="8" t="s">
        <v>950</v>
      </c>
      <c r="B9" s="11" t="s">
        <v>86</v>
      </c>
      <c r="C9" s="8" t="s">
        <v>87</v>
      </c>
      <c r="D9" s="8" t="s">
        <v>951</v>
      </c>
      <c r="E9" s="11" t="s">
        <v>907</v>
      </c>
      <c r="F9" s="8" t="s">
        <v>908</v>
      </c>
      <c r="G9" s="8" t="s">
        <v>952</v>
      </c>
      <c r="H9" s="10" t="n">
        <v>600</v>
      </c>
      <c r="I9" s="10" t="n">
        <v>2000</v>
      </c>
      <c r="J9" s="8" t="s">
        <v>910</v>
      </c>
      <c r="K9" s="8" t="s">
        <v>953</v>
      </c>
      <c r="L9" s="8" t="s">
        <v>912</v>
      </c>
    </row>
    <row r="10" customFormat="false" ht="15" hidden="false" customHeight="false" outlineLevel="0" collapsed="false">
      <c r="A10" s="8" t="s">
        <v>954</v>
      </c>
      <c r="B10" s="11" t="s">
        <v>86</v>
      </c>
      <c r="C10" s="8" t="s">
        <v>87</v>
      </c>
      <c r="D10" s="8" t="s">
        <v>955</v>
      </c>
      <c r="E10" s="11" t="s">
        <v>907</v>
      </c>
      <c r="F10" s="8" t="s">
        <v>915</v>
      </c>
      <c r="G10" s="8" t="s">
        <v>956</v>
      </c>
      <c r="H10" s="10" t="n">
        <v>1200</v>
      </c>
      <c r="I10" s="10" t="n">
        <v>3000</v>
      </c>
      <c r="J10" s="8" t="s">
        <v>957</v>
      </c>
      <c r="K10" s="8" t="s">
        <v>958</v>
      </c>
      <c r="L10" s="8" t="s">
        <v>912</v>
      </c>
    </row>
    <row r="11" customFormat="false" ht="15" hidden="false" customHeight="false" outlineLevel="0" collapsed="false">
      <c r="A11" s="8" t="s">
        <v>959</v>
      </c>
      <c r="B11" s="11" t="s">
        <v>86</v>
      </c>
      <c r="C11" s="8" t="s">
        <v>87</v>
      </c>
      <c r="D11" s="8" t="s">
        <v>960</v>
      </c>
      <c r="E11" s="11" t="s">
        <v>921</v>
      </c>
      <c r="F11" s="8" t="s">
        <v>928</v>
      </c>
      <c r="G11" s="8" t="s">
        <v>961</v>
      </c>
      <c r="H11" s="10" t="n">
        <v>3000</v>
      </c>
      <c r="I11" s="10" t="n">
        <v>6000</v>
      </c>
      <c r="J11" s="8" t="s">
        <v>962</v>
      </c>
      <c r="K11" s="8" t="s">
        <v>963</v>
      </c>
      <c r="L11" s="8" t="s">
        <v>912</v>
      </c>
    </row>
    <row r="12" customFormat="false" ht="15" hidden="false" customHeight="false" outlineLevel="0" collapsed="false">
      <c r="A12" s="8" t="s">
        <v>964</v>
      </c>
      <c r="B12" s="11" t="s">
        <v>86</v>
      </c>
      <c r="C12" s="8" t="s">
        <v>87</v>
      </c>
      <c r="D12" s="8" t="s">
        <v>965</v>
      </c>
      <c r="E12" s="11" t="s">
        <v>934</v>
      </c>
      <c r="F12" s="8" t="s">
        <v>928</v>
      </c>
      <c r="G12" s="8" t="s">
        <v>966</v>
      </c>
      <c r="H12" s="10" t="n">
        <v>6500</v>
      </c>
      <c r="I12" s="10" t="n">
        <v>11000</v>
      </c>
      <c r="J12" s="8" t="s">
        <v>967</v>
      </c>
      <c r="K12" s="8" t="s">
        <v>968</v>
      </c>
      <c r="L12" s="8" t="s">
        <v>912</v>
      </c>
    </row>
    <row r="13" customFormat="false" ht="15" hidden="false" customHeight="false" outlineLevel="0" collapsed="false">
      <c r="A13" s="8" t="s">
        <v>969</v>
      </c>
      <c r="B13" s="11" t="s">
        <v>86</v>
      </c>
      <c r="C13" s="8" t="s">
        <v>87</v>
      </c>
      <c r="D13" s="8" t="s">
        <v>970</v>
      </c>
      <c r="E13" s="11" t="s">
        <v>934</v>
      </c>
      <c r="F13" s="8" t="s">
        <v>928</v>
      </c>
      <c r="G13" s="8" t="s">
        <v>971</v>
      </c>
      <c r="H13" s="10" t="n">
        <v>6500</v>
      </c>
      <c r="I13" s="10" t="n">
        <v>13000</v>
      </c>
      <c r="J13" s="8" t="s">
        <v>972</v>
      </c>
      <c r="K13" s="8" t="s">
        <v>973</v>
      </c>
      <c r="L13" s="8" t="s">
        <v>912</v>
      </c>
    </row>
    <row r="14" customFormat="false" ht="15" hidden="false" customHeight="false" outlineLevel="0" collapsed="false">
      <c r="A14" s="8" t="s">
        <v>974</v>
      </c>
      <c r="B14" s="11" t="s">
        <v>86</v>
      </c>
      <c r="C14" s="8" t="s">
        <v>87</v>
      </c>
      <c r="D14" s="8" t="s">
        <v>975</v>
      </c>
      <c r="E14" s="11" t="s">
        <v>934</v>
      </c>
      <c r="F14" s="8" t="s">
        <v>928</v>
      </c>
      <c r="G14" s="8" t="s">
        <v>961</v>
      </c>
      <c r="H14" s="10" t="n">
        <v>8000</v>
      </c>
      <c r="I14" s="10" t="n">
        <v>16000</v>
      </c>
      <c r="J14" s="8" t="s">
        <v>936</v>
      </c>
      <c r="K14" s="8" t="s">
        <v>976</v>
      </c>
      <c r="L14" s="8" t="s">
        <v>912</v>
      </c>
    </row>
    <row r="15" customFormat="false" ht="15" hidden="false" customHeight="false" outlineLevel="0" collapsed="false">
      <c r="A15" s="8" t="s">
        <v>977</v>
      </c>
      <c r="B15" s="11" t="s">
        <v>86</v>
      </c>
      <c r="C15" s="8" t="s">
        <v>87</v>
      </c>
      <c r="D15" s="8" t="s">
        <v>978</v>
      </c>
      <c r="E15" s="11" t="s">
        <v>946</v>
      </c>
      <c r="F15" s="8" t="s">
        <v>979</v>
      </c>
      <c r="G15" s="8" t="s">
        <v>971</v>
      </c>
      <c r="H15" s="10" t="n">
        <v>13000</v>
      </c>
      <c r="I15" s="10" t="n">
        <v>30000</v>
      </c>
      <c r="J15" s="8" t="s">
        <v>980</v>
      </c>
      <c r="K15" s="8" t="s">
        <v>981</v>
      </c>
      <c r="L15" s="8" t="s">
        <v>912</v>
      </c>
    </row>
    <row r="16" customFormat="false" ht="15" hidden="false" customHeight="false" outlineLevel="0" collapsed="false">
      <c r="A16" s="8" t="s">
        <v>982</v>
      </c>
      <c r="B16" s="11" t="s">
        <v>86</v>
      </c>
      <c r="C16" s="8" t="s">
        <v>87</v>
      </c>
      <c r="D16" s="8" t="s">
        <v>983</v>
      </c>
      <c r="E16" s="11" t="s">
        <v>946</v>
      </c>
      <c r="F16" s="8" t="s">
        <v>984</v>
      </c>
      <c r="G16" s="8" t="s">
        <v>971</v>
      </c>
      <c r="H16" s="10" t="n">
        <v>50000</v>
      </c>
      <c r="I16" s="10" t="n">
        <v>120000</v>
      </c>
      <c r="J16" s="8" t="s">
        <v>985</v>
      </c>
      <c r="K16" s="8" t="s">
        <v>986</v>
      </c>
      <c r="L16" s="8" t="s">
        <v>912</v>
      </c>
    </row>
    <row r="17" customFormat="false" ht="15" hidden="false" customHeight="false" outlineLevel="0" collapsed="false">
      <c r="A17" s="8" t="s">
        <v>987</v>
      </c>
      <c r="B17" s="11" t="s">
        <v>97</v>
      </c>
      <c r="C17" s="8" t="s">
        <v>98</v>
      </c>
      <c r="D17" s="8" t="s">
        <v>988</v>
      </c>
      <c r="E17" s="11" t="s">
        <v>907</v>
      </c>
      <c r="F17" s="8" t="s">
        <v>908</v>
      </c>
      <c r="G17" s="8" t="s">
        <v>989</v>
      </c>
      <c r="H17" s="10" t="n">
        <v>600</v>
      </c>
      <c r="I17" s="10" t="n">
        <v>2000</v>
      </c>
      <c r="J17" s="8" t="s">
        <v>910</v>
      </c>
      <c r="K17" s="8" t="s">
        <v>990</v>
      </c>
      <c r="L17" s="8" t="s">
        <v>912</v>
      </c>
    </row>
    <row r="18" customFormat="false" ht="15" hidden="false" customHeight="false" outlineLevel="0" collapsed="false">
      <c r="A18" s="8" t="s">
        <v>991</v>
      </c>
      <c r="B18" s="11" t="s">
        <v>97</v>
      </c>
      <c r="C18" s="8" t="s">
        <v>98</v>
      </c>
      <c r="D18" s="8" t="s">
        <v>992</v>
      </c>
      <c r="E18" s="11" t="s">
        <v>907</v>
      </c>
      <c r="F18" s="8" t="s">
        <v>908</v>
      </c>
      <c r="G18" s="8" t="s">
        <v>993</v>
      </c>
      <c r="H18" s="10" t="n">
        <v>600</v>
      </c>
      <c r="I18" s="10" t="n">
        <v>2000</v>
      </c>
      <c r="J18" s="8" t="s">
        <v>910</v>
      </c>
      <c r="K18" s="8" t="s">
        <v>994</v>
      </c>
      <c r="L18" s="8" t="s">
        <v>912</v>
      </c>
    </row>
    <row r="19" customFormat="false" ht="23.85" hidden="false" customHeight="false" outlineLevel="0" collapsed="false">
      <c r="A19" s="8" t="s">
        <v>995</v>
      </c>
      <c r="B19" s="11" t="s">
        <v>97</v>
      </c>
      <c r="C19" s="8" t="s">
        <v>98</v>
      </c>
      <c r="D19" s="8" t="s">
        <v>996</v>
      </c>
      <c r="E19" s="11" t="s">
        <v>907</v>
      </c>
      <c r="F19" s="8" t="s">
        <v>997</v>
      </c>
      <c r="G19" s="8" t="s">
        <v>998</v>
      </c>
      <c r="H19" s="10" t="n">
        <v>1500</v>
      </c>
      <c r="I19" s="10" t="n">
        <v>4000</v>
      </c>
      <c r="J19" s="8" t="s">
        <v>999</v>
      </c>
      <c r="K19" s="8" t="s">
        <v>1000</v>
      </c>
      <c r="L19" s="8" t="s">
        <v>912</v>
      </c>
    </row>
    <row r="20" customFormat="false" ht="15" hidden="false" customHeight="false" outlineLevel="0" collapsed="false">
      <c r="A20" s="8" t="s">
        <v>1001</v>
      </c>
      <c r="B20" s="11" t="s">
        <v>97</v>
      </c>
      <c r="C20" s="8" t="s">
        <v>98</v>
      </c>
      <c r="D20" s="8" t="s">
        <v>1002</v>
      </c>
      <c r="E20" s="11" t="s">
        <v>921</v>
      </c>
      <c r="F20" s="8" t="s">
        <v>1003</v>
      </c>
      <c r="G20" s="8" t="s">
        <v>1004</v>
      </c>
      <c r="H20" s="10" t="n">
        <v>4500</v>
      </c>
      <c r="I20" s="10" t="n">
        <v>9500</v>
      </c>
      <c r="J20" s="8" t="s">
        <v>1005</v>
      </c>
      <c r="K20" s="8" t="s">
        <v>1006</v>
      </c>
      <c r="L20" s="8" t="s">
        <v>912</v>
      </c>
    </row>
    <row r="21" customFormat="false" ht="15" hidden="false" customHeight="false" outlineLevel="0" collapsed="false">
      <c r="A21" s="8" t="s">
        <v>1007</v>
      </c>
      <c r="B21" s="11" t="s">
        <v>97</v>
      </c>
      <c r="C21" s="8" t="s">
        <v>98</v>
      </c>
      <c r="D21" s="8" t="s">
        <v>1008</v>
      </c>
      <c r="E21" s="11" t="s">
        <v>921</v>
      </c>
      <c r="F21" s="8" t="s">
        <v>1003</v>
      </c>
      <c r="G21" s="8" t="s">
        <v>1009</v>
      </c>
      <c r="H21" s="10" t="n">
        <v>3500</v>
      </c>
      <c r="I21" s="10" t="n">
        <v>8000</v>
      </c>
      <c r="J21" s="8" t="s">
        <v>1010</v>
      </c>
      <c r="K21" s="8" t="s">
        <v>1011</v>
      </c>
      <c r="L21" s="8" t="s">
        <v>912</v>
      </c>
    </row>
    <row r="22" customFormat="false" ht="15" hidden="false" customHeight="false" outlineLevel="0" collapsed="false">
      <c r="A22" s="8" t="s">
        <v>1012</v>
      </c>
      <c r="B22" s="11" t="s">
        <v>97</v>
      </c>
      <c r="C22" s="8" t="s">
        <v>98</v>
      </c>
      <c r="D22" s="8" t="s">
        <v>1013</v>
      </c>
      <c r="E22" s="11" t="s">
        <v>934</v>
      </c>
      <c r="F22" s="8" t="s">
        <v>1003</v>
      </c>
      <c r="G22" s="8" t="s">
        <v>1014</v>
      </c>
      <c r="H22" s="10" t="n">
        <v>11000</v>
      </c>
      <c r="I22" s="10" t="n">
        <v>26000</v>
      </c>
      <c r="J22" s="8" t="s">
        <v>1015</v>
      </c>
      <c r="K22" s="8" t="s">
        <v>1016</v>
      </c>
      <c r="L22" s="8" t="s">
        <v>912</v>
      </c>
    </row>
    <row r="23" customFormat="false" ht="15" hidden="false" customHeight="false" outlineLevel="0" collapsed="false">
      <c r="A23" s="8" t="s">
        <v>1017</v>
      </c>
      <c r="B23" s="11" t="s">
        <v>97</v>
      </c>
      <c r="C23" s="8" t="s">
        <v>98</v>
      </c>
      <c r="D23" s="8" t="s">
        <v>1018</v>
      </c>
      <c r="E23" s="11" t="s">
        <v>934</v>
      </c>
      <c r="F23" s="8" t="s">
        <v>984</v>
      </c>
      <c r="G23" s="8" t="s">
        <v>1019</v>
      </c>
      <c r="H23" s="10" t="n">
        <v>11000</v>
      </c>
      <c r="I23" s="10" t="n">
        <v>28000</v>
      </c>
      <c r="J23" s="8" t="s">
        <v>1020</v>
      </c>
      <c r="K23" s="8" t="s">
        <v>1021</v>
      </c>
      <c r="L23" s="8" t="s">
        <v>912</v>
      </c>
    </row>
    <row r="24" customFormat="false" ht="15" hidden="false" customHeight="false" outlineLevel="0" collapsed="false">
      <c r="A24" s="8" t="s">
        <v>1022</v>
      </c>
      <c r="B24" s="11" t="s">
        <v>97</v>
      </c>
      <c r="C24" s="8" t="s">
        <v>98</v>
      </c>
      <c r="D24" s="8" t="s">
        <v>1023</v>
      </c>
      <c r="E24" s="11" t="s">
        <v>946</v>
      </c>
      <c r="F24" s="8" t="s">
        <v>1024</v>
      </c>
      <c r="G24" s="8" t="s">
        <v>1025</v>
      </c>
      <c r="H24" s="10" t="n">
        <v>45000</v>
      </c>
      <c r="I24" s="10" t="n">
        <v>150000</v>
      </c>
      <c r="J24" s="8" t="s">
        <v>1026</v>
      </c>
      <c r="K24" s="8" t="s">
        <v>1027</v>
      </c>
      <c r="L24" s="8" t="s">
        <v>912</v>
      </c>
    </row>
    <row r="25" customFormat="false" ht="15" hidden="false" customHeight="false" outlineLevel="0" collapsed="false">
      <c r="A25" s="8" t="s">
        <v>1028</v>
      </c>
      <c r="B25" s="11" t="s">
        <v>108</v>
      </c>
      <c r="C25" s="8" t="s">
        <v>109</v>
      </c>
      <c r="D25" s="8" t="s">
        <v>1029</v>
      </c>
      <c r="E25" s="11" t="s">
        <v>907</v>
      </c>
      <c r="F25" s="8" t="s">
        <v>908</v>
      </c>
      <c r="G25" s="8" t="s">
        <v>1030</v>
      </c>
      <c r="H25" s="10" t="n">
        <v>600</v>
      </c>
      <c r="I25" s="10" t="n">
        <v>2000</v>
      </c>
      <c r="J25" s="8" t="s">
        <v>910</v>
      </c>
      <c r="K25" s="8" t="s">
        <v>1031</v>
      </c>
      <c r="L25" s="8" t="s">
        <v>912</v>
      </c>
    </row>
    <row r="26" customFormat="false" ht="15" hidden="false" customHeight="false" outlineLevel="0" collapsed="false">
      <c r="A26" s="8" t="s">
        <v>1032</v>
      </c>
      <c r="B26" s="11" t="s">
        <v>108</v>
      </c>
      <c r="C26" s="8" t="s">
        <v>109</v>
      </c>
      <c r="D26" s="8" t="s">
        <v>1033</v>
      </c>
      <c r="E26" s="11" t="s">
        <v>921</v>
      </c>
      <c r="F26" s="8" t="s">
        <v>1034</v>
      </c>
      <c r="G26" s="8" t="s">
        <v>1035</v>
      </c>
      <c r="H26" s="10" t="n">
        <v>2500</v>
      </c>
      <c r="I26" s="10" t="n">
        <v>5500</v>
      </c>
      <c r="J26" s="8" t="s">
        <v>1036</v>
      </c>
      <c r="K26" s="8" t="s">
        <v>1037</v>
      </c>
      <c r="L26" s="8" t="s">
        <v>912</v>
      </c>
    </row>
    <row r="27" customFormat="false" ht="15" hidden="false" customHeight="false" outlineLevel="0" collapsed="false">
      <c r="A27" s="8" t="s">
        <v>1038</v>
      </c>
      <c r="B27" s="11" t="s">
        <v>108</v>
      </c>
      <c r="C27" s="8" t="s">
        <v>109</v>
      </c>
      <c r="D27" s="8" t="s">
        <v>1039</v>
      </c>
      <c r="E27" s="11" t="s">
        <v>921</v>
      </c>
      <c r="F27" s="8" t="s">
        <v>1003</v>
      </c>
      <c r="G27" s="8" t="s">
        <v>1040</v>
      </c>
      <c r="H27" s="10" t="n">
        <v>4500</v>
      </c>
      <c r="I27" s="10" t="n">
        <v>10000</v>
      </c>
      <c r="J27" s="8" t="s">
        <v>1041</v>
      </c>
      <c r="K27" s="8" t="s">
        <v>1042</v>
      </c>
      <c r="L27" s="8" t="s">
        <v>912</v>
      </c>
    </row>
    <row r="28" customFormat="false" ht="15" hidden="false" customHeight="false" outlineLevel="0" collapsed="false">
      <c r="A28" s="8" t="s">
        <v>1043</v>
      </c>
      <c r="B28" s="11" t="s">
        <v>108</v>
      </c>
      <c r="C28" s="8" t="s">
        <v>109</v>
      </c>
      <c r="D28" s="8" t="s">
        <v>1044</v>
      </c>
      <c r="E28" s="11" t="s">
        <v>921</v>
      </c>
      <c r="F28" s="8" t="s">
        <v>928</v>
      </c>
      <c r="G28" s="8" t="s">
        <v>1045</v>
      </c>
      <c r="H28" s="10" t="n">
        <v>4500</v>
      </c>
      <c r="I28" s="10" t="n">
        <v>9000</v>
      </c>
      <c r="J28" s="8" t="s">
        <v>1041</v>
      </c>
      <c r="K28" s="8" t="s">
        <v>1046</v>
      </c>
      <c r="L28" s="8" t="s">
        <v>912</v>
      </c>
    </row>
    <row r="29" customFormat="false" ht="15" hidden="false" customHeight="false" outlineLevel="0" collapsed="false">
      <c r="A29" s="8" t="s">
        <v>1047</v>
      </c>
      <c r="B29" s="11" t="s">
        <v>108</v>
      </c>
      <c r="C29" s="8" t="s">
        <v>109</v>
      </c>
      <c r="D29" s="8" t="s">
        <v>1048</v>
      </c>
      <c r="E29" s="11" t="s">
        <v>934</v>
      </c>
      <c r="F29" s="8" t="s">
        <v>928</v>
      </c>
      <c r="G29" s="8" t="s">
        <v>1049</v>
      </c>
      <c r="H29" s="10" t="n">
        <v>7000</v>
      </c>
      <c r="I29" s="10" t="n">
        <v>15000</v>
      </c>
      <c r="J29" s="8" t="s">
        <v>972</v>
      </c>
      <c r="K29" s="8" t="s">
        <v>1050</v>
      </c>
      <c r="L29" s="8" t="s">
        <v>912</v>
      </c>
    </row>
    <row r="30" customFormat="false" ht="15" hidden="false" customHeight="false" outlineLevel="0" collapsed="false">
      <c r="A30" s="8" t="s">
        <v>1051</v>
      </c>
      <c r="B30" s="11" t="s">
        <v>108</v>
      </c>
      <c r="C30" s="8" t="s">
        <v>109</v>
      </c>
      <c r="D30" s="8" t="s">
        <v>1052</v>
      </c>
      <c r="E30" s="11" t="s">
        <v>946</v>
      </c>
      <c r="F30" s="8" t="s">
        <v>1024</v>
      </c>
      <c r="G30" s="8" t="s">
        <v>1053</v>
      </c>
      <c r="H30" s="10" t="n">
        <v>25000</v>
      </c>
      <c r="I30" s="10" t="n">
        <v>80000</v>
      </c>
      <c r="J30" s="8" t="s">
        <v>1054</v>
      </c>
      <c r="K30" s="8" t="s">
        <v>1055</v>
      </c>
      <c r="L30" s="8" t="s">
        <v>912</v>
      </c>
    </row>
    <row r="31" customFormat="false" ht="15" hidden="false" customHeight="false" outlineLevel="0" collapsed="false">
      <c r="A31" s="8" t="s">
        <v>1056</v>
      </c>
      <c r="B31" s="11" t="s">
        <v>108</v>
      </c>
      <c r="C31" s="8" t="s">
        <v>109</v>
      </c>
      <c r="D31" s="8" t="s">
        <v>1057</v>
      </c>
      <c r="E31" s="11" t="s">
        <v>946</v>
      </c>
      <c r="F31" s="8" t="s">
        <v>1024</v>
      </c>
      <c r="G31" s="8" t="s">
        <v>1058</v>
      </c>
      <c r="H31" s="10" t="n">
        <v>45000</v>
      </c>
      <c r="I31" s="10" t="n">
        <v>150000</v>
      </c>
      <c r="J31" s="8" t="s">
        <v>1059</v>
      </c>
      <c r="K31" s="8" t="s">
        <v>1060</v>
      </c>
      <c r="L31" s="8" t="s">
        <v>912</v>
      </c>
    </row>
    <row r="32" customFormat="false" ht="15" hidden="false" customHeight="false" outlineLevel="0" collapsed="false">
      <c r="A32" s="8" t="s">
        <v>1061</v>
      </c>
      <c r="B32" s="11" t="s">
        <v>118</v>
      </c>
      <c r="C32" s="8" t="s">
        <v>119</v>
      </c>
      <c r="D32" s="8" t="s">
        <v>1062</v>
      </c>
      <c r="E32" s="11" t="s">
        <v>907</v>
      </c>
      <c r="F32" s="8" t="s">
        <v>915</v>
      </c>
      <c r="G32" s="8" t="s">
        <v>1063</v>
      </c>
      <c r="H32" s="10" t="n">
        <v>700</v>
      </c>
      <c r="I32" s="10" t="n">
        <v>2200</v>
      </c>
      <c r="J32" s="8" t="s">
        <v>1064</v>
      </c>
      <c r="K32" s="8" t="s">
        <v>1065</v>
      </c>
      <c r="L32" s="8" t="s">
        <v>912</v>
      </c>
    </row>
    <row r="33" customFormat="false" ht="15" hidden="false" customHeight="false" outlineLevel="0" collapsed="false">
      <c r="A33" s="8" t="s">
        <v>1066</v>
      </c>
      <c r="B33" s="11" t="s">
        <v>118</v>
      </c>
      <c r="C33" s="8" t="s">
        <v>119</v>
      </c>
      <c r="D33" s="8" t="s">
        <v>1067</v>
      </c>
      <c r="E33" s="11" t="s">
        <v>907</v>
      </c>
      <c r="F33" s="8" t="s">
        <v>915</v>
      </c>
      <c r="G33" s="8" t="s">
        <v>1068</v>
      </c>
      <c r="H33" s="10" t="n">
        <v>800</v>
      </c>
      <c r="I33" s="10" t="n">
        <v>2500</v>
      </c>
      <c r="J33" s="8" t="s">
        <v>1069</v>
      </c>
      <c r="K33" s="8" t="s">
        <v>1070</v>
      </c>
      <c r="L33" s="8" t="s">
        <v>912</v>
      </c>
    </row>
    <row r="34" customFormat="false" ht="15" hidden="false" customHeight="false" outlineLevel="0" collapsed="false">
      <c r="A34" s="8" t="s">
        <v>1071</v>
      </c>
      <c r="B34" s="11" t="s">
        <v>118</v>
      </c>
      <c r="C34" s="8" t="s">
        <v>119</v>
      </c>
      <c r="D34" s="8" t="s">
        <v>1072</v>
      </c>
      <c r="E34" s="11" t="s">
        <v>921</v>
      </c>
      <c r="F34" s="8" t="s">
        <v>928</v>
      </c>
      <c r="G34" s="8" t="s">
        <v>1073</v>
      </c>
      <c r="H34" s="10" t="n">
        <v>3000</v>
      </c>
      <c r="I34" s="10" t="n">
        <v>7000</v>
      </c>
      <c r="J34" s="8" t="s">
        <v>1074</v>
      </c>
      <c r="K34" s="8" t="s">
        <v>1075</v>
      </c>
      <c r="L34" s="8" t="s">
        <v>912</v>
      </c>
    </row>
    <row r="35" customFormat="false" ht="15" hidden="false" customHeight="false" outlineLevel="0" collapsed="false">
      <c r="A35" s="8" t="s">
        <v>1076</v>
      </c>
      <c r="B35" s="11" t="s">
        <v>118</v>
      </c>
      <c r="C35" s="8" t="s">
        <v>119</v>
      </c>
      <c r="D35" s="8" t="s">
        <v>1077</v>
      </c>
      <c r="E35" s="11" t="s">
        <v>921</v>
      </c>
      <c r="F35" s="8" t="s">
        <v>979</v>
      </c>
      <c r="G35" s="8" t="s">
        <v>1078</v>
      </c>
      <c r="H35" s="10" t="n">
        <v>4000</v>
      </c>
      <c r="I35" s="10" t="n">
        <v>8500</v>
      </c>
      <c r="J35" s="8" t="s">
        <v>967</v>
      </c>
      <c r="K35" s="8" t="s">
        <v>1079</v>
      </c>
      <c r="L35" s="8" t="s">
        <v>912</v>
      </c>
    </row>
    <row r="36" customFormat="false" ht="15" hidden="false" customHeight="false" outlineLevel="0" collapsed="false">
      <c r="A36" s="8" t="s">
        <v>1080</v>
      </c>
      <c r="B36" s="11" t="s">
        <v>118</v>
      </c>
      <c r="C36" s="8" t="s">
        <v>119</v>
      </c>
      <c r="D36" s="8" t="s">
        <v>1081</v>
      </c>
      <c r="E36" s="11" t="s">
        <v>921</v>
      </c>
      <c r="F36" s="8" t="s">
        <v>979</v>
      </c>
      <c r="G36" s="8" t="s">
        <v>1082</v>
      </c>
      <c r="H36" s="10" t="n">
        <v>4000</v>
      </c>
      <c r="I36" s="10" t="n">
        <v>8000</v>
      </c>
      <c r="J36" s="8" t="s">
        <v>1083</v>
      </c>
      <c r="K36" s="8" t="s">
        <v>1084</v>
      </c>
      <c r="L36" s="8" t="s">
        <v>912</v>
      </c>
    </row>
    <row r="37" customFormat="false" ht="15" hidden="false" customHeight="false" outlineLevel="0" collapsed="false">
      <c r="A37" s="8" t="s">
        <v>1085</v>
      </c>
      <c r="B37" s="11" t="s">
        <v>118</v>
      </c>
      <c r="C37" s="8" t="s">
        <v>119</v>
      </c>
      <c r="D37" s="8" t="s">
        <v>1086</v>
      </c>
      <c r="E37" s="11" t="s">
        <v>934</v>
      </c>
      <c r="F37" s="8" t="s">
        <v>928</v>
      </c>
      <c r="G37" s="8" t="s">
        <v>1087</v>
      </c>
      <c r="H37" s="10" t="n">
        <v>5500</v>
      </c>
      <c r="I37" s="10" t="n">
        <v>10000</v>
      </c>
      <c r="J37" s="8" t="s">
        <v>936</v>
      </c>
      <c r="K37" s="8" t="s">
        <v>1088</v>
      </c>
      <c r="L37" s="8" t="s">
        <v>912</v>
      </c>
    </row>
    <row r="38" customFormat="false" ht="15" hidden="false" customHeight="false" outlineLevel="0" collapsed="false">
      <c r="A38" s="8" t="s">
        <v>1089</v>
      </c>
      <c r="B38" s="11" t="s">
        <v>118</v>
      </c>
      <c r="C38" s="8" t="s">
        <v>119</v>
      </c>
      <c r="D38" s="8" t="s">
        <v>1090</v>
      </c>
      <c r="E38" s="11" t="s">
        <v>946</v>
      </c>
      <c r="F38" s="8" t="s">
        <v>1091</v>
      </c>
      <c r="G38" s="8" t="s">
        <v>1092</v>
      </c>
      <c r="H38" s="10" t="n">
        <v>30000</v>
      </c>
      <c r="I38" s="10" t="n">
        <v>70000</v>
      </c>
      <c r="J38" s="8" t="s">
        <v>980</v>
      </c>
      <c r="K38" s="8" t="s">
        <v>1093</v>
      </c>
      <c r="L38" s="8" t="s">
        <v>912</v>
      </c>
    </row>
    <row r="39" customFormat="false" ht="15" hidden="false" customHeight="false" outlineLevel="0" collapsed="false">
      <c r="A39" s="8" t="s">
        <v>1094</v>
      </c>
      <c r="B39" s="11" t="s">
        <v>130</v>
      </c>
      <c r="C39" s="8" t="s">
        <v>131</v>
      </c>
      <c r="D39" s="8" t="s">
        <v>1095</v>
      </c>
      <c r="E39" s="11" t="s">
        <v>907</v>
      </c>
      <c r="F39" s="8" t="s">
        <v>1096</v>
      </c>
      <c r="G39" s="8" t="s">
        <v>1097</v>
      </c>
      <c r="H39" s="10" t="n">
        <v>1500</v>
      </c>
      <c r="I39" s="10" t="n">
        <v>3500</v>
      </c>
      <c r="J39" s="8" t="s">
        <v>1098</v>
      </c>
      <c r="K39" s="8" t="s">
        <v>1099</v>
      </c>
      <c r="L39" s="8" t="s">
        <v>912</v>
      </c>
    </row>
    <row r="40" customFormat="false" ht="15" hidden="false" customHeight="false" outlineLevel="0" collapsed="false">
      <c r="A40" s="8" t="s">
        <v>1100</v>
      </c>
      <c r="B40" s="11" t="s">
        <v>130</v>
      </c>
      <c r="C40" s="8" t="s">
        <v>131</v>
      </c>
      <c r="D40" s="8" t="s">
        <v>1101</v>
      </c>
      <c r="E40" s="11" t="s">
        <v>907</v>
      </c>
      <c r="F40" s="8" t="s">
        <v>928</v>
      </c>
      <c r="G40" s="8" t="s">
        <v>1102</v>
      </c>
      <c r="H40" s="10" t="n">
        <v>1800</v>
      </c>
      <c r="I40" s="10" t="n">
        <v>4500</v>
      </c>
      <c r="J40" s="8" t="s">
        <v>1103</v>
      </c>
      <c r="K40" s="8" t="s">
        <v>1104</v>
      </c>
      <c r="L40" s="8" t="s">
        <v>912</v>
      </c>
    </row>
    <row r="41" customFormat="false" ht="23.85" hidden="false" customHeight="false" outlineLevel="0" collapsed="false">
      <c r="A41" s="8" t="s">
        <v>1105</v>
      </c>
      <c r="B41" s="11" t="s">
        <v>130</v>
      </c>
      <c r="C41" s="8" t="s">
        <v>131</v>
      </c>
      <c r="D41" s="8" t="s">
        <v>1106</v>
      </c>
      <c r="E41" s="11" t="s">
        <v>921</v>
      </c>
      <c r="F41" s="8" t="s">
        <v>928</v>
      </c>
      <c r="G41" s="8" t="s">
        <v>1107</v>
      </c>
      <c r="H41" s="10" t="n">
        <v>3000</v>
      </c>
      <c r="I41" s="10" t="n">
        <v>5500</v>
      </c>
      <c r="J41" s="8" t="s">
        <v>1108</v>
      </c>
      <c r="K41" s="8" t="s">
        <v>1109</v>
      </c>
      <c r="L41" s="8" t="s">
        <v>912</v>
      </c>
    </row>
    <row r="42" customFormat="false" ht="15" hidden="false" customHeight="false" outlineLevel="0" collapsed="false">
      <c r="A42" s="8" t="s">
        <v>1110</v>
      </c>
      <c r="B42" s="11" t="s">
        <v>130</v>
      </c>
      <c r="C42" s="8" t="s">
        <v>131</v>
      </c>
      <c r="D42" s="8" t="s">
        <v>1111</v>
      </c>
      <c r="E42" s="11" t="s">
        <v>921</v>
      </c>
      <c r="F42" s="8" t="s">
        <v>928</v>
      </c>
      <c r="G42" s="8" t="s">
        <v>1112</v>
      </c>
      <c r="H42" s="10" t="n">
        <v>4000</v>
      </c>
      <c r="I42" s="10" t="n">
        <v>7500</v>
      </c>
      <c r="J42" s="8" t="s">
        <v>967</v>
      </c>
      <c r="K42" s="8" t="s">
        <v>1113</v>
      </c>
      <c r="L42" s="8" t="s">
        <v>912</v>
      </c>
    </row>
    <row r="43" customFormat="false" ht="15" hidden="false" customHeight="false" outlineLevel="0" collapsed="false">
      <c r="A43" s="8" t="s">
        <v>1114</v>
      </c>
      <c r="B43" s="11" t="s">
        <v>130</v>
      </c>
      <c r="C43" s="8" t="s">
        <v>131</v>
      </c>
      <c r="D43" s="8" t="s">
        <v>1115</v>
      </c>
      <c r="E43" s="11" t="s">
        <v>934</v>
      </c>
      <c r="F43" s="8" t="s">
        <v>928</v>
      </c>
      <c r="G43" s="8" t="s">
        <v>1112</v>
      </c>
      <c r="H43" s="10" t="n">
        <v>5500</v>
      </c>
      <c r="I43" s="10" t="n">
        <v>10000</v>
      </c>
      <c r="J43" s="8" t="s">
        <v>1116</v>
      </c>
      <c r="K43" s="8" t="s">
        <v>1117</v>
      </c>
      <c r="L43" s="8" t="s">
        <v>912</v>
      </c>
    </row>
    <row r="44" customFormat="false" ht="15" hidden="false" customHeight="false" outlineLevel="0" collapsed="false">
      <c r="A44" s="8" t="s">
        <v>1118</v>
      </c>
      <c r="B44" s="11" t="s">
        <v>130</v>
      </c>
      <c r="C44" s="8" t="s">
        <v>131</v>
      </c>
      <c r="D44" s="8" t="s">
        <v>1119</v>
      </c>
      <c r="E44" s="11" t="s">
        <v>934</v>
      </c>
      <c r="F44" s="8" t="s">
        <v>928</v>
      </c>
      <c r="G44" s="8" t="s">
        <v>1120</v>
      </c>
      <c r="H44" s="10" t="n">
        <v>6500</v>
      </c>
      <c r="I44" s="10" t="n">
        <v>13000</v>
      </c>
      <c r="J44" s="8" t="s">
        <v>1121</v>
      </c>
      <c r="K44" s="8" t="s">
        <v>1122</v>
      </c>
      <c r="L44" s="8" t="s">
        <v>912</v>
      </c>
    </row>
    <row r="45" customFormat="false" ht="15" hidden="false" customHeight="false" outlineLevel="0" collapsed="false">
      <c r="A45" s="8" t="s">
        <v>1123</v>
      </c>
      <c r="B45" s="11" t="s">
        <v>142</v>
      </c>
      <c r="C45" s="8" t="s">
        <v>143</v>
      </c>
      <c r="D45" s="8" t="s">
        <v>1124</v>
      </c>
      <c r="E45" s="11" t="s">
        <v>907</v>
      </c>
      <c r="F45" s="8" t="s">
        <v>908</v>
      </c>
      <c r="G45" s="8" t="s">
        <v>1125</v>
      </c>
      <c r="H45" s="10" t="n">
        <v>700</v>
      </c>
      <c r="I45" s="10" t="n">
        <v>2500</v>
      </c>
      <c r="J45" s="8" t="s">
        <v>1126</v>
      </c>
      <c r="K45" s="8" t="s">
        <v>1127</v>
      </c>
      <c r="L45" s="8" t="s">
        <v>912</v>
      </c>
    </row>
    <row r="46" customFormat="false" ht="15" hidden="false" customHeight="false" outlineLevel="0" collapsed="false">
      <c r="A46" s="8" t="s">
        <v>1128</v>
      </c>
      <c r="B46" s="11" t="s">
        <v>142</v>
      </c>
      <c r="C46" s="8" t="s">
        <v>143</v>
      </c>
      <c r="D46" s="8" t="s">
        <v>1129</v>
      </c>
      <c r="E46" s="11" t="s">
        <v>907</v>
      </c>
      <c r="F46" s="8" t="s">
        <v>1130</v>
      </c>
      <c r="G46" s="8" t="s">
        <v>1131</v>
      </c>
      <c r="H46" s="10" t="n">
        <v>1200</v>
      </c>
      <c r="I46" s="10" t="n">
        <v>4500</v>
      </c>
      <c r="J46" s="8" t="s">
        <v>1132</v>
      </c>
      <c r="K46" s="8" t="s">
        <v>1133</v>
      </c>
      <c r="L46" s="8" t="s">
        <v>912</v>
      </c>
    </row>
    <row r="47" customFormat="false" ht="15" hidden="false" customHeight="false" outlineLevel="0" collapsed="false">
      <c r="A47" s="8" t="s">
        <v>1134</v>
      </c>
      <c r="B47" s="11" t="s">
        <v>142</v>
      </c>
      <c r="C47" s="8" t="s">
        <v>143</v>
      </c>
      <c r="D47" s="8" t="s">
        <v>1135</v>
      </c>
      <c r="E47" s="11" t="s">
        <v>921</v>
      </c>
      <c r="F47" s="8" t="s">
        <v>979</v>
      </c>
      <c r="G47" s="8" t="s">
        <v>1136</v>
      </c>
      <c r="H47" s="10" t="n">
        <v>3500</v>
      </c>
      <c r="I47" s="10" t="n">
        <v>8000</v>
      </c>
      <c r="J47" s="8" t="s">
        <v>967</v>
      </c>
      <c r="K47" s="8" t="s">
        <v>1137</v>
      </c>
      <c r="L47" s="8" t="s">
        <v>912</v>
      </c>
    </row>
    <row r="48" customFormat="false" ht="15" hidden="false" customHeight="false" outlineLevel="0" collapsed="false">
      <c r="A48" s="8" t="s">
        <v>1138</v>
      </c>
      <c r="B48" s="11" t="s">
        <v>142</v>
      </c>
      <c r="C48" s="8" t="s">
        <v>143</v>
      </c>
      <c r="D48" s="8" t="s">
        <v>1139</v>
      </c>
      <c r="E48" s="11" t="s">
        <v>921</v>
      </c>
      <c r="F48" s="8" t="s">
        <v>928</v>
      </c>
      <c r="G48" s="8" t="s">
        <v>1140</v>
      </c>
      <c r="H48" s="10" t="n">
        <v>4000</v>
      </c>
      <c r="I48" s="10" t="n">
        <v>7500</v>
      </c>
      <c r="J48" s="8" t="s">
        <v>1141</v>
      </c>
      <c r="K48" s="8" t="s">
        <v>1142</v>
      </c>
      <c r="L48" s="8" t="s">
        <v>912</v>
      </c>
    </row>
    <row r="49" customFormat="false" ht="15" hidden="false" customHeight="false" outlineLevel="0" collapsed="false">
      <c r="A49" s="8" t="s">
        <v>1143</v>
      </c>
      <c r="B49" s="11" t="s">
        <v>142</v>
      </c>
      <c r="C49" s="8" t="s">
        <v>143</v>
      </c>
      <c r="D49" s="8" t="s">
        <v>1144</v>
      </c>
      <c r="E49" s="11" t="s">
        <v>934</v>
      </c>
      <c r="F49" s="8" t="s">
        <v>979</v>
      </c>
      <c r="G49" s="8" t="s">
        <v>1145</v>
      </c>
      <c r="H49" s="10" t="n">
        <v>10000</v>
      </c>
      <c r="I49" s="10" t="n">
        <v>25000</v>
      </c>
      <c r="J49" s="8" t="s">
        <v>1146</v>
      </c>
      <c r="K49" s="8" t="s">
        <v>1147</v>
      </c>
      <c r="L49" s="8" t="s">
        <v>912</v>
      </c>
    </row>
    <row r="50" customFormat="false" ht="15" hidden="false" customHeight="false" outlineLevel="0" collapsed="false">
      <c r="A50" s="8" t="s">
        <v>1148</v>
      </c>
      <c r="B50" s="11" t="s">
        <v>142</v>
      </c>
      <c r="C50" s="8" t="s">
        <v>143</v>
      </c>
      <c r="D50" s="8" t="s">
        <v>1149</v>
      </c>
      <c r="E50" s="11" t="s">
        <v>946</v>
      </c>
      <c r="F50" s="8" t="s">
        <v>979</v>
      </c>
      <c r="G50" s="8" t="s">
        <v>1150</v>
      </c>
      <c r="H50" s="10" t="n">
        <v>15000</v>
      </c>
      <c r="I50" s="10" t="n">
        <v>45000</v>
      </c>
      <c r="J50" s="8" t="s">
        <v>1151</v>
      </c>
      <c r="K50" s="8" t="s">
        <v>1152</v>
      </c>
      <c r="L50" s="8" t="s">
        <v>912</v>
      </c>
    </row>
    <row r="51" customFormat="false" ht="15" hidden="false" customHeight="false" outlineLevel="0" collapsed="false">
      <c r="A51" s="8" t="s">
        <v>1153</v>
      </c>
      <c r="B51" s="11" t="s">
        <v>142</v>
      </c>
      <c r="C51" s="8" t="s">
        <v>143</v>
      </c>
      <c r="D51" s="8" t="s">
        <v>1154</v>
      </c>
      <c r="E51" s="11" t="s">
        <v>946</v>
      </c>
      <c r="F51" s="8" t="s">
        <v>979</v>
      </c>
      <c r="G51" s="8" t="s">
        <v>1155</v>
      </c>
      <c r="H51" s="10" t="n">
        <v>20000</v>
      </c>
      <c r="I51" s="10" t="n">
        <v>50000</v>
      </c>
      <c r="J51" s="8" t="s">
        <v>1156</v>
      </c>
      <c r="K51" s="8" t="s">
        <v>1157</v>
      </c>
      <c r="L51" s="8" t="s">
        <v>912</v>
      </c>
    </row>
    <row r="52" customFormat="false" ht="23.85" hidden="false" customHeight="false" outlineLevel="0" collapsed="false">
      <c r="A52" s="8" t="s">
        <v>1158</v>
      </c>
      <c r="B52" s="11" t="s">
        <v>152</v>
      </c>
      <c r="C52" s="8" t="s">
        <v>153</v>
      </c>
      <c r="D52" s="8" t="s">
        <v>1159</v>
      </c>
      <c r="E52" s="11" t="s">
        <v>907</v>
      </c>
      <c r="F52" s="8" t="s">
        <v>908</v>
      </c>
      <c r="G52" s="8" t="s">
        <v>1160</v>
      </c>
      <c r="H52" s="10" t="n">
        <v>600</v>
      </c>
      <c r="I52" s="10" t="n">
        <v>2000</v>
      </c>
      <c r="J52" s="8" t="s">
        <v>910</v>
      </c>
      <c r="K52" s="8" t="s">
        <v>1161</v>
      </c>
      <c r="L52" s="8" t="s">
        <v>912</v>
      </c>
    </row>
    <row r="53" customFormat="false" ht="23.85" hidden="false" customHeight="false" outlineLevel="0" collapsed="false">
      <c r="A53" s="8" t="s">
        <v>1162</v>
      </c>
      <c r="B53" s="11" t="s">
        <v>152</v>
      </c>
      <c r="C53" s="8" t="s">
        <v>153</v>
      </c>
      <c r="D53" s="8" t="s">
        <v>1163</v>
      </c>
      <c r="E53" s="11" t="s">
        <v>907</v>
      </c>
      <c r="F53" s="8" t="s">
        <v>1164</v>
      </c>
      <c r="G53" s="8" t="s">
        <v>1165</v>
      </c>
      <c r="H53" s="10" t="n">
        <v>3500</v>
      </c>
      <c r="I53" s="10" t="n">
        <v>7000</v>
      </c>
      <c r="J53" s="8" t="s">
        <v>1166</v>
      </c>
      <c r="K53" s="8" t="s">
        <v>1167</v>
      </c>
      <c r="L53" s="8" t="s">
        <v>912</v>
      </c>
    </row>
    <row r="54" customFormat="false" ht="23.85" hidden="false" customHeight="false" outlineLevel="0" collapsed="false">
      <c r="A54" s="8" t="s">
        <v>1168</v>
      </c>
      <c r="B54" s="11" t="s">
        <v>152</v>
      </c>
      <c r="C54" s="8" t="s">
        <v>153</v>
      </c>
      <c r="D54" s="8" t="s">
        <v>1169</v>
      </c>
      <c r="E54" s="11" t="s">
        <v>921</v>
      </c>
      <c r="F54" s="8" t="s">
        <v>979</v>
      </c>
      <c r="G54" s="8" t="s">
        <v>1170</v>
      </c>
      <c r="H54" s="10" t="n">
        <v>3500</v>
      </c>
      <c r="I54" s="10" t="n">
        <v>7000</v>
      </c>
      <c r="J54" s="8" t="s">
        <v>1171</v>
      </c>
      <c r="K54" s="8" t="s">
        <v>1172</v>
      </c>
      <c r="L54" s="8" t="s">
        <v>912</v>
      </c>
    </row>
    <row r="55" customFormat="false" ht="23.85" hidden="false" customHeight="false" outlineLevel="0" collapsed="false">
      <c r="A55" s="8" t="s">
        <v>1173</v>
      </c>
      <c r="B55" s="11" t="s">
        <v>152</v>
      </c>
      <c r="C55" s="8" t="s">
        <v>153</v>
      </c>
      <c r="D55" s="8" t="s">
        <v>1174</v>
      </c>
      <c r="E55" s="11" t="s">
        <v>921</v>
      </c>
      <c r="F55" s="8" t="s">
        <v>979</v>
      </c>
      <c r="G55" s="8" t="s">
        <v>1175</v>
      </c>
      <c r="H55" s="10" t="n">
        <v>5500</v>
      </c>
      <c r="I55" s="10" t="n">
        <v>10000</v>
      </c>
      <c r="J55" s="8" t="s">
        <v>1176</v>
      </c>
      <c r="K55" s="8" t="s">
        <v>1177</v>
      </c>
      <c r="L55" s="8" t="s">
        <v>912</v>
      </c>
    </row>
    <row r="56" customFormat="false" ht="23.85" hidden="false" customHeight="false" outlineLevel="0" collapsed="false">
      <c r="A56" s="8" t="s">
        <v>1178</v>
      </c>
      <c r="B56" s="11" t="s">
        <v>152</v>
      </c>
      <c r="C56" s="8" t="s">
        <v>153</v>
      </c>
      <c r="D56" s="8" t="s">
        <v>1179</v>
      </c>
      <c r="E56" s="11" t="s">
        <v>934</v>
      </c>
      <c r="F56" s="8" t="s">
        <v>1164</v>
      </c>
      <c r="G56" s="8" t="s">
        <v>1180</v>
      </c>
      <c r="H56" s="10" t="n">
        <v>10000</v>
      </c>
      <c r="I56" s="10" t="n">
        <v>20000</v>
      </c>
      <c r="J56" s="8" t="s">
        <v>1181</v>
      </c>
      <c r="K56" s="8" t="s">
        <v>1182</v>
      </c>
      <c r="L56" s="8" t="s">
        <v>912</v>
      </c>
    </row>
    <row r="57" customFormat="false" ht="23.85" hidden="false" customHeight="false" outlineLevel="0" collapsed="false">
      <c r="A57" s="8" t="s">
        <v>1183</v>
      </c>
      <c r="B57" s="11" t="s">
        <v>152</v>
      </c>
      <c r="C57" s="8" t="s">
        <v>153</v>
      </c>
      <c r="D57" s="8" t="s">
        <v>1184</v>
      </c>
      <c r="E57" s="11" t="s">
        <v>934</v>
      </c>
      <c r="F57" s="8" t="s">
        <v>979</v>
      </c>
      <c r="G57" s="8" t="s">
        <v>1185</v>
      </c>
      <c r="H57" s="10" t="n">
        <v>8000</v>
      </c>
      <c r="I57" s="10" t="n">
        <v>18000</v>
      </c>
      <c r="J57" s="8" t="s">
        <v>1146</v>
      </c>
      <c r="K57" s="8" t="s">
        <v>1186</v>
      </c>
      <c r="L57" s="8" t="s">
        <v>912</v>
      </c>
    </row>
    <row r="58" customFormat="false" ht="23.85" hidden="false" customHeight="false" outlineLevel="0" collapsed="false">
      <c r="A58" s="8" t="s">
        <v>1187</v>
      </c>
      <c r="B58" s="11" t="s">
        <v>152</v>
      </c>
      <c r="C58" s="8" t="s">
        <v>153</v>
      </c>
      <c r="D58" s="8" t="s">
        <v>1188</v>
      </c>
      <c r="E58" s="11" t="s">
        <v>946</v>
      </c>
      <c r="F58" s="8" t="s">
        <v>1189</v>
      </c>
      <c r="G58" s="8" t="s">
        <v>1190</v>
      </c>
      <c r="H58" s="10" t="n">
        <v>15000</v>
      </c>
      <c r="I58" s="10" t="n">
        <v>40000</v>
      </c>
      <c r="J58" s="8" t="s">
        <v>1191</v>
      </c>
      <c r="K58" s="8" t="s">
        <v>1192</v>
      </c>
      <c r="L58" s="8" t="s">
        <v>912</v>
      </c>
    </row>
    <row r="59" customFormat="false" ht="15" hidden="false" customHeight="false" outlineLevel="0" collapsed="false">
      <c r="A59" s="8" t="s">
        <v>1193</v>
      </c>
      <c r="B59" s="11" t="s">
        <v>163</v>
      </c>
      <c r="C59" s="8" t="s">
        <v>164</v>
      </c>
      <c r="D59" s="8" t="s">
        <v>1194</v>
      </c>
      <c r="E59" s="11" t="s">
        <v>907</v>
      </c>
      <c r="F59" s="8" t="s">
        <v>1195</v>
      </c>
      <c r="G59" s="8" t="s">
        <v>1196</v>
      </c>
      <c r="H59" s="10" t="n">
        <v>2500</v>
      </c>
      <c r="I59" s="10" t="n">
        <v>5000</v>
      </c>
      <c r="J59" s="8" t="s">
        <v>1197</v>
      </c>
      <c r="K59" s="8" t="s">
        <v>1198</v>
      </c>
      <c r="L59" s="8" t="s">
        <v>912</v>
      </c>
    </row>
    <row r="60" customFormat="false" ht="15" hidden="false" customHeight="false" outlineLevel="0" collapsed="false">
      <c r="A60" s="8" t="s">
        <v>1199</v>
      </c>
      <c r="B60" s="11" t="s">
        <v>163</v>
      </c>
      <c r="C60" s="8" t="s">
        <v>164</v>
      </c>
      <c r="D60" s="8" t="s">
        <v>1200</v>
      </c>
      <c r="E60" s="11" t="s">
        <v>921</v>
      </c>
      <c r="F60" s="8" t="s">
        <v>928</v>
      </c>
      <c r="G60" s="8" t="s">
        <v>1201</v>
      </c>
      <c r="H60" s="10" t="n">
        <v>3500</v>
      </c>
      <c r="I60" s="10" t="n">
        <v>7000</v>
      </c>
      <c r="J60" s="8" t="s">
        <v>1202</v>
      </c>
      <c r="K60" s="8" t="s">
        <v>1203</v>
      </c>
      <c r="L60" s="8" t="s">
        <v>912</v>
      </c>
    </row>
    <row r="61" customFormat="false" ht="15" hidden="false" customHeight="false" outlineLevel="0" collapsed="false">
      <c r="A61" s="8" t="s">
        <v>1204</v>
      </c>
      <c r="B61" s="11" t="s">
        <v>163</v>
      </c>
      <c r="C61" s="8" t="s">
        <v>164</v>
      </c>
      <c r="D61" s="8" t="s">
        <v>1205</v>
      </c>
      <c r="E61" s="11" t="s">
        <v>921</v>
      </c>
      <c r="F61" s="8" t="s">
        <v>979</v>
      </c>
      <c r="G61" s="8" t="s">
        <v>621</v>
      </c>
      <c r="H61" s="10" t="n">
        <v>3500</v>
      </c>
      <c r="I61" s="10" t="n">
        <v>8000</v>
      </c>
      <c r="J61" s="8" t="s">
        <v>1206</v>
      </c>
      <c r="K61" s="8" t="s">
        <v>1207</v>
      </c>
      <c r="L61" s="8" t="s">
        <v>912</v>
      </c>
    </row>
    <row r="62" customFormat="false" ht="15" hidden="false" customHeight="false" outlineLevel="0" collapsed="false">
      <c r="A62" s="8" t="s">
        <v>1208</v>
      </c>
      <c r="B62" s="11" t="s">
        <v>163</v>
      </c>
      <c r="C62" s="8" t="s">
        <v>164</v>
      </c>
      <c r="D62" s="8" t="s">
        <v>1209</v>
      </c>
      <c r="E62" s="11" t="s">
        <v>921</v>
      </c>
      <c r="F62" s="8" t="s">
        <v>979</v>
      </c>
      <c r="G62" s="8" t="s">
        <v>1210</v>
      </c>
      <c r="H62" s="10" t="n">
        <v>4000</v>
      </c>
      <c r="I62" s="10" t="n">
        <v>9000</v>
      </c>
      <c r="J62" s="8" t="s">
        <v>972</v>
      </c>
      <c r="K62" s="8" t="s">
        <v>1211</v>
      </c>
      <c r="L62" s="8" t="s">
        <v>912</v>
      </c>
    </row>
    <row r="63" customFormat="false" ht="15" hidden="false" customHeight="false" outlineLevel="0" collapsed="false">
      <c r="A63" s="8" t="s">
        <v>1212</v>
      </c>
      <c r="B63" s="11" t="s">
        <v>163</v>
      </c>
      <c r="C63" s="8" t="s">
        <v>164</v>
      </c>
      <c r="D63" s="8" t="s">
        <v>1213</v>
      </c>
      <c r="E63" s="11" t="s">
        <v>934</v>
      </c>
      <c r="F63" s="8" t="s">
        <v>979</v>
      </c>
      <c r="G63" s="8" t="s">
        <v>1214</v>
      </c>
      <c r="H63" s="10" t="n">
        <v>8000</v>
      </c>
      <c r="I63" s="10" t="n">
        <v>18000</v>
      </c>
      <c r="J63" s="8" t="s">
        <v>1146</v>
      </c>
      <c r="K63" s="8" t="s">
        <v>1215</v>
      </c>
      <c r="L63" s="8" t="s">
        <v>912</v>
      </c>
    </row>
    <row r="64" customFormat="false" ht="15" hidden="false" customHeight="false" outlineLevel="0" collapsed="false">
      <c r="A64" s="8" t="s">
        <v>1216</v>
      </c>
      <c r="B64" s="11" t="s">
        <v>163</v>
      </c>
      <c r="C64" s="8" t="s">
        <v>164</v>
      </c>
      <c r="D64" s="8" t="s">
        <v>1217</v>
      </c>
      <c r="E64" s="11" t="s">
        <v>934</v>
      </c>
      <c r="F64" s="8" t="s">
        <v>979</v>
      </c>
      <c r="G64" s="8" t="s">
        <v>1218</v>
      </c>
      <c r="H64" s="10" t="n">
        <v>9000</v>
      </c>
      <c r="I64" s="10" t="n">
        <v>20000</v>
      </c>
      <c r="J64" s="8" t="s">
        <v>1219</v>
      </c>
      <c r="K64" s="8" t="s">
        <v>1220</v>
      </c>
      <c r="L64" s="8" t="s">
        <v>912</v>
      </c>
    </row>
    <row r="65" customFormat="false" ht="15" hidden="false" customHeight="false" outlineLevel="0" collapsed="false">
      <c r="A65" s="8" t="s">
        <v>1221</v>
      </c>
      <c r="B65" s="11" t="s">
        <v>163</v>
      </c>
      <c r="C65" s="8" t="s">
        <v>164</v>
      </c>
      <c r="D65" s="8" t="s">
        <v>1222</v>
      </c>
      <c r="E65" s="11" t="s">
        <v>946</v>
      </c>
      <c r="F65" s="8" t="s">
        <v>979</v>
      </c>
      <c r="G65" s="8" t="s">
        <v>1223</v>
      </c>
      <c r="H65" s="10" t="n">
        <v>25000</v>
      </c>
      <c r="I65" s="10" t="n">
        <v>70000</v>
      </c>
      <c r="J65" s="8" t="s">
        <v>1224</v>
      </c>
      <c r="K65" s="8" t="s">
        <v>1225</v>
      </c>
      <c r="L65" s="8" t="s">
        <v>912</v>
      </c>
    </row>
    <row r="66" customFormat="false" ht="15" hidden="false" customHeight="false" outlineLevel="0" collapsed="false">
      <c r="A66" s="8" t="s">
        <v>1226</v>
      </c>
      <c r="B66" s="11" t="s">
        <v>175</v>
      </c>
      <c r="C66" s="8" t="s">
        <v>176</v>
      </c>
      <c r="D66" s="8" t="s">
        <v>1227</v>
      </c>
      <c r="E66" s="11" t="s">
        <v>907</v>
      </c>
      <c r="F66" s="8" t="s">
        <v>908</v>
      </c>
      <c r="G66" s="8" t="s">
        <v>1228</v>
      </c>
      <c r="H66" s="10" t="n">
        <v>700</v>
      </c>
      <c r="I66" s="10" t="n">
        <v>2200</v>
      </c>
      <c r="J66" s="8" t="s">
        <v>910</v>
      </c>
      <c r="K66" s="8" t="s">
        <v>1229</v>
      </c>
      <c r="L66" s="8" t="s">
        <v>912</v>
      </c>
    </row>
    <row r="67" customFormat="false" ht="15" hidden="false" customHeight="false" outlineLevel="0" collapsed="false">
      <c r="A67" s="8" t="s">
        <v>1230</v>
      </c>
      <c r="B67" s="11" t="s">
        <v>175</v>
      </c>
      <c r="C67" s="8" t="s">
        <v>176</v>
      </c>
      <c r="D67" s="8" t="s">
        <v>1231</v>
      </c>
      <c r="E67" s="11" t="s">
        <v>907</v>
      </c>
      <c r="F67" s="8" t="s">
        <v>1232</v>
      </c>
      <c r="G67" s="8" t="s">
        <v>1233</v>
      </c>
      <c r="H67" s="10" t="n">
        <v>1200</v>
      </c>
      <c r="I67" s="10" t="n">
        <v>2800</v>
      </c>
      <c r="J67" s="8" t="s">
        <v>1234</v>
      </c>
      <c r="K67" s="8" t="s">
        <v>1235</v>
      </c>
      <c r="L67" s="8" t="s">
        <v>912</v>
      </c>
    </row>
    <row r="68" customFormat="false" ht="15" hidden="false" customHeight="false" outlineLevel="0" collapsed="false">
      <c r="A68" s="8" t="s">
        <v>1236</v>
      </c>
      <c r="B68" s="11" t="s">
        <v>175</v>
      </c>
      <c r="C68" s="8" t="s">
        <v>176</v>
      </c>
      <c r="D68" s="8" t="s">
        <v>1237</v>
      </c>
      <c r="E68" s="11" t="s">
        <v>921</v>
      </c>
      <c r="F68" s="8" t="s">
        <v>928</v>
      </c>
      <c r="G68" s="8" t="s">
        <v>1238</v>
      </c>
      <c r="H68" s="10" t="n">
        <v>2500</v>
      </c>
      <c r="I68" s="10" t="n">
        <v>4500</v>
      </c>
      <c r="J68" s="8" t="s">
        <v>1239</v>
      </c>
      <c r="K68" s="8" t="s">
        <v>1240</v>
      </c>
      <c r="L68" s="8" t="s">
        <v>912</v>
      </c>
    </row>
    <row r="69" customFormat="false" ht="15" hidden="false" customHeight="false" outlineLevel="0" collapsed="false">
      <c r="A69" s="8" t="s">
        <v>1241</v>
      </c>
      <c r="B69" s="11" t="s">
        <v>175</v>
      </c>
      <c r="C69" s="8" t="s">
        <v>176</v>
      </c>
      <c r="D69" s="8" t="s">
        <v>1242</v>
      </c>
      <c r="E69" s="11" t="s">
        <v>921</v>
      </c>
      <c r="F69" s="8" t="s">
        <v>1243</v>
      </c>
      <c r="G69" s="8" t="s">
        <v>1228</v>
      </c>
      <c r="H69" s="10" t="n">
        <v>6000</v>
      </c>
      <c r="I69" s="10" t="n">
        <v>12000</v>
      </c>
      <c r="J69" s="8" t="s">
        <v>1015</v>
      </c>
      <c r="K69" s="8" t="s">
        <v>1244</v>
      </c>
      <c r="L69" s="8" t="s">
        <v>912</v>
      </c>
    </row>
    <row r="70" customFormat="false" ht="15" hidden="false" customHeight="false" outlineLevel="0" collapsed="false">
      <c r="A70" s="8" t="s">
        <v>1245</v>
      </c>
      <c r="B70" s="11" t="s">
        <v>175</v>
      </c>
      <c r="C70" s="8" t="s">
        <v>176</v>
      </c>
      <c r="D70" s="8" t="s">
        <v>1246</v>
      </c>
      <c r="E70" s="11" t="s">
        <v>934</v>
      </c>
      <c r="F70" s="8" t="s">
        <v>940</v>
      </c>
      <c r="G70" s="8" t="s">
        <v>1228</v>
      </c>
      <c r="H70" s="10" t="n">
        <v>8500</v>
      </c>
      <c r="I70" s="10" t="n">
        <v>16000</v>
      </c>
      <c r="J70" s="8" t="s">
        <v>1015</v>
      </c>
      <c r="K70" s="8" t="s">
        <v>1247</v>
      </c>
      <c r="L70" s="8" t="s">
        <v>912</v>
      </c>
    </row>
    <row r="71" customFormat="false" ht="15" hidden="false" customHeight="false" outlineLevel="0" collapsed="false">
      <c r="A71" s="8" t="s">
        <v>1248</v>
      </c>
      <c r="B71" s="11" t="s">
        <v>175</v>
      </c>
      <c r="C71" s="8" t="s">
        <v>176</v>
      </c>
      <c r="D71" s="8" t="s">
        <v>1249</v>
      </c>
      <c r="E71" s="11" t="s">
        <v>946</v>
      </c>
      <c r="F71" s="8" t="s">
        <v>940</v>
      </c>
      <c r="G71" s="8" t="s">
        <v>1250</v>
      </c>
      <c r="H71" s="10" t="n">
        <v>12000</v>
      </c>
      <c r="I71" s="10" t="n">
        <v>28000</v>
      </c>
      <c r="J71" s="8" t="s">
        <v>980</v>
      </c>
      <c r="K71" s="8" t="s">
        <v>1251</v>
      </c>
      <c r="L71" s="8" t="s">
        <v>912</v>
      </c>
    </row>
    <row r="72" customFormat="false" ht="15" hidden="false" customHeight="false" outlineLevel="0" collapsed="false">
      <c r="A72" s="8" t="s">
        <v>1252</v>
      </c>
      <c r="B72" s="11" t="s">
        <v>185</v>
      </c>
      <c r="C72" s="8" t="s">
        <v>186</v>
      </c>
      <c r="D72" s="8" t="s">
        <v>1253</v>
      </c>
      <c r="E72" s="11" t="s">
        <v>907</v>
      </c>
      <c r="F72" s="8" t="s">
        <v>908</v>
      </c>
      <c r="G72" s="8" t="s">
        <v>1254</v>
      </c>
      <c r="H72" s="10" t="n">
        <v>600</v>
      </c>
      <c r="I72" s="10" t="n">
        <v>2000</v>
      </c>
      <c r="J72" s="8" t="s">
        <v>910</v>
      </c>
      <c r="K72" s="8" t="s">
        <v>1255</v>
      </c>
      <c r="L72" s="8" t="s">
        <v>912</v>
      </c>
    </row>
    <row r="73" customFormat="false" ht="15" hidden="false" customHeight="false" outlineLevel="0" collapsed="false">
      <c r="A73" s="8" t="s">
        <v>1256</v>
      </c>
      <c r="B73" s="11" t="s">
        <v>185</v>
      </c>
      <c r="C73" s="8" t="s">
        <v>186</v>
      </c>
      <c r="D73" s="8" t="s">
        <v>1257</v>
      </c>
      <c r="E73" s="11" t="s">
        <v>907</v>
      </c>
      <c r="F73" s="8" t="s">
        <v>928</v>
      </c>
      <c r="G73" s="8" t="s">
        <v>1258</v>
      </c>
      <c r="H73" s="10" t="n">
        <v>2500</v>
      </c>
      <c r="I73" s="10" t="n">
        <v>5500</v>
      </c>
      <c r="J73" s="8" t="s">
        <v>1259</v>
      </c>
      <c r="K73" s="8" t="s">
        <v>1260</v>
      </c>
      <c r="L73" s="8" t="s">
        <v>912</v>
      </c>
    </row>
    <row r="74" customFormat="false" ht="15" hidden="false" customHeight="false" outlineLevel="0" collapsed="false">
      <c r="A74" s="8" t="s">
        <v>1261</v>
      </c>
      <c r="B74" s="11" t="s">
        <v>185</v>
      </c>
      <c r="C74" s="8" t="s">
        <v>186</v>
      </c>
      <c r="D74" s="8" t="s">
        <v>1262</v>
      </c>
      <c r="E74" s="11" t="s">
        <v>921</v>
      </c>
      <c r="F74" s="8" t="s">
        <v>1263</v>
      </c>
      <c r="G74" s="8" t="s">
        <v>711</v>
      </c>
      <c r="H74" s="10" t="n">
        <v>3500</v>
      </c>
      <c r="I74" s="10" t="n">
        <v>7000</v>
      </c>
      <c r="J74" s="8" t="s">
        <v>1264</v>
      </c>
      <c r="K74" s="8" t="s">
        <v>1265</v>
      </c>
      <c r="L74" s="8" t="s">
        <v>912</v>
      </c>
    </row>
    <row r="75" customFormat="false" ht="15" hidden="false" customHeight="false" outlineLevel="0" collapsed="false">
      <c r="A75" s="8" t="s">
        <v>1266</v>
      </c>
      <c r="B75" s="11" t="s">
        <v>185</v>
      </c>
      <c r="C75" s="8" t="s">
        <v>186</v>
      </c>
      <c r="D75" s="8" t="s">
        <v>1267</v>
      </c>
      <c r="E75" s="11" t="s">
        <v>934</v>
      </c>
      <c r="F75" s="8" t="s">
        <v>1003</v>
      </c>
      <c r="G75" s="8" t="s">
        <v>1268</v>
      </c>
      <c r="H75" s="10" t="n">
        <v>6000</v>
      </c>
      <c r="I75" s="10" t="n">
        <v>14000</v>
      </c>
      <c r="J75" s="8" t="s">
        <v>1015</v>
      </c>
      <c r="K75" s="8" t="s">
        <v>1269</v>
      </c>
      <c r="L75" s="8" t="s">
        <v>912</v>
      </c>
    </row>
    <row r="76" customFormat="false" ht="15" hidden="false" customHeight="false" outlineLevel="0" collapsed="false">
      <c r="A76" s="8" t="s">
        <v>1270</v>
      </c>
      <c r="B76" s="11" t="s">
        <v>185</v>
      </c>
      <c r="C76" s="8" t="s">
        <v>186</v>
      </c>
      <c r="D76" s="8" t="s">
        <v>1271</v>
      </c>
      <c r="E76" s="11" t="s">
        <v>934</v>
      </c>
      <c r="F76" s="8" t="s">
        <v>928</v>
      </c>
      <c r="G76" s="8" t="s">
        <v>1272</v>
      </c>
      <c r="H76" s="10" t="n">
        <v>8000</v>
      </c>
      <c r="I76" s="10" t="n">
        <v>18000</v>
      </c>
      <c r="J76" s="8" t="s">
        <v>1074</v>
      </c>
      <c r="K76" s="8" t="s">
        <v>1273</v>
      </c>
      <c r="L76" s="8" t="s">
        <v>912</v>
      </c>
    </row>
    <row r="77" customFormat="false" ht="15" hidden="false" customHeight="false" outlineLevel="0" collapsed="false">
      <c r="A77" s="8" t="s">
        <v>1274</v>
      </c>
      <c r="B77" s="11" t="s">
        <v>185</v>
      </c>
      <c r="C77" s="8" t="s">
        <v>186</v>
      </c>
      <c r="D77" s="8" t="s">
        <v>1275</v>
      </c>
      <c r="E77" s="11" t="s">
        <v>946</v>
      </c>
      <c r="F77" s="8" t="s">
        <v>1024</v>
      </c>
      <c r="G77" s="8" t="s">
        <v>1276</v>
      </c>
      <c r="H77" s="10" t="n">
        <v>18000</v>
      </c>
      <c r="I77" s="10" t="n">
        <v>45000</v>
      </c>
      <c r="J77" s="8" t="s">
        <v>980</v>
      </c>
      <c r="K77" s="8" t="s">
        <v>1277</v>
      </c>
      <c r="L77" s="8" t="s">
        <v>912</v>
      </c>
    </row>
    <row r="78" customFormat="false" ht="15" hidden="false" customHeight="false" outlineLevel="0" collapsed="false">
      <c r="A78" s="8" t="s">
        <v>1278</v>
      </c>
      <c r="B78" s="11" t="s">
        <v>195</v>
      </c>
      <c r="C78" s="8" t="s">
        <v>196</v>
      </c>
      <c r="D78" s="8" t="s">
        <v>1279</v>
      </c>
      <c r="E78" s="11" t="s">
        <v>907</v>
      </c>
      <c r="F78" s="8" t="s">
        <v>908</v>
      </c>
      <c r="G78" s="8" t="s">
        <v>1280</v>
      </c>
      <c r="H78" s="10" t="n">
        <v>600</v>
      </c>
      <c r="I78" s="10" t="n">
        <v>2000</v>
      </c>
      <c r="J78" s="8" t="s">
        <v>910</v>
      </c>
      <c r="K78" s="8" t="s">
        <v>1281</v>
      </c>
      <c r="L78" s="8" t="s">
        <v>912</v>
      </c>
    </row>
    <row r="79" customFormat="false" ht="15" hidden="false" customHeight="false" outlineLevel="0" collapsed="false">
      <c r="A79" s="8" t="s">
        <v>1282</v>
      </c>
      <c r="B79" s="11" t="s">
        <v>195</v>
      </c>
      <c r="C79" s="8" t="s">
        <v>196</v>
      </c>
      <c r="D79" s="8" t="s">
        <v>1283</v>
      </c>
      <c r="E79" s="11" t="s">
        <v>907</v>
      </c>
      <c r="F79" s="8" t="s">
        <v>1284</v>
      </c>
      <c r="G79" s="8" t="s">
        <v>1285</v>
      </c>
      <c r="H79" s="10" t="n">
        <v>0</v>
      </c>
      <c r="I79" s="10" t="n">
        <v>800</v>
      </c>
      <c r="J79" s="8" t="s">
        <v>1286</v>
      </c>
      <c r="K79" s="8" t="s">
        <v>1287</v>
      </c>
      <c r="L79" s="8" t="s">
        <v>912</v>
      </c>
    </row>
    <row r="80" customFormat="false" ht="15" hidden="false" customHeight="false" outlineLevel="0" collapsed="false">
      <c r="A80" s="8" t="s">
        <v>1288</v>
      </c>
      <c r="B80" s="11" t="s">
        <v>195</v>
      </c>
      <c r="C80" s="8" t="s">
        <v>196</v>
      </c>
      <c r="D80" s="8" t="s">
        <v>1289</v>
      </c>
      <c r="E80" s="11" t="s">
        <v>921</v>
      </c>
      <c r="F80" s="8" t="s">
        <v>928</v>
      </c>
      <c r="G80" s="8" t="s">
        <v>196</v>
      </c>
      <c r="H80" s="10" t="n">
        <v>2800</v>
      </c>
      <c r="I80" s="10" t="n">
        <v>5500</v>
      </c>
      <c r="J80" s="8" t="s">
        <v>962</v>
      </c>
      <c r="K80" s="8" t="s">
        <v>1290</v>
      </c>
      <c r="L80" s="8" t="s">
        <v>912</v>
      </c>
    </row>
    <row r="81" customFormat="false" ht="15" hidden="false" customHeight="false" outlineLevel="0" collapsed="false">
      <c r="A81" s="8" t="s">
        <v>1291</v>
      </c>
      <c r="B81" s="11" t="s">
        <v>195</v>
      </c>
      <c r="C81" s="8" t="s">
        <v>196</v>
      </c>
      <c r="D81" s="8" t="s">
        <v>1292</v>
      </c>
      <c r="E81" s="11" t="s">
        <v>921</v>
      </c>
      <c r="F81" s="8" t="s">
        <v>928</v>
      </c>
      <c r="G81" s="8" t="s">
        <v>196</v>
      </c>
      <c r="H81" s="10" t="n">
        <v>5000</v>
      </c>
      <c r="I81" s="10" t="n">
        <v>10000</v>
      </c>
      <c r="J81" s="8" t="s">
        <v>1074</v>
      </c>
      <c r="K81" s="8" t="s">
        <v>1293</v>
      </c>
      <c r="L81" s="8" t="s">
        <v>912</v>
      </c>
    </row>
    <row r="82" customFormat="false" ht="15" hidden="false" customHeight="false" outlineLevel="0" collapsed="false">
      <c r="A82" s="8" t="s">
        <v>1294</v>
      </c>
      <c r="B82" s="11" t="s">
        <v>195</v>
      </c>
      <c r="C82" s="8" t="s">
        <v>196</v>
      </c>
      <c r="D82" s="8" t="s">
        <v>1295</v>
      </c>
      <c r="E82" s="11" t="s">
        <v>934</v>
      </c>
      <c r="F82" s="8" t="s">
        <v>928</v>
      </c>
      <c r="G82" s="8" t="s">
        <v>196</v>
      </c>
      <c r="H82" s="10" t="n">
        <v>7500</v>
      </c>
      <c r="I82" s="10" t="n">
        <v>15000</v>
      </c>
      <c r="J82" s="8" t="s">
        <v>1116</v>
      </c>
      <c r="K82" s="8" t="s">
        <v>1296</v>
      </c>
      <c r="L82" s="8" t="s">
        <v>912</v>
      </c>
    </row>
    <row r="83" customFormat="false" ht="15" hidden="false" customHeight="false" outlineLevel="0" collapsed="false">
      <c r="A83" s="8" t="s">
        <v>1297</v>
      </c>
      <c r="B83" s="11" t="s">
        <v>195</v>
      </c>
      <c r="C83" s="8" t="s">
        <v>196</v>
      </c>
      <c r="D83" s="8" t="s">
        <v>1298</v>
      </c>
      <c r="E83" s="11" t="s">
        <v>946</v>
      </c>
      <c r="F83" s="8" t="s">
        <v>1299</v>
      </c>
      <c r="G83" s="8" t="s">
        <v>196</v>
      </c>
      <c r="H83" s="10" t="n">
        <v>14000</v>
      </c>
      <c r="I83" s="10" t="n">
        <v>35000</v>
      </c>
      <c r="J83" s="8" t="s">
        <v>1300</v>
      </c>
      <c r="K83" s="8" t="s">
        <v>1301</v>
      </c>
      <c r="L83" s="8" t="s">
        <v>912</v>
      </c>
    </row>
    <row r="84" customFormat="false" ht="15" hidden="false" customHeight="false" outlineLevel="0" collapsed="false">
      <c r="A84" s="8" t="s">
        <v>1302</v>
      </c>
      <c r="B84" s="11" t="s">
        <v>206</v>
      </c>
      <c r="C84" s="8" t="s">
        <v>207</v>
      </c>
      <c r="D84" s="8" t="s">
        <v>1303</v>
      </c>
      <c r="E84" s="11" t="s">
        <v>907</v>
      </c>
      <c r="F84" s="8" t="s">
        <v>908</v>
      </c>
      <c r="G84" s="8" t="s">
        <v>1304</v>
      </c>
      <c r="H84" s="10" t="n">
        <v>600</v>
      </c>
      <c r="I84" s="10" t="n">
        <v>2000</v>
      </c>
      <c r="J84" s="8" t="s">
        <v>910</v>
      </c>
      <c r="K84" s="8" t="s">
        <v>1305</v>
      </c>
      <c r="L84" s="8" t="s">
        <v>912</v>
      </c>
    </row>
    <row r="85" customFormat="false" ht="15" hidden="false" customHeight="false" outlineLevel="0" collapsed="false">
      <c r="A85" s="8" t="s">
        <v>1306</v>
      </c>
      <c r="B85" s="11" t="s">
        <v>206</v>
      </c>
      <c r="C85" s="8" t="s">
        <v>207</v>
      </c>
      <c r="D85" s="8" t="s">
        <v>1307</v>
      </c>
      <c r="E85" s="11" t="s">
        <v>907</v>
      </c>
      <c r="F85" s="8" t="s">
        <v>928</v>
      </c>
      <c r="G85" s="8" t="s">
        <v>1308</v>
      </c>
      <c r="H85" s="10" t="n">
        <v>1800</v>
      </c>
      <c r="I85" s="10" t="n">
        <v>3500</v>
      </c>
      <c r="J85" s="8" t="s">
        <v>1069</v>
      </c>
      <c r="K85" s="8" t="s">
        <v>1309</v>
      </c>
      <c r="L85" s="8" t="s">
        <v>912</v>
      </c>
    </row>
    <row r="86" customFormat="false" ht="15" hidden="false" customHeight="false" outlineLevel="0" collapsed="false">
      <c r="A86" s="8" t="s">
        <v>1310</v>
      </c>
      <c r="B86" s="11" t="s">
        <v>206</v>
      </c>
      <c r="C86" s="8" t="s">
        <v>207</v>
      </c>
      <c r="D86" s="8" t="s">
        <v>1311</v>
      </c>
      <c r="E86" s="11" t="s">
        <v>921</v>
      </c>
      <c r="F86" s="8" t="s">
        <v>940</v>
      </c>
      <c r="G86" s="8" t="s">
        <v>1304</v>
      </c>
      <c r="H86" s="10" t="n">
        <v>4000</v>
      </c>
      <c r="I86" s="10" t="n">
        <v>9000</v>
      </c>
      <c r="J86" s="8" t="s">
        <v>1312</v>
      </c>
      <c r="K86" s="8" t="s">
        <v>1313</v>
      </c>
      <c r="L86" s="8" t="s">
        <v>912</v>
      </c>
    </row>
    <row r="87" customFormat="false" ht="15" hidden="false" customHeight="false" outlineLevel="0" collapsed="false">
      <c r="A87" s="8" t="s">
        <v>1314</v>
      </c>
      <c r="B87" s="11" t="s">
        <v>206</v>
      </c>
      <c r="C87" s="8" t="s">
        <v>207</v>
      </c>
      <c r="D87" s="8" t="s">
        <v>1315</v>
      </c>
      <c r="E87" s="11" t="s">
        <v>921</v>
      </c>
      <c r="F87" s="8" t="s">
        <v>928</v>
      </c>
      <c r="G87" s="8" t="s">
        <v>1316</v>
      </c>
      <c r="H87" s="10" t="n">
        <v>5000</v>
      </c>
      <c r="I87" s="10" t="n">
        <v>9000</v>
      </c>
      <c r="J87" s="8" t="s">
        <v>1074</v>
      </c>
      <c r="K87" s="8" t="s">
        <v>1317</v>
      </c>
      <c r="L87" s="8" t="s">
        <v>912</v>
      </c>
    </row>
    <row r="88" customFormat="false" ht="15" hidden="false" customHeight="false" outlineLevel="0" collapsed="false">
      <c r="A88" s="8" t="s">
        <v>1318</v>
      </c>
      <c r="B88" s="11" t="s">
        <v>206</v>
      </c>
      <c r="C88" s="8" t="s">
        <v>207</v>
      </c>
      <c r="D88" s="8" t="s">
        <v>1319</v>
      </c>
      <c r="E88" s="11" t="s">
        <v>934</v>
      </c>
      <c r="F88" s="8" t="s">
        <v>928</v>
      </c>
      <c r="G88" s="8" t="s">
        <v>1304</v>
      </c>
      <c r="H88" s="10" t="n">
        <v>6500</v>
      </c>
      <c r="I88" s="10" t="n">
        <v>13000</v>
      </c>
      <c r="J88" s="8" t="s">
        <v>1320</v>
      </c>
      <c r="K88" s="8" t="s">
        <v>1321</v>
      </c>
      <c r="L88" s="8" t="s">
        <v>912</v>
      </c>
    </row>
    <row r="89" customFormat="false" ht="15" hidden="false" customHeight="false" outlineLevel="0" collapsed="false">
      <c r="A89" s="8" t="s">
        <v>1322</v>
      </c>
      <c r="B89" s="11" t="s">
        <v>206</v>
      </c>
      <c r="C89" s="8" t="s">
        <v>207</v>
      </c>
      <c r="D89" s="8" t="s">
        <v>1323</v>
      </c>
      <c r="E89" s="11" t="s">
        <v>946</v>
      </c>
      <c r="F89" s="8" t="s">
        <v>1024</v>
      </c>
      <c r="G89" s="8" t="s">
        <v>1324</v>
      </c>
      <c r="H89" s="10" t="n">
        <v>9000</v>
      </c>
      <c r="I89" s="10" t="n">
        <v>25000</v>
      </c>
      <c r="J89" s="8" t="s">
        <v>1325</v>
      </c>
      <c r="K89" s="8" t="s">
        <v>1326</v>
      </c>
      <c r="L89" s="8" t="s">
        <v>912</v>
      </c>
    </row>
    <row r="90" customFormat="false" ht="15" hidden="false" customHeight="false" outlineLevel="0" collapsed="false">
      <c r="A90" s="8" t="s">
        <v>1327</v>
      </c>
      <c r="B90" s="11" t="s">
        <v>216</v>
      </c>
      <c r="C90" s="8" t="s">
        <v>217</v>
      </c>
      <c r="D90" s="8" t="s">
        <v>1328</v>
      </c>
      <c r="E90" s="11" t="s">
        <v>907</v>
      </c>
      <c r="F90" s="8" t="s">
        <v>1329</v>
      </c>
      <c r="G90" s="8" t="s">
        <v>1330</v>
      </c>
      <c r="H90" s="10" t="n">
        <v>800</v>
      </c>
      <c r="I90" s="10" t="n">
        <v>2500</v>
      </c>
      <c r="J90" s="8" t="s">
        <v>1069</v>
      </c>
      <c r="K90" s="8" t="s">
        <v>1331</v>
      </c>
      <c r="L90" s="8" t="s">
        <v>912</v>
      </c>
    </row>
    <row r="91" customFormat="false" ht="15" hidden="false" customHeight="false" outlineLevel="0" collapsed="false">
      <c r="A91" s="8" t="s">
        <v>1332</v>
      </c>
      <c r="B91" s="11" t="s">
        <v>216</v>
      </c>
      <c r="C91" s="8" t="s">
        <v>217</v>
      </c>
      <c r="D91" s="8" t="s">
        <v>1333</v>
      </c>
      <c r="E91" s="11" t="s">
        <v>907</v>
      </c>
      <c r="F91" s="8" t="s">
        <v>915</v>
      </c>
      <c r="G91" s="8" t="s">
        <v>1330</v>
      </c>
      <c r="H91" s="10" t="n">
        <v>1200</v>
      </c>
      <c r="I91" s="10" t="n">
        <v>2800</v>
      </c>
      <c r="J91" s="8" t="s">
        <v>1069</v>
      </c>
      <c r="K91" s="8" t="s">
        <v>1334</v>
      </c>
      <c r="L91" s="8" t="s">
        <v>912</v>
      </c>
    </row>
    <row r="92" customFormat="false" ht="15" hidden="false" customHeight="false" outlineLevel="0" collapsed="false">
      <c r="A92" s="8" t="s">
        <v>1335</v>
      </c>
      <c r="B92" s="11" t="s">
        <v>216</v>
      </c>
      <c r="C92" s="8" t="s">
        <v>217</v>
      </c>
      <c r="D92" s="8" t="s">
        <v>1336</v>
      </c>
      <c r="E92" s="11" t="s">
        <v>921</v>
      </c>
      <c r="F92" s="8" t="s">
        <v>928</v>
      </c>
      <c r="G92" s="8" t="s">
        <v>1337</v>
      </c>
      <c r="H92" s="10" t="n">
        <v>4000</v>
      </c>
      <c r="I92" s="10" t="n">
        <v>8000</v>
      </c>
      <c r="J92" s="8" t="s">
        <v>921</v>
      </c>
      <c r="K92" s="8" t="s">
        <v>1338</v>
      </c>
      <c r="L92" s="8" t="s">
        <v>912</v>
      </c>
    </row>
    <row r="93" customFormat="false" ht="15" hidden="false" customHeight="false" outlineLevel="0" collapsed="false">
      <c r="A93" s="8" t="s">
        <v>1339</v>
      </c>
      <c r="B93" s="11" t="s">
        <v>216</v>
      </c>
      <c r="C93" s="8" t="s">
        <v>217</v>
      </c>
      <c r="D93" s="8" t="s">
        <v>1340</v>
      </c>
      <c r="E93" s="11" t="s">
        <v>921</v>
      </c>
      <c r="F93" s="8" t="s">
        <v>1341</v>
      </c>
      <c r="G93" s="8" t="s">
        <v>1342</v>
      </c>
      <c r="H93" s="10" t="n">
        <v>2500</v>
      </c>
      <c r="I93" s="10" t="n">
        <v>6000</v>
      </c>
      <c r="J93" s="8" t="s">
        <v>1343</v>
      </c>
      <c r="K93" s="8" t="s">
        <v>1344</v>
      </c>
      <c r="L93" s="8" t="s">
        <v>912</v>
      </c>
    </row>
    <row r="94" customFormat="false" ht="15" hidden="false" customHeight="false" outlineLevel="0" collapsed="false">
      <c r="A94" s="8" t="s">
        <v>1345</v>
      </c>
      <c r="B94" s="11" t="s">
        <v>216</v>
      </c>
      <c r="C94" s="8" t="s">
        <v>217</v>
      </c>
      <c r="D94" s="8" t="s">
        <v>1346</v>
      </c>
      <c r="E94" s="11" t="s">
        <v>934</v>
      </c>
      <c r="F94" s="8" t="s">
        <v>928</v>
      </c>
      <c r="G94" s="8" t="s">
        <v>1347</v>
      </c>
      <c r="H94" s="10" t="n">
        <v>8000</v>
      </c>
      <c r="I94" s="10" t="n">
        <v>18000</v>
      </c>
      <c r="J94" s="8" t="s">
        <v>1348</v>
      </c>
      <c r="K94" s="8" t="s">
        <v>1349</v>
      </c>
      <c r="L94" s="8" t="s">
        <v>912</v>
      </c>
    </row>
    <row r="95" customFormat="false" ht="15" hidden="false" customHeight="false" outlineLevel="0" collapsed="false">
      <c r="A95" s="8" t="s">
        <v>1350</v>
      </c>
      <c r="B95" s="11" t="s">
        <v>216</v>
      </c>
      <c r="C95" s="8" t="s">
        <v>217</v>
      </c>
      <c r="D95" s="8" t="s">
        <v>1351</v>
      </c>
      <c r="E95" s="11" t="s">
        <v>946</v>
      </c>
      <c r="F95" s="8" t="s">
        <v>940</v>
      </c>
      <c r="G95" s="8" t="s">
        <v>1352</v>
      </c>
      <c r="H95" s="10" t="n">
        <v>10000</v>
      </c>
      <c r="I95" s="10" t="n">
        <v>25000</v>
      </c>
      <c r="J95" s="8" t="s">
        <v>1353</v>
      </c>
      <c r="K95" s="8" t="s">
        <v>1354</v>
      </c>
      <c r="L95" s="8" t="s">
        <v>912</v>
      </c>
    </row>
    <row r="96" customFormat="false" ht="15" hidden="false" customHeight="false" outlineLevel="0" collapsed="false">
      <c r="A96" s="8" t="s">
        <v>1355</v>
      </c>
      <c r="B96" s="11" t="s">
        <v>228</v>
      </c>
      <c r="C96" s="8" t="s">
        <v>229</v>
      </c>
      <c r="D96" s="8" t="s">
        <v>1356</v>
      </c>
      <c r="E96" s="11" t="s">
        <v>907</v>
      </c>
      <c r="F96" s="8" t="s">
        <v>908</v>
      </c>
      <c r="G96" s="8" t="s">
        <v>1357</v>
      </c>
      <c r="H96" s="10" t="n">
        <v>600</v>
      </c>
      <c r="I96" s="10" t="n">
        <v>2000</v>
      </c>
      <c r="J96" s="8" t="s">
        <v>910</v>
      </c>
      <c r="K96" s="8" t="s">
        <v>1358</v>
      </c>
      <c r="L96" s="8" t="s">
        <v>912</v>
      </c>
    </row>
    <row r="97" customFormat="false" ht="15" hidden="false" customHeight="false" outlineLevel="0" collapsed="false">
      <c r="A97" s="8" t="s">
        <v>1359</v>
      </c>
      <c r="B97" s="11" t="s">
        <v>228</v>
      </c>
      <c r="C97" s="8" t="s">
        <v>229</v>
      </c>
      <c r="D97" s="8" t="s">
        <v>1360</v>
      </c>
      <c r="E97" s="11" t="s">
        <v>907</v>
      </c>
      <c r="F97" s="8" t="s">
        <v>928</v>
      </c>
      <c r="G97" s="8" t="s">
        <v>229</v>
      </c>
      <c r="H97" s="10" t="n">
        <v>2200</v>
      </c>
      <c r="I97" s="10" t="n">
        <v>4200</v>
      </c>
      <c r="J97" s="8" t="s">
        <v>1361</v>
      </c>
      <c r="K97" s="8" t="s">
        <v>1362</v>
      </c>
      <c r="L97" s="8" t="s">
        <v>912</v>
      </c>
    </row>
    <row r="98" customFormat="false" ht="15" hidden="false" customHeight="false" outlineLevel="0" collapsed="false">
      <c r="A98" s="8" t="s">
        <v>1363</v>
      </c>
      <c r="B98" s="11" t="s">
        <v>228</v>
      </c>
      <c r="C98" s="8" t="s">
        <v>229</v>
      </c>
      <c r="D98" s="8" t="s">
        <v>1364</v>
      </c>
      <c r="E98" s="11" t="s">
        <v>921</v>
      </c>
      <c r="F98" s="8" t="s">
        <v>928</v>
      </c>
      <c r="G98" s="8" t="s">
        <v>1365</v>
      </c>
      <c r="H98" s="10" t="n">
        <v>4000</v>
      </c>
      <c r="I98" s="10" t="n">
        <v>8000</v>
      </c>
      <c r="J98" s="8" t="s">
        <v>1366</v>
      </c>
      <c r="K98" s="8" t="s">
        <v>1367</v>
      </c>
      <c r="L98" s="8" t="s">
        <v>912</v>
      </c>
    </row>
    <row r="99" customFormat="false" ht="15" hidden="false" customHeight="false" outlineLevel="0" collapsed="false">
      <c r="A99" s="8" t="s">
        <v>1368</v>
      </c>
      <c r="B99" s="11" t="s">
        <v>228</v>
      </c>
      <c r="C99" s="8" t="s">
        <v>229</v>
      </c>
      <c r="D99" s="8" t="s">
        <v>1369</v>
      </c>
      <c r="E99" s="11" t="s">
        <v>921</v>
      </c>
      <c r="F99" s="8" t="s">
        <v>928</v>
      </c>
      <c r="G99" s="8" t="s">
        <v>1370</v>
      </c>
      <c r="H99" s="10" t="n">
        <v>5000</v>
      </c>
      <c r="I99" s="10" t="n">
        <v>10000</v>
      </c>
      <c r="J99" s="8" t="s">
        <v>1320</v>
      </c>
      <c r="K99" s="8" t="s">
        <v>1293</v>
      </c>
      <c r="L99" s="8" t="s">
        <v>912</v>
      </c>
    </row>
    <row r="100" customFormat="false" ht="15" hidden="false" customHeight="false" outlineLevel="0" collapsed="false">
      <c r="A100" s="8" t="s">
        <v>1371</v>
      </c>
      <c r="B100" s="11" t="s">
        <v>228</v>
      </c>
      <c r="C100" s="8" t="s">
        <v>229</v>
      </c>
      <c r="D100" s="8" t="s">
        <v>1372</v>
      </c>
      <c r="E100" s="11" t="s">
        <v>934</v>
      </c>
      <c r="F100" s="8" t="s">
        <v>940</v>
      </c>
      <c r="G100" s="8" t="s">
        <v>1373</v>
      </c>
      <c r="H100" s="10" t="n">
        <v>8000</v>
      </c>
      <c r="I100" s="10" t="n">
        <v>18000</v>
      </c>
      <c r="J100" s="8" t="s">
        <v>1374</v>
      </c>
      <c r="K100" s="8" t="s">
        <v>1375</v>
      </c>
      <c r="L100" s="8" t="s">
        <v>912</v>
      </c>
    </row>
    <row r="101" customFormat="false" ht="15" hidden="false" customHeight="false" outlineLevel="0" collapsed="false">
      <c r="A101" s="8" t="s">
        <v>1376</v>
      </c>
      <c r="B101" s="11" t="s">
        <v>228</v>
      </c>
      <c r="C101" s="8" t="s">
        <v>229</v>
      </c>
      <c r="D101" s="8" t="s">
        <v>1377</v>
      </c>
      <c r="E101" s="11" t="s">
        <v>934</v>
      </c>
      <c r="F101" s="8" t="s">
        <v>940</v>
      </c>
      <c r="G101" s="8" t="s">
        <v>229</v>
      </c>
      <c r="H101" s="10" t="n">
        <v>9000</v>
      </c>
      <c r="I101" s="10" t="n">
        <v>20000</v>
      </c>
      <c r="J101" s="8" t="s">
        <v>1374</v>
      </c>
      <c r="K101" s="8" t="s">
        <v>1378</v>
      </c>
      <c r="L101" s="8" t="s">
        <v>912</v>
      </c>
    </row>
    <row r="102" customFormat="false" ht="15" hidden="false" customHeight="false" outlineLevel="0" collapsed="false">
      <c r="A102" s="8" t="s">
        <v>1379</v>
      </c>
      <c r="B102" s="11" t="s">
        <v>228</v>
      </c>
      <c r="C102" s="8" t="s">
        <v>229</v>
      </c>
      <c r="D102" s="8" t="s">
        <v>1380</v>
      </c>
      <c r="E102" s="11" t="s">
        <v>946</v>
      </c>
      <c r="F102" s="8" t="s">
        <v>1381</v>
      </c>
      <c r="G102" s="8" t="s">
        <v>1382</v>
      </c>
      <c r="H102" s="10" t="n">
        <v>25000</v>
      </c>
      <c r="I102" s="10" t="n">
        <v>60000</v>
      </c>
      <c r="J102" s="8" t="s">
        <v>1383</v>
      </c>
      <c r="K102" s="8" t="s">
        <v>1384</v>
      </c>
      <c r="L102" s="8" t="s">
        <v>912</v>
      </c>
    </row>
  </sheetData>
  <autoFilter ref="A1:L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32"/>
    <col collapsed="false" customWidth="true" hidden="false" outlineLevel="0" max="12" min="12" style="0" width="44"/>
    <col collapsed="false" customWidth="true" hidden="false" outlineLevel="0" max="13" min="13" style="0" width="20"/>
  </cols>
  <sheetData>
    <row r="1" customFormat="false" ht="31.5" hidden="false" customHeight="true" outlineLevel="0" collapsed="false">
      <c r="A1" s="7" t="s">
        <v>1385</v>
      </c>
      <c r="B1" s="7" t="s">
        <v>52</v>
      </c>
      <c r="C1" s="7" t="s">
        <v>53</v>
      </c>
      <c r="D1" s="7" t="s">
        <v>896</v>
      </c>
      <c r="E1" s="7" t="s">
        <v>1386</v>
      </c>
      <c r="F1" s="7" t="s">
        <v>898</v>
      </c>
      <c r="G1" s="7" t="s">
        <v>1387</v>
      </c>
      <c r="H1" s="7" t="s">
        <v>1388</v>
      </c>
      <c r="I1" s="7" t="s">
        <v>1389</v>
      </c>
      <c r="J1" s="7" t="s">
        <v>1390</v>
      </c>
      <c r="K1" s="7" t="s">
        <v>1391</v>
      </c>
      <c r="L1" s="7" t="s">
        <v>903</v>
      </c>
      <c r="M1" s="7" t="s">
        <v>904</v>
      </c>
    </row>
    <row r="2" customFormat="false" ht="15" hidden="false" customHeight="false" outlineLevel="0" collapsed="false">
      <c r="A2" s="8" t="s">
        <v>1392</v>
      </c>
      <c r="B2" s="11" t="s">
        <v>74</v>
      </c>
      <c r="C2" s="8" t="s">
        <v>75</v>
      </c>
      <c r="D2" s="8" t="s">
        <v>1393</v>
      </c>
      <c r="E2" s="8" t="s">
        <v>1394</v>
      </c>
      <c r="F2" s="8" t="s">
        <v>1395</v>
      </c>
      <c r="G2" s="8" t="s">
        <v>1396</v>
      </c>
      <c r="H2" s="10" t="n">
        <v>600</v>
      </c>
      <c r="I2" s="10" t="n">
        <v>1000</v>
      </c>
      <c r="J2" s="8" t="s">
        <v>1397</v>
      </c>
      <c r="K2" s="8" t="s">
        <v>1398</v>
      </c>
      <c r="L2" s="8" t="s">
        <v>1399</v>
      </c>
      <c r="M2" s="8" t="s">
        <v>912</v>
      </c>
    </row>
    <row r="3" customFormat="false" ht="15" hidden="false" customHeight="false" outlineLevel="0" collapsed="false">
      <c r="A3" s="8" t="s">
        <v>1400</v>
      </c>
      <c r="B3" s="11" t="s">
        <v>74</v>
      </c>
      <c r="C3" s="8" t="s">
        <v>75</v>
      </c>
      <c r="D3" s="8" t="s">
        <v>1401</v>
      </c>
      <c r="E3" s="8" t="s">
        <v>1402</v>
      </c>
      <c r="F3" s="8" t="s">
        <v>1403</v>
      </c>
      <c r="G3" s="8" t="s">
        <v>1404</v>
      </c>
      <c r="H3" s="10" t="n">
        <v>150</v>
      </c>
      <c r="I3" s="10" t="n">
        <v>400</v>
      </c>
      <c r="J3" s="8" t="s">
        <v>1405</v>
      </c>
      <c r="K3" s="8" t="s">
        <v>1406</v>
      </c>
      <c r="L3" s="8" t="s">
        <v>1407</v>
      </c>
      <c r="M3" s="8" t="s">
        <v>912</v>
      </c>
    </row>
    <row r="4" customFormat="false" ht="15" hidden="false" customHeight="false" outlineLevel="0" collapsed="false">
      <c r="A4" s="8" t="s">
        <v>1408</v>
      </c>
      <c r="B4" s="11" t="s">
        <v>74</v>
      </c>
      <c r="C4" s="8" t="s">
        <v>75</v>
      </c>
      <c r="D4" s="8" t="s">
        <v>1409</v>
      </c>
      <c r="E4" s="8" t="s">
        <v>1410</v>
      </c>
      <c r="F4" s="8" t="s">
        <v>1411</v>
      </c>
      <c r="G4" s="8" t="s">
        <v>1412</v>
      </c>
      <c r="H4" s="10" t="n">
        <v>80</v>
      </c>
      <c r="I4" s="10" t="n">
        <v>200</v>
      </c>
      <c r="J4" s="8" t="s">
        <v>1405</v>
      </c>
      <c r="K4" s="8" t="s">
        <v>1413</v>
      </c>
      <c r="L4" s="8" t="s">
        <v>1414</v>
      </c>
      <c r="M4" s="8" t="s">
        <v>912</v>
      </c>
    </row>
    <row r="5" customFormat="false" ht="15" hidden="false" customHeight="false" outlineLevel="0" collapsed="false">
      <c r="A5" s="8" t="s">
        <v>1415</v>
      </c>
      <c r="B5" s="11" t="s">
        <v>74</v>
      </c>
      <c r="C5" s="8" t="s">
        <v>75</v>
      </c>
      <c r="D5" s="8" t="s">
        <v>1416</v>
      </c>
      <c r="E5" s="8" t="s">
        <v>1417</v>
      </c>
      <c r="F5" s="8" t="s">
        <v>1418</v>
      </c>
      <c r="G5" s="8" t="s">
        <v>1419</v>
      </c>
      <c r="H5" s="10" t="n">
        <v>600</v>
      </c>
      <c r="I5" s="10" t="n">
        <v>1000</v>
      </c>
      <c r="J5" s="8" t="s">
        <v>1405</v>
      </c>
      <c r="K5" s="8" t="s">
        <v>1420</v>
      </c>
      <c r="L5" s="8" t="s">
        <v>1421</v>
      </c>
      <c r="M5" s="8" t="s">
        <v>912</v>
      </c>
    </row>
    <row r="6" customFormat="false" ht="15" hidden="false" customHeight="false" outlineLevel="0" collapsed="false">
      <c r="A6" s="8" t="s">
        <v>1422</v>
      </c>
      <c r="B6" s="11" t="s">
        <v>74</v>
      </c>
      <c r="C6" s="8" t="s">
        <v>75</v>
      </c>
      <c r="D6" s="8" t="s">
        <v>1423</v>
      </c>
      <c r="E6" s="8" t="s">
        <v>1424</v>
      </c>
      <c r="F6" s="8" t="s">
        <v>1425</v>
      </c>
      <c r="G6" s="8" t="s">
        <v>1426</v>
      </c>
      <c r="H6" s="10" t="n">
        <v>300</v>
      </c>
      <c r="I6" s="10" t="n">
        <v>500</v>
      </c>
      <c r="J6" s="8" t="s">
        <v>1427</v>
      </c>
      <c r="K6" s="8" t="s">
        <v>1428</v>
      </c>
      <c r="L6" s="8" t="s">
        <v>1429</v>
      </c>
      <c r="M6" s="8" t="s">
        <v>912</v>
      </c>
    </row>
    <row r="7" customFormat="false" ht="15" hidden="false" customHeight="false" outlineLevel="0" collapsed="false">
      <c r="A7" s="8" t="s">
        <v>1430</v>
      </c>
      <c r="B7" s="11" t="s">
        <v>74</v>
      </c>
      <c r="C7" s="8" t="s">
        <v>75</v>
      </c>
      <c r="D7" s="8" t="s">
        <v>1431</v>
      </c>
      <c r="E7" s="8" t="s">
        <v>1432</v>
      </c>
      <c r="F7" s="8" t="s">
        <v>1433</v>
      </c>
      <c r="G7" s="8" t="s">
        <v>1434</v>
      </c>
      <c r="H7" s="10" t="n">
        <v>9000</v>
      </c>
      <c r="I7" s="10" t="n">
        <v>14000</v>
      </c>
      <c r="J7" s="8" t="s">
        <v>1435</v>
      </c>
      <c r="K7" s="8" t="s">
        <v>1436</v>
      </c>
      <c r="L7" s="8" t="s">
        <v>1437</v>
      </c>
      <c r="M7" s="8" t="s">
        <v>912</v>
      </c>
    </row>
    <row r="8" customFormat="false" ht="15" hidden="false" customHeight="false" outlineLevel="0" collapsed="false">
      <c r="A8" s="8" t="s">
        <v>1438</v>
      </c>
      <c r="B8" s="11" t="s">
        <v>74</v>
      </c>
      <c r="C8" s="8" t="s">
        <v>75</v>
      </c>
      <c r="D8" s="8" t="s">
        <v>1439</v>
      </c>
      <c r="E8" s="8" t="s">
        <v>1440</v>
      </c>
      <c r="F8" s="8" t="s">
        <v>1433</v>
      </c>
      <c r="G8" s="8" t="s">
        <v>1441</v>
      </c>
      <c r="H8" s="10" t="n">
        <v>15000</v>
      </c>
      <c r="I8" s="10" t="n">
        <v>22000</v>
      </c>
      <c r="J8" s="8" t="s">
        <v>1427</v>
      </c>
      <c r="K8" s="8" t="s">
        <v>1442</v>
      </c>
      <c r="L8" s="8" t="s">
        <v>1443</v>
      </c>
      <c r="M8" s="8" t="s">
        <v>912</v>
      </c>
    </row>
    <row r="9" customFormat="false" ht="15" hidden="false" customHeight="false" outlineLevel="0" collapsed="false">
      <c r="A9" s="8" t="s">
        <v>1444</v>
      </c>
      <c r="B9" s="11" t="s">
        <v>86</v>
      </c>
      <c r="C9" s="8" t="s">
        <v>87</v>
      </c>
      <c r="D9" s="8" t="s">
        <v>1445</v>
      </c>
      <c r="E9" s="8" t="s">
        <v>1446</v>
      </c>
      <c r="F9" s="8" t="s">
        <v>1447</v>
      </c>
      <c r="G9" s="8" t="s">
        <v>1448</v>
      </c>
      <c r="H9" s="10" t="n">
        <v>300</v>
      </c>
      <c r="I9" s="10" t="n">
        <v>600</v>
      </c>
      <c r="J9" s="8" t="s">
        <v>1449</v>
      </c>
      <c r="K9" s="8" t="s">
        <v>1450</v>
      </c>
      <c r="L9" s="8" t="s">
        <v>1451</v>
      </c>
      <c r="M9" s="8" t="s">
        <v>912</v>
      </c>
    </row>
    <row r="10" customFormat="false" ht="15" hidden="false" customHeight="false" outlineLevel="0" collapsed="false">
      <c r="A10" s="8" t="s">
        <v>1452</v>
      </c>
      <c r="B10" s="11" t="s">
        <v>86</v>
      </c>
      <c r="C10" s="8" t="s">
        <v>87</v>
      </c>
      <c r="D10" s="8" t="s">
        <v>1453</v>
      </c>
      <c r="E10" s="8" t="s">
        <v>1454</v>
      </c>
      <c r="F10" s="8" t="s">
        <v>1455</v>
      </c>
      <c r="G10" s="8" t="s">
        <v>961</v>
      </c>
      <c r="H10" s="10" t="n">
        <v>1000</v>
      </c>
      <c r="I10" s="10" t="n">
        <v>1800</v>
      </c>
      <c r="J10" s="8" t="s">
        <v>1427</v>
      </c>
      <c r="K10" s="8" t="s">
        <v>1456</v>
      </c>
      <c r="L10" s="8" t="s">
        <v>1457</v>
      </c>
      <c r="M10" s="8" t="s">
        <v>912</v>
      </c>
    </row>
    <row r="11" customFormat="false" ht="15" hidden="false" customHeight="false" outlineLevel="0" collapsed="false">
      <c r="A11" s="8" t="s">
        <v>1458</v>
      </c>
      <c r="B11" s="11" t="s">
        <v>86</v>
      </c>
      <c r="C11" s="8" t="s">
        <v>87</v>
      </c>
      <c r="D11" s="8" t="s">
        <v>1459</v>
      </c>
      <c r="E11" s="8" t="s">
        <v>1460</v>
      </c>
      <c r="F11" s="8" t="s">
        <v>1411</v>
      </c>
      <c r="G11" s="8" t="s">
        <v>1461</v>
      </c>
      <c r="H11" s="10" t="n">
        <v>100</v>
      </c>
      <c r="I11" s="10" t="n">
        <v>400</v>
      </c>
      <c r="J11" s="8" t="s">
        <v>1405</v>
      </c>
      <c r="K11" s="8" t="s">
        <v>1462</v>
      </c>
      <c r="L11" s="8" t="s">
        <v>1463</v>
      </c>
      <c r="M11" s="8" t="s">
        <v>912</v>
      </c>
    </row>
    <row r="12" customFormat="false" ht="23.85" hidden="false" customHeight="false" outlineLevel="0" collapsed="false">
      <c r="A12" s="8" t="s">
        <v>1464</v>
      </c>
      <c r="B12" s="11" t="s">
        <v>86</v>
      </c>
      <c r="C12" s="8" t="s">
        <v>87</v>
      </c>
      <c r="D12" s="8" t="s">
        <v>1465</v>
      </c>
      <c r="E12" s="8" t="s">
        <v>1447</v>
      </c>
      <c r="F12" s="8" t="s">
        <v>1466</v>
      </c>
      <c r="G12" s="8" t="s">
        <v>961</v>
      </c>
      <c r="H12" s="10" t="n">
        <v>300</v>
      </c>
      <c r="I12" s="10" t="n">
        <v>700</v>
      </c>
      <c r="J12" s="8" t="s">
        <v>1427</v>
      </c>
      <c r="K12" s="8" t="s">
        <v>1467</v>
      </c>
      <c r="L12" s="8" t="s">
        <v>1468</v>
      </c>
      <c r="M12" s="8" t="s">
        <v>912</v>
      </c>
    </row>
    <row r="13" customFormat="false" ht="15" hidden="false" customHeight="false" outlineLevel="0" collapsed="false">
      <c r="A13" s="8" t="s">
        <v>1469</v>
      </c>
      <c r="B13" s="11" t="s">
        <v>86</v>
      </c>
      <c r="C13" s="8" t="s">
        <v>87</v>
      </c>
      <c r="D13" s="8" t="s">
        <v>1470</v>
      </c>
      <c r="E13" s="8" t="s">
        <v>1432</v>
      </c>
      <c r="F13" s="8" t="s">
        <v>1433</v>
      </c>
      <c r="G13" s="8" t="s">
        <v>971</v>
      </c>
      <c r="H13" s="10" t="n">
        <v>6000</v>
      </c>
      <c r="I13" s="10" t="n">
        <v>9000</v>
      </c>
      <c r="J13" s="8" t="s">
        <v>1435</v>
      </c>
      <c r="K13" s="8" t="s">
        <v>1471</v>
      </c>
      <c r="L13" s="8" t="s">
        <v>1472</v>
      </c>
      <c r="M13" s="8" t="s">
        <v>912</v>
      </c>
    </row>
    <row r="14" customFormat="false" ht="15" hidden="false" customHeight="false" outlineLevel="0" collapsed="false">
      <c r="A14" s="8" t="s">
        <v>1473</v>
      </c>
      <c r="B14" s="11" t="s">
        <v>86</v>
      </c>
      <c r="C14" s="8" t="s">
        <v>87</v>
      </c>
      <c r="D14" s="8" t="s">
        <v>1474</v>
      </c>
      <c r="E14" s="8" t="s">
        <v>1475</v>
      </c>
      <c r="F14" s="8" t="s">
        <v>1433</v>
      </c>
      <c r="G14" s="8" t="s">
        <v>971</v>
      </c>
      <c r="H14" s="10" t="n">
        <v>12000</v>
      </c>
      <c r="I14" s="10" t="n">
        <v>20000</v>
      </c>
      <c r="J14" s="8" t="s">
        <v>1427</v>
      </c>
      <c r="K14" s="8" t="s">
        <v>1476</v>
      </c>
      <c r="L14" s="8" t="s">
        <v>1477</v>
      </c>
      <c r="M14" s="8" t="s">
        <v>912</v>
      </c>
    </row>
    <row r="15" customFormat="false" ht="15" hidden="false" customHeight="false" outlineLevel="0" collapsed="false">
      <c r="A15" s="8" t="s">
        <v>1478</v>
      </c>
      <c r="B15" s="11" t="s">
        <v>97</v>
      </c>
      <c r="C15" s="8" t="s">
        <v>98</v>
      </c>
      <c r="D15" s="8" t="s">
        <v>1479</v>
      </c>
      <c r="E15" s="8" t="s">
        <v>1480</v>
      </c>
      <c r="F15" s="8" t="s">
        <v>1481</v>
      </c>
      <c r="G15" s="8" t="s">
        <v>1482</v>
      </c>
      <c r="H15" s="10" t="n">
        <v>600</v>
      </c>
      <c r="I15" s="10" t="n">
        <v>1000</v>
      </c>
      <c r="J15" s="8" t="s">
        <v>1405</v>
      </c>
      <c r="K15" s="8" t="s">
        <v>1483</v>
      </c>
      <c r="L15" s="8" t="s">
        <v>1484</v>
      </c>
      <c r="M15" s="8" t="s">
        <v>912</v>
      </c>
    </row>
    <row r="16" customFormat="false" ht="15" hidden="false" customHeight="false" outlineLevel="0" collapsed="false">
      <c r="A16" s="8" t="s">
        <v>1485</v>
      </c>
      <c r="B16" s="11" t="s">
        <v>97</v>
      </c>
      <c r="C16" s="8" t="s">
        <v>98</v>
      </c>
      <c r="D16" s="8" t="s">
        <v>1486</v>
      </c>
      <c r="E16" s="8" t="s">
        <v>1487</v>
      </c>
      <c r="F16" s="8" t="s">
        <v>1411</v>
      </c>
      <c r="G16" s="8" t="s">
        <v>1488</v>
      </c>
      <c r="H16" s="10" t="n">
        <v>100</v>
      </c>
      <c r="I16" s="10" t="n">
        <v>250</v>
      </c>
      <c r="J16" s="8" t="s">
        <v>1405</v>
      </c>
      <c r="K16" s="8" t="s">
        <v>1489</v>
      </c>
      <c r="L16" s="8" t="s">
        <v>1490</v>
      </c>
      <c r="M16" s="8" t="s">
        <v>912</v>
      </c>
    </row>
    <row r="17" customFormat="false" ht="15" hidden="false" customHeight="false" outlineLevel="0" collapsed="false">
      <c r="A17" s="8" t="s">
        <v>1491</v>
      </c>
      <c r="B17" s="11" t="s">
        <v>97</v>
      </c>
      <c r="C17" s="8" t="s">
        <v>98</v>
      </c>
      <c r="D17" s="8" t="s">
        <v>1492</v>
      </c>
      <c r="E17" s="8" t="s">
        <v>1493</v>
      </c>
      <c r="F17" s="8" t="s">
        <v>1455</v>
      </c>
      <c r="G17" s="8" t="s">
        <v>1494</v>
      </c>
      <c r="H17" s="10" t="n">
        <v>800</v>
      </c>
      <c r="I17" s="10" t="n">
        <v>1400</v>
      </c>
      <c r="J17" s="8" t="s">
        <v>1495</v>
      </c>
      <c r="K17" s="8" t="s">
        <v>1496</v>
      </c>
      <c r="L17" s="8" t="s">
        <v>1497</v>
      </c>
      <c r="M17" s="8" t="s">
        <v>912</v>
      </c>
    </row>
    <row r="18" customFormat="false" ht="15" hidden="false" customHeight="false" outlineLevel="0" collapsed="false">
      <c r="A18" s="8" t="s">
        <v>1498</v>
      </c>
      <c r="B18" s="11" t="s">
        <v>97</v>
      </c>
      <c r="C18" s="8" t="s">
        <v>98</v>
      </c>
      <c r="D18" s="8" t="s">
        <v>1499</v>
      </c>
      <c r="E18" s="8" t="s">
        <v>1447</v>
      </c>
      <c r="F18" s="8" t="s">
        <v>1447</v>
      </c>
      <c r="G18" s="8" t="s">
        <v>1500</v>
      </c>
      <c r="H18" s="10" t="n">
        <v>500</v>
      </c>
      <c r="I18" s="10" t="n">
        <v>900</v>
      </c>
      <c r="J18" s="8" t="s">
        <v>1427</v>
      </c>
      <c r="K18" s="8" t="s">
        <v>1501</v>
      </c>
      <c r="L18" s="8" t="s">
        <v>1502</v>
      </c>
      <c r="M18" s="8" t="s">
        <v>912</v>
      </c>
    </row>
    <row r="19" customFormat="false" ht="15" hidden="false" customHeight="false" outlineLevel="0" collapsed="false">
      <c r="A19" s="8" t="s">
        <v>1503</v>
      </c>
      <c r="B19" s="11" t="s">
        <v>97</v>
      </c>
      <c r="C19" s="8" t="s">
        <v>98</v>
      </c>
      <c r="D19" s="8" t="s">
        <v>1504</v>
      </c>
      <c r="E19" s="8" t="s">
        <v>1505</v>
      </c>
      <c r="F19" s="8" t="s">
        <v>1506</v>
      </c>
      <c r="G19" s="8" t="s">
        <v>1507</v>
      </c>
      <c r="H19" s="10" t="n">
        <v>800</v>
      </c>
      <c r="I19" s="10" t="n">
        <v>1400</v>
      </c>
      <c r="J19" s="8" t="s">
        <v>1427</v>
      </c>
      <c r="K19" s="8" t="s">
        <v>1508</v>
      </c>
      <c r="L19" s="8" t="s">
        <v>1509</v>
      </c>
      <c r="M19" s="8" t="s">
        <v>912</v>
      </c>
    </row>
    <row r="20" customFormat="false" ht="23.85" hidden="false" customHeight="false" outlineLevel="0" collapsed="false">
      <c r="A20" s="8" t="s">
        <v>1510</v>
      </c>
      <c r="B20" s="11" t="s">
        <v>97</v>
      </c>
      <c r="C20" s="8" t="s">
        <v>98</v>
      </c>
      <c r="D20" s="8" t="s">
        <v>1511</v>
      </c>
      <c r="E20" s="8" t="s">
        <v>1512</v>
      </c>
      <c r="F20" s="8" t="s">
        <v>1513</v>
      </c>
      <c r="G20" s="8" t="s">
        <v>1514</v>
      </c>
      <c r="H20" s="10" t="n">
        <v>1800</v>
      </c>
      <c r="I20" s="10" t="n">
        <v>3500</v>
      </c>
      <c r="J20" s="8" t="s">
        <v>1405</v>
      </c>
      <c r="K20" s="8" t="s">
        <v>1515</v>
      </c>
      <c r="L20" s="8" t="s">
        <v>1516</v>
      </c>
      <c r="M20" s="8" t="s">
        <v>912</v>
      </c>
    </row>
    <row r="21" customFormat="false" ht="15" hidden="false" customHeight="false" outlineLevel="0" collapsed="false">
      <c r="A21" s="8" t="s">
        <v>1517</v>
      </c>
      <c r="B21" s="11" t="s">
        <v>97</v>
      </c>
      <c r="C21" s="8" t="s">
        <v>98</v>
      </c>
      <c r="D21" s="8" t="s">
        <v>1518</v>
      </c>
      <c r="E21" s="8" t="s">
        <v>1519</v>
      </c>
      <c r="F21" s="8" t="s">
        <v>1433</v>
      </c>
      <c r="G21" s="8" t="s">
        <v>1520</v>
      </c>
      <c r="H21" s="10" t="n">
        <v>4000</v>
      </c>
      <c r="I21" s="10" t="n">
        <v>6500</v>
      </c>
      <c r="J21" s="8" t="s">
        <v>1427</v>
      </c>
      <c r="K21" s="8" t="s">
        <v>1476</v>
      </c>
      <c r="L21" s="8" t="s">
        <v>1521</v>
      </c>
      <c r="M21" s="8" t="s">
        <v>912</v>
      </c>
    </row>
    <row r="22" customFormat="false" ht="15" hidden="false" customHeight="false" outlineLevel="0" collapsed="false">
      <c r="A22" s="8" t="s">
        <v>1522</v>
      </c>
      <c r="B22" s="11" t="s">
        <v>97</v>
      </c>
      <c r="C22" s="8" t="s">
        <v>98</v>
      </c>
      <c r="D22" s="8" t="s">
        <v>1523</v>
      </c>
      <c r="E22" s="8" t="s">
        <v>1524</v>
      </c>
      <c r="F22" s="8" t="s">
        <v>1433</v>
      </c>
      <c r="G22" s="8" t="s">
        <v>1025</v>
      </c>
      <c r="H22" s="10" t="n">
        <v>12000</v>
      </c>
      <c r="I22" s="10" t="n">
        <v>18000</v>
      </c>
      <c r="J22" s="8" t="s">
        <v>1427</v>
      </c>
      <c r="K22" s="8" t="s">
        <v>1525</v>
      </c>
      <c r="L22" s="8" t="s">
        <v>1526</v>
      </c>
      <c r="M22" s="8" t="s">
        <v>912</v>
      </c>
    </row>
    <row r="23" customFormat="false" ht="15" hidden="false" customHeight="false" outlineLevel="0" collapsed="false">
      <c r="A23" s="8" t="s">
        <v>1527</v>
      </c>
      <c r="B23" s="11" t="s">
        <v>108</v>
      </c>
      <c r="C23" s="8" t="s">
        <v>109</v>
      </c>
      <c r="D23" s="8" t="s">
        <v>1528</v>
      </c>
      <c r="E23" s="8" t="s">
        <v>1512</v>
      </c>
      <c r="F23" s="8" t="s">
        <v>1529</v>
      </c>
      <c r="G23" s="8" t="s">
        <v>1530</v>
      </c>
      <c r="H23" s="10" t="n">
        <v>300</v>
      </c>
      <c r="I23" s="10" t="n">
        <v>600</v>
      </c>
      <c r="J23" s="8" t="s">
        <v>1405</v>
      </c>
      <c r="K23" s="8" t="s">
        <v>1531</v>
      </c>
      <c r="L23" s="8" t="s">
        <v>1532</v>
      </c>
      <c r="M23" s="8" t="s">
        <v>912</v>
      </c>
    </row>
    <row r="24" customFormat="false" ht="15" hidden="false" customHeight="false" outlineLevel="0" collapsed="false">
      <c r="A24" s="8" t="s">
        <v>1533</v>
      </c>
      <c r="B24" s="11" t="s">
        <v>108</v>
      </c>
      <c r="C24" s="8" t="s">
        <v>109</v>
      </c>
      <c r="D24" s="8" t="s">
        <v>1534</v>
      </c>
      <c r="E24" s="8" t="s">
        <v>1535</v>
      </c>
      <c r="F24" s="8" t="s">
        <v>1536</v>
      </c>
      <c r="G24" s="8" t="s">
        <v>1537</v>
      </c>
      <c r="H24" s="10" t="n">
        <v>1600</v>
      </c>
      <c r="I24" s="10" t="n">
        <v>3000</v>
      </c>
      <c r="J24" s="8" t="s">
        <v>1427</v>
      </c>
      <c r="K24" s="8" t="s">
        <v>1538</v>
      </c>
      <c r="L24" s="8" t="s">
        <v>1539</v>
      </c>
      <c r="M24" s="8" t="s">
        <v>912</v>
      </c>
    </row>
    <row r="25" customFormat="false" ht="15" hidden="false" customHeight="false" outlineLevel="0" collapsed="false">
      <c r="A25" s="8" t="s">
        <v>1540</v>
      </c>
      <c r="B25" s="11" t="s">
        <v>108</v>
      </c>
      <c r="C25" s="8" t="s">
        <v>109</v>
      </c>
      <c r="D25" s="8" t="s">
        <v>1541</v>
      </c>
      <c r="E25" s="8" t="s">
        <v>1542</v>
      </c>
      <c r="F25" s="8" t="s">
        <v>1506</v>
      </c>
      <c r="G25" s="8" t="s">
        <v>1543</v>
      </c>
      <c r="H25" s="10" t="n">
        <v>2000</v>
      </c>
      <c r="I25" s="10" t="n">
        <v>3500</v>
      </c>
      <c r="J25" s="8" t="s">
        <v>1427</v>
      </c>
      <c r="K25" s="8" t="s">
        <v>1544</v>
      </c>
      <c r="L25" s="8" t="s">
        <v>1545</v>
      </c>
      <c r="M25" s="8" t="s">
        <v>912</v>
      </c>
    </row>
    <row r="26" customFormat="false" ht="15" hidden="false" customHeight="false" outlineLevel="0" collapsed="false">
      <c r="A26" s="8" t="s">
        <v>1546</v>
      </c>
      <c r="B26" s="11" t="s">
        <v>108</v>
      </c>
      <c r="C26" s="8" t="s">
        <v>109</v>
      </c>
      <c r="D26" s="8" t="s">
        <v>1547</v>
      </c>
      <c r="E26" s="8" t="s">
        <v>1447</v>
      </c>
      <c r="F26" s="8" t="s">
        <v>1447</v>
      </c>
      <c r="G26" s="8" t="s">
        <v>1548</v>
      </c>
      <c r="H26" s="10" t="n">
        <v>500</v>
      </c>
      <c r="I26" s="10" t="n">
        <v>900</v>
      </c>
      <c r="J26" s="8" t="s">
        <v>1427</v>
      </c>
      <c r="K26" s="8" t="s">
        <v>1549</v>
      </c>
      <c r="L26" s="8" t="s">
        <v>1550</v>
      </c>
      <c r="M26" s="8" t="s">
        <v>912</v>
      </c>
    </row>
    <row r="27" customFormat="false" ht="15" hidden="false" customHeight="false" outlineLevel="0" collapsed="false">
      <c r="A27" s="8" t="s">
        <v>1551</v>
      </c>
      <c r="B27" s="11" t="s">
        <v>108</v>
      </c>
      <c r="C27" s="8" t="s">
        <v>109</v>
      </c>
      <c r="D27" s="8" t="s">
        <v>1552</v>
      </c>
      <c r="E27" s="8" t="s">
        <v>1553</v>
      </c>
      <c r="F27" s="8" t="s">
        <v>1455</v>
      </c>
      <c r="G27" s="8" t="s">
        <v>109</v>
      </c>
      <c r="H27" s="10" t="n">
        <v>800</v>
      </c>
      <c r="I27" s="10" t="n">
        <v>1600</v>
      </c>
      <c r="J27" s="8" t="s">
        <v>1405</v>
      </c>
      <c r="K27" s="8" t="s">
        <v>1554</v>
      </c>
      <c r="L27" s="8" t="s">
        <v>1555</v>
      </c>
      <c r="M27" s="8" t="s">
        <v>912</v>
      </c>
    </row>
    <row r="28" customFormat="false" ht="15" hidden="false" customHeight="false" outlineLevel="0" collapsed="false">
      <c r="A28" s="8" t="s">
        <v>1556</v>
      </c>
      <c r="B28" s="11" t="s">
        <v>108</v>
      </c>
      <c r="C28" s="8" t="s">
        <v>109</v>
      </c>
      <c r="D28" s="8" t="s">
        <v>1557</v>
      </c>
      <c r="E28" s="8" t="s">
        <v>1558</v>
      </c>
      <c r="F28" s="8" t="s">
        <v>1447</v>
      </c>
      <c r="G28" s="8" t="s">
        <v>1559</v>
      </c>
      <c r="H28" s="10" t="n">
        <v>500</v>
      </c>
      <c r="I28" s="10" t="n">
        <v>1000</v>
      </c>
      <c r="J28" s="8" t="s">
        <v>1405</v>
      </c>
      <c r="K28" s="8" t="s">
        <v>1560</v>
      </c>
      <c r="L28" s="8" t="s">
        <v>1561</v>
      </c>
      <c r="M28" s="8" t="s">
        <v>912</v>
      </c>
    </row>
    <row r="29" customFormat="false" ht="15" hidden="false" customHeight="false" outlineLevel="0" collapsed="false">
      <c r="A29" s="8" t="s">
        <v>1562</v>
      </c>
      <c r="B29" s="11" t="s">
        <v>118</v>
      </c>
      <c r="C29" s="8" t="s">
        <v>119</v>
      </c>
      <c r="D29" s="8" t="s">
        <v>1563</v>
      </c>
      <c r="E29" s="8" t="s">
        <v>1564</v>
      </c>
      <c r="F29" s="8" t="s">
        <v>1565</v>
      </c>
      <c r="G29" s="8" t="s">
        <v>1566</v>
      </c>
      <c r="H29" s="10" t="n">
        <v>500</v>
      </c>
      <c r="I29" s="10" t="n">
        <v>900</v>
      </c>
      <c r="J29" s="8" t="s">
        <v>1427</v>
      </c>
      <c r="K29" s="8" t="s">
        <v>1567</v>
      </c>
      <c r="L29" s="8" t="s">
        <v>1568</v>
      </c>
      <c r="M29" s="8" t="s">
        <v>912</v>
      </c>
    </row>
    <row r="30" customFormat="false" ht="15" hidden="false" customHeight="false" outlineLevel="0" collapsed="false">
      <c r="A30" s="8" t="s">
        <v>1569</v>
      </c>
      <c r="B30" s="11" t="s">
        <v>118</v>
      </c>
      <c r="C30" s="8" t="s">
        <v>119</v>
      </c>
      <c r="D30" s="8" t="s">
        <v>1570</v>
      </c>
      <c r="E30" s="8" t="s">
        <v>1571</v>
      </c>
      <c r="F30" s="8" t="s">
        <v>1455</v>
      </c>
      <c r="G30" s="8" t="s">
        <v>1572</v>
      </c>
      <c r="H30" s="10" t="n">
        <v>500</v>
      </c>
      <c r="I30" s="10" t="n">
        <v>900</v>
      </c>
      <c r="J30" s="8" t="s">
        <v>1427</v>
      </c>
      <c r="K30" s="8" t="s">
        <v>1573</v>
      </c>
      <c r="L30" s="8" t="s">
        <v>1574</v>
      </c>
      <c r="M30" s="8" t="s">
        <v>912</v>
      </c>
    </row>
    <row r="31" customFormat="false" ht="15" hidden="false" customHeight="false" outlineLevel="0" collapsed="false">
      <c r="A31" s="8" t="s">
        <v>1575</v>
      </c>
      <c r="B31" s="11" t="s">
        <v>118</v>
      </c>
      <c r="C31" s="8" t="s">
        <v>119</v>
      </c>
      <c r="D31" s="8" t="s">
        <v>1576</v>
      </c>
      <c r="E31" s="8" t="s">
        <v>1505</v>
      </c>
      <c r="F31" s="8" t="s">
        <v>1455</v>
      </c>
      <c r="G31" s="8" t="s">
        <v>1078</v>
      </c>
      <c r="H31" s="10" t="n">
        <v>700</v>
      </c>
      <c r="I31" s="10" t="n">
        <v>1400</v>
      </c>
      <c r="J31" s="8" t="s">
        <v>1427</v>
      </c>
      <c r="K31" s="8" t="s">
        <v>1577</v>
      </c>
      <c r="L31" s="8" t="s">
        <v>1578</v>
      </c>
      <c r="M31" s="8" t="s">
        <v>912</v>
      </c>
    </row>
    <row r="32" customFormat="false" ht="15" hidden="false" customHeight="false" outlineLevel="0" collapsed="false">
      <c r="A32" s="8" t="s">
        <v>1579</v>
      </c>
      <c r="B32" s="11" t="s">
        <v>118</v>
      </c>
      <c r="C32" s="8" t="s">
        <v>119</v>
      </c>
      <c r="D32" s="8" t="s">
        <v>1580</v>
      </c>
      <c r="E32" s="8" t="s">
        <v>1581</v>
      </c>
      <c r="F32" s="8" t="s">
        <v>1582</v>
      </c>
      <c r="G32" s="8" t="s">
        <v>1078</v>
      </c>
      <c r="H32" s="10" t="n">
        <v>150</v>
      </c>
      <c r="I32" s="10" t="n">
        <v>350</v>
      </c>
      <c r="J32" s="8" t="s">
        <v>1427</v>
      </c>
      <c r="K32" s="8" t="s">
        <v>1583</v>
      </c>
      <c r="L32" s="8" t="s">
        <v>1584</v>
      </c>
      <c r="M32" s="8" t="s">
        <v>912</v>
      </c>
    </row>
    <row r="33" customFormat="false" ht="15" hidden="false" customHeight="false" outlineLevel="0" collapsed="false">
      <c r="A33" s="8" t="s">
        <v>1585</v>
      </c>
      <c r="B33" s="11" t="s">
        <v>130</v>
      </c>
      <c r="C33" s="8" t="s">
        <v>131</v>
      </c>
      <c r="D33" s="8" t="s">
        <v>1586</v>
      </c>
      <c r="E33" s="8" t="s">
        <v>1587</v>
      </c>
      <c r="F33" s="8" t="s">
        <v>1455</v>
      </c>
      <c r="G33" s="8" t="s">
        <v>1588</v>
      </c>
      <c r="H33" s="10" t="n">
        <v>1200</v>
      </c>
      <c r="I33" s="10" t="n">
        <v>1800</v>
      </c>
      <c r="J33" s="8" t="s">
        <v>1427</v>
      </c>
      <c r="K33" s="8" t="s">
        <v>1589</v>
      </c>
      <c r="L33" s="8" t="s">
        <v>1590</v>
      </c>
      <c r="M33" s="8" t="s">
        <v>912</v>
      </c>
    </row>
    <row r="34" customFormat="false" ht="15" hidden="false" customHeight="false" outlineLevel="0" collapsed="false">
      <c r="A34" s="8" t="s">
        <v>1591</v>
      </c>
      <c r="B34" s="11" t="s">
        <v>130</v>
      </c>
      <c r="C34" s="8" t="s">
        <v>131</v>
      </c>
      <c r="D34" s="8" t="s">
        <v>1592</v>
      </c>
      <c r="E34" s="8" t="s">
        <v>1505</v>
      </c>
      <c r="F34" s="8" t="s">
        <v>1455</v>
      </c>
      <c r="G34" s="8" t="s">
        <v>1593</v>
      </c>
      <c r="H34" s="10" t="n">
        <v>600</v>
      </c>
      <c r="I34" s="10" t="n">
        <v>1200</v>
      </c>
      <c r="J34" s="8" t="s">
        <v>1427</v>
      </c>
      <c r="K34" s="8" t="s">
        <v>1594</v>
      </c>
      <c r="L34" s="8" t="s">
        <v>1595</v>
      </c>
      <c r="M34" s="8" t="s">
        <v>912</v>
      </c>
    </row>
    <row r="35" customFormat="false" ht="15" hidden="false" customHeight="false" outlineLevel="0" collapsed="false">
      <c r="A35" s="8" t="s">
        <v>1596</v>
      </c>
      <c r="B35" s="11" t="s">
        <v>130</v>
      </c>
      <c r="C35" s="8" t="s">
        <v>131</v>
      </c>
      <c r="D35" s="8" t="s">
        <v>1597</v>
      </c>
      <c r="E35" s="8" t="s">
        <v>1505</v>
      </c>
      <c r="F35" s="8" t="s">
        <v>1598</v>
      </c>
      <c r="G35" s="8" t="s">
        <v>1097</v>
      </c>
      <c r="H35" s="10" t="n">
        <v>500</v>
      </c>
      <c r="I35" s="10" t="n">
        <v>1000</v>
      </c>
      <c r="J35" s="8" t="s">
        <v>1427</v>
      </c>
      <c r="K35" s="8" t="s">
        <v>1599</v>
      </c>
      <c r="L35" s="8" t="s">
        <v>1600</v>
      </c>
      <c r="M35" s="8" t="s">
        <v>912</v>
      </c>
    </row>
    <row r="36" customFormat="false" ht="15" hidden="false" customHeight="false" outlineLevel="0" collapsed="false">
      <c r="A36" s="8" t="s">
        <v>1601</v>
      </c>
      <c r="B36" s="11" t="s">
        <v>130</v>
      </c>
      <c r="C36" s="8" t="s">
        <v>131</v>
      </c>
      <c r="D36" s="8" t="s">
        <v>1602</v>
      </c>
      <c r="E36" s="8" t="s">
        <v>1493</v>
      </c>
      <c r="F36" s="8" t="s">
        <v>1603</v>
      </c>
      <c r="G36" s="8" t="s">
        <v>1604</v>
      </c>
      <c r="H36" s="10" t="n">
        <v>400</v>
      </c>
      <c r="I36" s="10" t="n">
        <v>900</v>
      </c>
      <c r="J36" s="8" t="s">
        <v>1495</v>
      </c>
      <c r="K36" s="8" t="s">
        <v>1605</v>
      </c>
      <c r="L36" s="8" t="s">
        <v>1606</v>
      </c>
      <c r="M36" s="8" t="s">
        <v>912</v>
      </c>
    </row>
    <row r="37" customFormat="false" ht="15" hidden="false" customHeight="false" outlineLevel="0" collapsed="false">
      <c r="A37" s="8" t="s">
        <v>1607</v>
      </c>
      <c r="B37" s="11" t="s">
        <v>142</v>
      </c>
      <c r="C37" s="8" t="s">
        <v>143</v>
      </c>
      <c r="D37" s="8" t="s">
        <v>1608</v>
      </c>
      <c r="E37" s="8" t="s">
        <v>1609</v>
      </c>
      <c r="F37" s="8" t="s">
        <v>1610</v>
      </c>
      <c r="G37" s="8" t="s">
        <v>1611</v>
      </c>
      <c r="H37" s="10" t="n">
        <v>800</v>
      </c>
      <c r="I37" s="10" t="n">
        <v>1400</v>
      </c>
      <c r="J37" s="8" t="s">
        <v>1495</v>
      </c>
      <c r="K37" s="8" t="s">
        <v>1612</v>
      </c>
      <c r="L37" s="8" t="s">
        <v>1613</v>
      </c>
      <c r="M37" s="8" t="s">
        <v>912</v>
      </c>
    </row>
    <row r="38" customFormat="false" ht="15" hidden="false" customHeight="false" outlineLevel="0" collapsed="false">
      <c r="A38" s="8" t="s">
        <v>1614</v>
      </c>
      <c r="B38" s="11" t="s">
        <v>142</v>
      </c>
      <c r="C38" s="8" t="s">
        <v>143</v>
      </c>
      <c r="D38" s="8" t="s">
        <v>1615</v>
      </c>
      <c r="E38" s="8" t="s">
        <v>1616</v>
      </c>
      <c r="F38" s="8" t="s">
        <v>1455</v>
      </c>
      <c r="G38" s="8" t="s">
        <v>1617</v>
      </c>
      <c r="H38" s="10" t="n">
        <v>700</v>
      </c>
      <c r="I38" s="10" t="n">
        <v>1100</v>
      </c>
      <c r="J38" s="8" t="s">
        <v>1427</v>
      </c>
      <c r="K38" s="8" t="s">
        <v>1618</v>
      </c>
      <c r="L38" s="8" t="s">
        <v>1619</v>
      </c>
      <c r="M38" s="8" t="s">
        <v>912</v>
      </c>
    </row>
    <row r="39" customFormat="false" ht="15" hidden="false" customHeight="false" outlineLevel="0" collapsed="false">
      <c r="A39" s="8" t="s">
        <v>1620</v>
      </c>
      <c r="B39" s="11" t="s">
        <v>142</v>
      </c>
      <c r="C39" s="8" t="s">
        <v>143</v>
      </c>
      <c r="D39" s="8" t="s">
        <v>1621</v>
      </c>
      <c r="E39" s="8" t="s">
        <v>1622</v>
      </c>
      <c r="F39" s="8" t="s">
        <v>1623</v>
      </c>
      <c r="G39" s="8" t="s">
        <v>1624</v>
      </c>
      <c r="H39" s="10" t="n">
        <v>1500</v>
      </c>
      <c r="I39" s="10" t="n">
        <v>2800</v>
      </c>
      <c r="J39" s="8" t="s">
        <v>1495</v>
      </c>
      <c r="K39" s="8" t="s">
        <v>1625</v>
      </c>
      <c r="L39" s="8" t="s">
        <v>1626</v>
      </c>
      <c r="M39" s="8" t="s">
        <v>912</v>
      </c>
    </row>
    <row r="40" customFormat="false" ht="15" hidden="false" customHeight="false" outlineLevel="0" collapsed="false">
      <c r="A40" s="8" t="s">
        <v>1627</v>
      </c>
      <c r="B40" s="11" t="s">
        <v>142</v>
      </c>
      <c r="C40" s="8" t="s">
        <v>143</v>
      </c>
      <c r="D40" s="8" t="s">
        <v>1628</v>
      </c>
      <c r="E40" s="8" t="s">
        <v>1616</v>
      </c>
      <c r="F40" s="8" t="s">
        <v>1629</v>
      </c>
      <c r="G40" s="8" t="s">
        <v>1630</v>
      </c>
      <c r="H40" s="10" t="n">
        <v>1200</v>
      </c>
      <c r="I40" s="10" t="n">
        <v>2200</v>
      </c>
      <c r="J40" s="8" t="s">
        <v>1495</v>
      </c>
      <c r="K40" s="8" t="s">
        <v>1631</v>
      </c>
      <c r="L40" s="8" t="s">
        <v>1632</v>
      </c>
      <c r="M40" s="8" t="s">
        <v>912</v>
      </c>
    </row>
    <row r="41" customFormat="false" ht="15" hidden="false" customHeight="false" outlineLevel="0" collapsed="false">
      <c r="A41" s="8" t="s">
        <v>1633</v>
      </c>
      <c r="B41" s="11" t="s">
        <v>142</v>
      </c>
      <c r="C41" s="8" t="s">
        <v>143</v>
      </c>
      <c r="D41" s="8" t="s">
        <v>1634</v>
      </c>
      <c r="E41" s="8" t="s">
        <v>1635</v>
      </c>
      <c r="F41" s="8" t="s">
        <v>1455</v>
      </c>
      <c r="G41" s="8" t="s">
        <v>1636</v>
      </c>
      <c r="H41" s="10" t="n">
        <v>1600</v>
      </c>
      <c r="I41" s="10" t="n">
        <v>2800</v>
      </c>
      <c r="J41" s="8" t="s">
        <v>1427</v>
      </c>
      <c r="K41" s="8" t="s">
        <v>1637</v>
      </c>
      <c r="L41" s="8" t="s">
        <v>1638</v>
      </c>
      <c r="M41" s="8" t="s">
        <v>912</v>
      </c>
    </row>
    <row r="42" customFormat="false" ht="15" hidden="false" customHeight="false" outlineLevel="0" collapsed="false">
      <c r="A42" s="8" t="s">
        <v>1639</v>
      </c>
      <c r="B42" s="11" t="s">
        <v>142</v>
      </c>
      <c r="C42" s="8" t="s">
        <v>143</v>
      </c>
      <c r="D42" s="8" t="s">
        <v>1640</v>
      </c>
      <c r="E42" s="8" t="s">
        <v>1609</v>
      </c>
      <c r="F42" s="8" t="s">
        <v>1455</v>
      </c>
      <c r="G42" s="8" t="s">
        <v>1641</v>
      </c>
      <c r="H42" s="10" t="n">
        <v>2000</v>
      </c>
      <c r="I42" s="10" t="n">
        <v>3200</v>
      </c>
      <c r="J42" s="8" t="s">
        <v>1495</v>
      </c>
      <c r="K42" s="8" t="s">
        <v>1642</v>
      </c>
      <c r="L42" s="8" t="s">
        <v>1643</v>
      </c>
      <c r="M42" s="8" t="s">
        <v>912</v>
      </c>
    </row>
    <row r="43" customFormat="false" ht="15" hidden="false" customHeight="false" outlineLevel="0" collapsed="false">
      <c r="A43" s="8" t="s">
        <v>1644</v>
      </c>
      <c r="B43" s="11" t="s">
        <v>142</v>
      </c>
      <c r="C43" s="8" t="s">
        <v>143</v>
      </c>
      <c r="D43" s="8" t="s">
        <v>1645</v>
      </c>
      <c r="E43" s="8" t="s">
        <v>1646</v>
      </c>
      <c r="F43" s="8" t="s">
        <v>1647</v>
      </c>
      <c r="G43" s="8" t="s">
        <v>1648</v>
      </c>
      <c r="H43" s="10" t="n">
        <v>3000</v>
      </c>
      <c r="I43" s="10" t="n">
        <v>5000</v>
      </c>
      <c r="J43" s="8" t="s">
        <v>1427</v>
      </c>
      <c r="K43" s="8" t="s">
        <v>1649</v>
      </c>
      <c r="L43" s="8" t="s">
        <v>1650</v>
      </c>
      <c r="M43" s="8" t="s">
        <v>912</v>
      </c>
    </row>
    <row r="44" customFormat="false" ht="23.85" hidden="false" customHeight="false" outlineLevel="0" collapsed="false">
      <c r="A44" s="8" t="s">
        <v>1651</v>
      </c>
      <c r="B44" s="11" t="s">
        <v>152</v>
      </c>
      <c r="C44" s="8" t="s">
        <v>153</v>
      </c>
      <c r="D44" s="8" t="s">
        <v>1652</v>
      </c>
      <c r="E44" s="8" t="s">
        <v>1653</v>
      </c>
      <c r="F44" s="8" t="s">
        <v>1455</v>
      </c>
      <c r="G44" s="8" t="s">
        <v>1654</v>
      </c>
      <c r="H44" s="10" t="n">
        <v>400</v>
      </c>
      <c r="I44" s="10" t="n">
        <v>900</v>
      </c>
      <c r="J44" s="8" t="s">
        <v>1495</v>
      </c>
      <c r="K44" s="8" t="s">
        <v>1655</v>
      </c>
      <c r="L44" s="8" t="s">
        <v>1656</v>
      </c>
      <c r="M44" s="8" t="s">
        <v>912</v>
      </c>
    </row>
    <row r="45" customFormat="false" ht="23.85" hidden="false" customHeight="false" outlineLevel="0" collapsed="false">
      <c r="A45" s="8" t="s">
        <v>1657</v>
      </c>
      <c r="B45" s="11" t="s">
        <v>152</v>
      </c>
      <c r="C45" s="8" t="s">
        <v>153</v>
      </c>
      <c r="D45" s="8" t="s">
        <v>1658</v>
      </c>
      <c r="E45" s="8" t="s">
        <v>1659</v>
      </c>
      <c r="F45" s="8" t="s">
        <v>1660</v>
      </c>
      <c r="G45" s="8" t="s">
        <v>1661</v>
      </c>
      <c r="H45" s="10" t="n">
        <v>700</v>
      </c>
      <c r="I45" s="10" t="n">
        <v>1300</v>
      </c>
      <c r="J45" s="8" t="s">
        <v>1427</v>
      </c>
      <c r="K45" s="8" t="s">
        <v>1549</v>
      </c>
      <c r="L45" s="8" t="s">
        <v>1662</v>
      </c>
      <c r="M45" s="8" t="s">
        <v>912</v>
      </c>
    </row>
    <row r="46" customFormat="false" ht="23.85" hidden="false" customHeight="false" outlineLevel="0" collapsed="false">
      <c r="A46" s="8" t="s">
        <v>1663</v>
      </c>
      <c r="B46" s="11" t="s">
        <v>152</v>
      </c>
      <c r="C46" s="8" t="s">
        <v>153</v>
      </c>
      <c r="D46" s="8" t="s">
        <v>1664</v>
      </c>
      <c r="E46" s="8" t="s">
        <v>154</v>
      </c>
      <c r="F46" s="8" t="s">
        <v>1455</v>
      </c>
      <c r="G46" s="8" t="s">
        <v>1665</v>
      </c>
      <c r="H46" s="10" t="n">
        <v>500</v>
      </c>
      <c r="I46" s="10" t="n">
        <v>1000</v>
      </c>
      <c r="J46" s="8" t="s">
        <v>1427</v>
      </c>
      <c r="K46" s="8" t="s">
        <v>1666</v>
      </c>
      <c r="L46" s="8" t="s">
        <v>1667</v>
      </c>
      <c r="M46" s="8" t="s">
        <v>912</v>
      </c>
    </row>
    <row r="47" customFormat="false" ht="23.85" hidden="false" customHeight="false" outlineLevel="0" collapsed="false">
      <c r="A47" s="8" t="s">
        <v>1668</v>
      </c>
      <c r="B47" s="11" t="s">
        <v>152</v>
      </c>
      <c r="C47" s="8" t="s">
        <v>153</v>
      </c>
      <c r="D47" s="8" t="s">
        <v>1669</v>
      </c>
      <c r="E47" s="8" t="s">
        <v>1670</v>
      </c>
      <c r="F47" s="8" t="s">
        <v>1671</v>
      </c>
      <c r="G47" s="8" t="s">
        <v>1672</v>
      </c>
      <c r="H47" s="10" t="n">
        <v>600</v>
      </c>
      <c r="I47" s="10" t="n">
        <v>1200</v>
      </c>
      <c r="J47" s="8" t="s">
        <v>1495</v>
      </c>
      <c r="K47" s="8" t="s">
        <v>1673</v>
      </c>
      <c r="L47" s="8" t="s">
        <v>1674</v>
      </c>
      <c r="M47" s="8" t="s">
        <v>912</v>
      </c>
    </row>
    <row r="48" customFormat="false" ht="23.85" hidden="false" customHeight="false" outlineLevel="0" collapsed="false">
      <c r="A48" s="8" t="s">
        <v>1675</v>
      </c>
      <c r="B48" s="11" t="s">
        <v>152</v>
      </c>
      <c r="C48" s="8" t="s">
        <v>153</v>
      </c>
      <c r="D48" s="8" t="s">
        <v>1676</v>
      </c>
      <c r="E48" s="8" t="s">
        <v>154</v>
      </c>
      <c r="F48" s="8" t="s">
        <v>1677</v>
      </c>
      <c r="G48" s="8" t="s">
        <v>1180</v>
      </c>
      <c r="H48" s="10" t="n">
        <v>0</v>
      </c>
      <c r="I48" s="10" t="n">
        <v>0</v>
      </c>
      <c r="J48" s="8" t="s">
        <v>1427</v>
      </c>
      <c r="K48" s="8" t="s">
        <v>1678</v>
      </c>
      <c r="L48" s="8" t="s">
        <v>1679</v>
      </c>
      <c r="M48" s="8" t="s">
        <v>912</v>
      </c>
    </row>
    <row r="49" customFormat="false" ht="15" hidden="false" customHeight="false" outlineLevel="0" collapsed="false">
      <c r="A49" s="8" t="s">
        <v>1680</v>
      </c>
      <c r="B49" s="11" t="s">
        <v>163</v>
      </c>
      <c r="C49" s="8" t="s">
        <v>164</v>
      </c>
      <c r="D49" s="8" t="s">
        <v>1681</v>
      </c>
      <c r="E49" s="8" t="s">
        <v>1682</v>
      </c>
      <c r="F49" s="8" t="s">
        <v>1455</v>
      </c>
      <c r="G49" s="8" t="s">
        <v>1683</v>
      </c>
      <c r="H49" s="10" t="n">
        <v>800</v>
      </c>
      <c r="I49" s="10" t="n">
        <v>1600</v>
      </c>
      <c r="J49" s="8" t="s">
        <v>1495</v>
      </c>
      <c r="K49" s="8" t="s">
        <v>1684</v>
      </c>
      <c r="L49" s="8" t="s">
        <v>1685</v>
      </c>
      <c r="M49" s="8" t="s">
        <v>912</v>
      </c>
    </row>
    <row r="50" customFormat="false" ht="15" hidden="false" customHeight="false" outlineLevel="0" collapsed="false">
      <c r="A50" s="8" t="s">
        <v>1686</v>
      </c>
      <c r="B50" s="11" t="s">
        <v>163</v>
      </c>
      <c r="C50" s="8" t="s">
        <v>164</v>
      </c>
      <c r="D50" s="8" t="s">
        <v>1687</v>
      </c>
      <c r="E50" s="8" t="s">
        <v>1688</v>
      </c>
      <c r="F50" s="8" t="s">
        <v>1689</v>
      </c>
      <c r="G50" s="8" t="s">
        <v>1214</v>
      </c>
      <c r="H50" s="10" t="n">
        <v>1200</v>
      </c>
      <c r="I50" s="10" t="n">
        <v>2200</v>
      </c>
      <c r="J50" s="8" t="s">
        <v>1427</v>
      </c>
      <c r="K50" s="8" t="s">
        <v>1690</v>
      </c>
      <c r="L50" s="8" t="s">
        <v>1691</v>
      </c>
      <c r="M50" s="8" t="s">
        <v>912</v>
      </c>
    </row>
    <row r="51" customFormat="false" ht="15" hidden="false" customHeight="false" outlineLevel="0" collapsed="false">
      <c r="A51" s="8" t="s">
        <v>1692</v>
      </c>
      <c r="B51" s="11" t="s">
        <v>163</v>
      </c>
      <c r="C51" s="8" t="s">
        <v>164</v>
      </c>
      <c r="D51" s="8" t="s">
        <v>1693</v>
      </c>
      <c r="E51" s="8" t="s">
        <v>1694</v>
      </c>
      <c r="F51" s="8" t="s">
        <v>1629</v>
      </c>
      <c r="G51" s="8" t="s">
        <v>1695</v>
      </c>
      <c r="H51" s="10" t="n">
        <v>1000</v>
      </c>
      <c r="I51" s="10" t="n">
        <v>2200</v>
      </c>
      <c r="J51" s="8" t="s">
        <v>1495</v>
      </c>
      <c r="K51" s="8" t="s">
        <v>1696</v>
      </c>
      <c r="L51" s="8" t="s">
        <v>1613</v>
      </c>
      <c r="M51" s="8" t="s">
        <v>912</v>
      </c>
    </row>
    <row r="52" customFormat="false" ht="15" hidden="false" customHeight="false" outlineLevel="0" collapsed="false">
      <c r="A52" s="8" t="s">
        <v>1697</v>
      </c>
      <c r="B52" s="11" t="s">
        <v>163</v>
      </c>
      <c r="C52" s="8" t="s">
        <v>164</v>
      </c>
      <c r="D52" s="8" t="s">
        <v>1698</v>
      </c>
      <c r="E52" s="8" t="s">
        <v>1505</v>
      </c>
      <c r="F52" s="8" t="s">
        <v>1603</v>
      </c>
      <c r="G52" s="8" t="s">
        <v>1196</v>
      </c>
      <c r="H52" s="10" t="n">
        <v>200</v>
      </c>
      <c r="I52" s="10" t="n">
        <v>500</v>
      </c>
      <c r="J52" s="8" t="s">
        <v>1427</v>
      </c>
      <c r="K52" s="8" t="s">
        <v>1612</v>
      </c>
      <c r="L52" s="8" t="s">
        <v>1699</v>
      </c>
      <c r="M52" s="8" t="s">
        <v>912</v>
      </c>
    </row>
    <row r="53" customFormat="false" ht="15" hidden="false" customHeight="false" outlineLevel="0" collapsed="false">
      <c r="A53" s="8" t="s">
        <v>1700</v>
      </c>
      <c r="B53" s="11" t="s">
        <v>175</v>
      </c>
      <c r="C53" s="8" t="s">
        <v>176</v>
      </c>
      <c r="D53" s="8" t="s">
        <v>1701</v>
      </c>
      <c r="E53" s="8" t="s">
        <v>1702</v>
      </c>
      <c r="F53" s="8" t="s">
        <v>1703</v>
      </c>
      <c r="G53" s="8" t="s">
        <v>1704</v>
      </c>
      <c r="H53" s="10" t="n">
        <v>500</v>
      </c>
      <c r="I53" s="10" t="n">
        <v>900</v>
      </c>
      <c r="J53" s="8" t="s">
        <v>1427</v>
      </c>
      <c r="K53" s="8" t="s">
        <v>1705</v>
      </c>
      <c r="L53" s="8" t="s">
        <v>1706</v>
      </c>
      <c r="M53" s="8" t="s">
        <v>912</v>
      </c>
    </row>
    <row r="54" customFormat="false" ht="15" hidden="false" customHeight="false" outlineLevel="0" collapsed="false">
      <c r="A54" s="8" t="s">
        <v>1707</v>
      </c>
      <c r="B54" s="11" t="s">
        <v>175</v>
      </c>
      <c r="C54" s="8" t="s">
        <v>176</v>
      </c>
      <c r="D54" s="8" t="s">
        <v>1708</v>
      </c>
      <c r="E54" s="8" t="s">
        <v>1709</v>
      </c>
      <c r="F54" s="8" t="s">
        <v>1447</v>
      </c>
      <c r="G54" s="8" t="s">
        <v>1710</v>
      </c>
      <c r="H54" s="10" t="n">
        <v>500</v>
      </c>
      <c r="I54" s="10" t="n">
        <v>1000</v>
      </c>
      <c r="J54" s="8" t="s">
        <v>1427</v>
      </c>
      <c r="K54" s="8" t="s">
        <v>1711</v>
      </c>
      <c r="L54" s="8" t="s">
        <v>1712</v>
      </c>
      <c r="M54" s="8" t="s">
        <v>912</v>
      </c>
    </row>
    <row r="55" customFormat="false" ht="15" hidden="false" customHeight="false" outlineLevel="0" collapsed="false">
      <c r="A55" s="8" t="s">
        <v>1713</v>
      </c>
      <c r="B55" s="11" t="s">
        <v>175</v>
      </c>
      <c r="C55" s="8" t="s">
        <v>176</v>
      </c>
      <c r="D55" s="8" t="s">
        <v>1714</v>
      </c>
      <c r="E55" s="8" t="s">
        <v>1715</v>
      </c>
      <c r="F55" s="8" t="s">
        <v>1455</v>
      </c>
      <c r="G55" s="8" t="s">
        <v>1228</v>
      </c>
      <c r="H55" s="10" t="n">
        <v>1800</v>
      </c>
      <c r="I55" s="10" t="n">
        <v>3200</v>
      </c>
      <c r="J55" s="8" t="s">
        <v>1427</v>
      </c>
      <c r="K55" s="8" t="s">
        <v>1716</v>
      </c>
      <c r="L55" s="8" t="s">
        <v>1717</v>
      </c>
      <c r="M55" s="8" t="s">
        <v>912</v>
      </c>
    </row>
    <row r="56" customFormat="false" ht="15" hidden="false" customHeight="false" outlineLevel="0" collapsed="false">
      <c r="A56" s="8" t="s">
        <v>1718</v>
      </c>
      <c r="B56" s="11" t="s">
        <v>175</v>
      </c>
      <c r="C56" s="8" t="s">
        <v>176</v>
      </c>
      <c r="D56" s="8" t="s">
        <v>1719</v>
      </c>
      <c r="E56" s="8" t="s">
        <v>1702</v>
      </c>
      <c r="F56" s="8" t="s">
        <v>1447</v>
      </c>
      <c r="G56" s="8" t="s">
        <v>1720</v>
      </c>
      <c r="H56" s="10" t="n">
        <v>600</v>
      </c>
      <c r="I56" s="10" t="n">
        <v>1200</v>
      </c>
      <c r="J56" s="8" t="s">
        <v>1427</v>
      </c>
      <c r="K56" s="8" t="s">
        <v>1721</v>
      </c>
      <c r="L56" s="8" t="s">
        <v>1722</v>
      </c>
      <c r="M56" s="8" t="s">
        <v>912</v>
      </c>
    </row>
    <row r="57" customFormat="false" ht="15" hidden="false" customHeight="false" outlineLevel="0" collapsed="false">
      <c r="A57" s="8" t="s">
        <v>1723</v>
      </c>
      <c r="B57" s="11" t="s">
        <v>175</v>
      </c>
      <c r="C57" s="8" t="s">
        <v>176</v>
      </c>
      <c r="D57" s="8" t="s">
        <v>1724</v>
      </c>
      <c r="E57" s="8" t="s">
        <v>1417</v>
      </c>
      <c r="F57" s="8" t="s">
        <v>1455</v>
      </c>
      <c r="G57" s="8" t="s">
        <v>1238</v>
      </c>
      <c r="H57" s="10" t="n">
        <v>300</v>
      </c>
      <c r="I57" s="10" t="n">
        <v>700</v>
      </c>
      <c r="J57" s="8" t="s">
        <v>1405</v>
      </c>
      <c r="K57" s="8" t="s">
        <v>1725</v>
      </c>
      <c r="L57" s="8" t="s">
        <v>1421</v>
      </c>
      <c r="M57" s="8" t="s">
        <v>912</v>
      </c>
    </row>
    <row r="58" customFormat="false" ht="15" hidden="false" customHeight="false" outlineLevel="0" collapsed="false">
      <c r="A58" s="8" t="s">
        <v>1726</v>
      </c>
      <c r="B58" s="11" t="s">
        <v>175</v>
      </c>
      <c r="C58" s="8" t="s">
        <v>176</v>
      </c>
      <c r="D58" s="8" t="s">
        <v>1727</v>
      </c>
      <c r="E58" s="8" t="s">
        <v>1682</v>
      </c>
      <c r="F58" s="8" t="s">
        <v>1455</v>
      </c>
      <c r="G58" s="8" t="s">
        <v>1728</v>
      </c>
      <c r="H58" s="10" t="n">
        <v>900</v>
      </c>
      <c r="I58" s="10" t="n">
        <v>1800</v>
      </c>
      <c r="J58" s="8" t="s">
        <v>1495</v>
      </c>
      <c r="K58" s="8" t="s">
        <v>1631</v>
      </c>
      <c r="L58" s="8" t="s">
        <v>1729</v>
      </c>
      <c r="M58" s="8" t="s">
        <v>912</v>
      </c>
    </row>
    <row r="59" customFormat="false" ht="15" hidden="false" customHeight="false" outlineLevel="0" collapsed="false">
      <c r="A59" s="8" t="s">
        <v>1730</v>
      </c>
      <c r="B59" s="11" t="s">
        <v>175</v>
      </c>
      <c r="C59" s="8" t="s">
        <v>176</v>
      </c>
      <c r="D59" s="8" t="s">
        <v>1731</v>
      </c>
      <c r="E59" s="8" t="s">
        <v>1702</v>
      </c>
      <c r="F59" s="8" t="s">
        <v>1447</v>
      </c>
      <c r="G59" s="8" t="s">
        <v>1728</v>
      </c>
      <c r="H59" s="10" t="n">
        <v>600</v>
      </c>
      <c r="I59" s="10" t="n">
        <v>1200</v>
      </c>
      <c r="J59" s="8" t="s">
        <v>1427</v>
      </c>
      <c r="K59" s="8" t="s">
        <v>1732</v>
      </c>
      <c r="L59" s="8" t="s">
        <v>1733</v>
      </c>
      <c r="M59" s="8" t="s">
        <v>912</v>
      </c>
    </row>
    <row r="60" customFormat="false" ht="15" hidden="false" customHeight="false" outlineLevel="0" collapsed="false">
      <c r="A60" s="8" t="s">
        <v>1734</v>
      </c>
      <c r="B60" s="11" t="s">
        <v>185</v>
      </c>
      <c r="C60" s="8" t="s">
        <v>186</v>
      </c>
      <c r="D60" s="8" t="s">
        <v>1735</v>
      </c>
      <c r="E60" s="8" t="s">
        <v>1736</v>
      </c>
      <c r="F60" s="8" t="s">
        <v>1737</v>
      </c>
      <c r="G60" s="8" t="s">
        <v>1738</v>
      </c>
      <c r="H60" s="10" t="n">
        <v>150</v>
      </c>
      <c r="I60" s="10" t="n">
        <v>400</v>
      </c>
      <c r="J60" s="8" t="s">
        <v>1405</v>
      </c>
      <c r="K60" s="8" t="s">
        <v>1739</v>
      </c>
      <c r="L60" s="8" t="s">
        <v>1740</v>
      </c>
      <c r="M60" s="8" t="s">
        <v>912</v>
      </c>
    </row>
    <row r="61" customFormat="false" ht="15" hidden="false" customHeight="false" outlineLevel="0" collapsed="false">
      <c r="A61" s="8" t="s">
        <v>1741</v>
      </c>
      <c r="B61" s="11" t="s">
        <v>185</v>
      </c>
      <c r="C61" s="8" t="s">
        <v>186</v>
      </c>
      <c r="D61" s="8" t="s">
        <v>1742</v>
      </c>
      <c r="E61" s="8" t="s">
        <v>1743</v>
      </c>
      <c r="F61" s="8" t="s">
        <v>1744</v>
      </c>
      <c r="G61" s="8" t="s">
        <v>1745</v>
      </c>
      <c r="H61" s="10" t="n">
        <v>150</v>
      </c>
      <c r="I61" s="10" t="n">
        <v>400</v>
      </c>
      <c r="J61" s="8" t="s">
        <v>1405</v>
      </c>
      <c r="K61" s="8" t="s">
        <v>1746</v>
      </c>
      <c r="L61" s="8" t="s">
        <v>1747</v>
      </c>
      <c r="M61" s="8" t="s">
        <v>912</v>
      </c>
    </row>
    <row r="62" customFormat="false" ht="15" hidden="false" customHeight="false" outlineLevel="0" collapsed="false">
      <c r="A62" s="8" t="s">
        <v>1748</v>
      </c>
      <c r="B62" s="11" t="s">
        <v>185</v>
      </c>
      <c r="C62" s="8" t="s">
        <v>186</v>
      </c>
      <c r="D62" s="8" t="s">
        <v>1749</v>
      </c>
      <c r="E62" s="8" t="s">
        <v>1659</v>
      </c>
      <c r="F62" s="8" t="s">
        <v>1447</v>
      </c>
      <c r="G62" s="8" t="s">
        <v>1750</v>
      </c>
      <c r="H62" s="10" t="n">
        <v>400</v>
      </c>
      <c r="I62" s="10" t="n">
        <v>900</v>
      </c>
      <c r="J62" s="8" t="s">
        <v>1427</v>
      </c>
      <c r="K62" s="8" t="s">
        <v>1751</v>
      </c>
      <c r="L62" s="8" t="s">
        <v>1752</v>
      </c>
      <c r="M62" s="8" t="s">
        <v>912</v>
      </c>
    </row>
    <row r="63" customFormat="false" ht="15" hidden="false" customHeight="false" outlineLevel="0" collapsed="false">
      <c r="A63" s="8" t="s">
        <v>1753</v>
      </c>
      <c r="B63" s="11" t="s">
        <v>185</v>
      </c>
      <c r="C63" s="8" t="s">
        <v>186</v>
      </c>
      <c r="D63" s="8" t="s">
        <v>1754</v>
      </c>
      <c r="E63" s="8" t="s">
        <v>1743</v>
      </c>
      <c r="F63" s="8" t="s">
        <v>1744</v>
      </c>
      <c r="G63" s="8" t="s">
        <v>1755</v>
      </c>
      <c r="H63" s="10" t="n">
        <v>100</v>
      </c>
      <c r="I63" s="10" t="n">
        <v>300</v>
      </c>
      <c r="J63" s="8" t="s">
        <v>1405</v>
      </c>
      <c r="K63" s="8" t="s">
        <v>1756</v>
      </c>
      <c r="L63" s="8" t="s">
        <v>1757</v>
      </c>
      <c r="M63" s="8" t="s">
        <v>912</v>
      </c>
    </row>
    <row r="64" customFormat="false" ht="15" hidden="false" customHeight="false" outlineLevel="0" collapsed="false">
      <c r="A64" s="8" t="s">
        <v>1758</v>
      </c>
      <c r="B64" s="11" t="s">
        <v>185</v>
      </c>
      <c r="C64" s="8" t="s">
        <v>186</v>
      </c>
      <c r="D64" s="8" t="s">
        <v>1759</v>
      </c>
      <c r="E64" s="8" t="s">
        <v>1760</v>
      </c>
      <c r="F64" s="8" t="s">
        <v>1761</v>
      </c>
      <c r="G64" s="8" t="s">
        <v>711</v>
      </c>
      <c r="H64" s="10" t="n">
        <v>500</v>
      </c>
      <c r="I64" s="10" t="n">
        <v>1100</v>
      </c>
      <c r="J64" s="8" t="s">
        <v>1405</v>
      </c>
      <c r="K64" s="8" t="s">
        <v>1762</v>
      </c>
      <c r="L64" s="8" t="s">
        <v>1763</v>
      </c>
      <c r="M64" s="8" t="s">
        <v>912</v>
      </c>
    </row>
    <row r="65" customFormat="false" ht="15" hidden="false" customHeight="false" outlineLevel="0" collapsed="false">
      <c r="A65" s="8" t="s">
        <v>1764</v>
      </c>
      <c r="B65" s="11" t="s">
        <v>195</v>
      </c>
      <c r="C65" s="8" t="s">
        <v>196</v>
      </c>
      <c r="D65" s="8" t="s">
        <v>1765</v>
      </c>
      <c r="E65" s="8" t="s">
        <v>1766</v>
      </c>
      <c r="F65" s="8" t="s">
        <v>1767</v>
      </c>
      <c r="G65" s="8" t="s">
        <v>1768</v>
      </c>
      <c r="H65" s="10" t="n">
        <v>300</v>
      </c>
      <c r="I65" s="10" t="n">
        <v>600</v>
      </c>
      <c r="J65" s="8" t="s">
        <v>1405</v>
      </c>
      <c r="K65" s="8" t="s">
        <v>1769</v>
      </c>
      <c r="L65" s="8" t="s">
        <v>1770</v>
      </c>
      <c r="M65" s="8" t="s">
        <v>912</v>
      </c>
    </row>
    <row r="66" customFormat="false" ht="15" hidden="false" customHeight="false" outlineLevel="0" collapsed="false">
      <c r="A66" s="8" t="s">
        <v>1771</v>
      </c>
      <c r="B66" s="11" t="s">
        <v>195</v>
      </c>
      <c r="C66" s="8" t="s">
        <v>196</v>
      </c>
      <c r="D66" s="8" t="s">
        <v>1772</v>
      </c>
      <c r="E66" s="8" t="s">
        <v>1766</v>
      </c>
      <c r="F66" s="8" t="s">
        <v>1767</v>
      </c>
      <c r="G66" s="8" t="s">
        <v>1773</v>
      </c>
      <c r="H66" s="10" t="n">
        <v>300</v>
      </c>
      <c r="I66" s="10" t="n">
        <v>700</v>
      </c>
      <c r="J66" s="8" t="s">
        <v>1405</v>
      </c>
      <c r="K66" s="8" t="s">
        <v>1774</v>
      </c>
      <c r="L66" s="8" t="s">
        <v>1775</v>
      </c>
      <c r="M66" s="8" t="s">
        <v>912</v>
      </c>
    </row>
    <row r="67" customFormat="false" ht="15" hidden="false" customHeight="false" outlineLevel="0" collapsed="false">
      <c r="A67" s="8" t="s">
        <v>1776</v>
      </c>
      <c r="B67" s="11" t="s">
        <v>195</v>
      </c>
      <c r="C67" s="8" t="s">
        <v>196</v>
      </c>
      <c r="D67" s="8" t="s">
        <v>1777</v>
      </c>
      <c r="E67" s="8" t="s">
        <v>1766</v>
      </c>
      <c r="F67" s="8" t="s">
        <v>1455</v>
      </c>
      <c r="G67" s="8" t="s">
        <v>196</v>
      </c>
      <c r="H67" s="10" t="n">
        <v>250</v>
      </c>
      <c r="I67" s="10" t="n">
        <v>600</v>
      </c>
      <c r="J67" s="8" t="s">
        <v>1405</v>
      </c>
      <c r="K67" s="8" t="s">
        <v>1778</v>
      </c>
      <c r="L67" s="8" t="s">
        <v>1779</v>
      </c>
      <c r="M67" s="8" t="s">
        <v>912</v>
      </c>
    </row>
    <row r="68" customFormat="false" ht="15" hidden="false" customHeight="false" outlineLevel="0" collapsed="false">
      <c r="A68" s="8" t="s">
        <v>1780</v>
      </c>
      <c r="B68" s="11" t="s">
        <v>195</v>
      </c>
      <c r="C68" s="8" t="s">
        <v>196</v>
      </c>
      <c r="D68" s="8" t="s">
        <v>1781</v>
      </c>
      <c r="E68" s="8" t="s">
        <v>1766</v>
      </c>
      <c r="F68" s="8" t="s">
        <v>1455</v>
      </c>
      <c r="G68" s="8" t="s">
        <v>196</v>
      </c>
      <c r="H68" s="10" t="n">
        <v>600</v>
      </c>
      <c r="I68" s="10" t="n">
        <v>1200</v>
      </c>
      <c r="J68" s="8" t="s">
        <v>1495</v>
      </c>
      <c r="K68" s="8" t="s">
        <v>1782</v>
      </c>
      <c r="L68" s="8" t="s">
        <v>1783</v>
      </c>
      <c r="M68" s="8" t="s">
        <v>912</v>
      </c>
    </row>
    <row r="69" customFormat="false" ht="15" hidden="false" customHeight="false" outlineLevel="0" collapsed="false">
      <c r="A69" s="8" t="s">
        <v>1784</v>
      </c>
      <c r="B69" s="11" t="s">
        <v>195</v>
      </c>
      <c r="C69" s="8" t="s">
        <v>196</v>
      </c>
      <c r="D69" s="8" t="s">
        <v>1785</v>
      </c>
      <c r="E69" s="8" t="s">
        <v>1460</v>
      </c>
      <c r="F69" s="8" t="s">
        <v>1411</v>
      </c>
      <c r="G69" s="8" t="s">
        <v>1786</v>
      </c>
      <c r="H69" s="10" t="n">
        <v>100</v>
      </c>
      <c r="I69" s="10" t="n">
        <v>250</v>
      </c>
      <c r="J69" s="8" t="s">
        <v>1405</v>
      </c>
      <c r="K69" s="8" t="s">
        <v>1413</v>
      </c>
      <c r="L69" s="8" t="s">
        <v>1414</v>
      </c>
      <c r="M69" s="8" t="s">
        <v>912</v>
      </c>
    </row>
    <row r="70" customFormat="false" ht="15" hidden="false" customHeight="false" outlineLevel="0" collapsed="false">
      <c r="A70" s="8" t="s">
        <v>1787</v>
      </c>
      <c r="B70" s="11" t="s">
        <v>195</v>
      </c>
      <c r="C70" s="8" t="s">
        <v>196</v>
      </c>
      <c r="D70" s="8" t="s">
        <v>1788</v>
      </c>
      <c r="E70" s="8" t="s">
        <v>1766</v>
      </c>
      <c r="F70" s="8" t="s">
        <v>1789</v>
      </c>
      <c r="G70" s="8" t="s">
        <v>1285</v>
      </c>
      <c r="H70" s="10" t="n">
        <v>0</v>
      </c>
      <c r="I70" s="10" t="n">
        <v>0</v>
      </c>
      <c r="J70" s="8" t="s">
        <v>1405</v>
      </c>
      <c r="K70" s="8" t="s">
        <v>1790</v>
      </c>
      <c r="L70" s="8" t="s">
        <v>1791</v>
      </c>
      <c r="M70" s="8" t="s">
        <v>912</v>
      </c>
    </row>
    <row r="71" customFormat="false" ht="15" hidden="false" customHeight="false" outlineLevel="0" collapsed="false">
      <c r="A71" s="8" t="s">
        <v>1792</v>
      </c>
      <c r="B71" s="11" t="s">
        <v>206</v>
      </c>
      <c r="C71" s="8" t="s">
        <v>207</v>
      </c>
      <c r="D71" s="8" t="s">
        <v>1793</v>
      </c>
      <c r="E71" s="8" t="s">
        <v>1794</v>
      </c>
      <c r="F71" s="8" t="s">
        <v>1395</v>
      </c>
      <c r="G71" s="8" t="s">
        <v>1795</v>
      </c>
      <c r="H71" s="10" t="n">
        <v>100</v>
      </c>
      <c r="I71" s="10" t="n">
        <v>250</v>
      </c>
      <c r="J71" s="8" t="s">
        <v>1405</v>
      </c>
      <c r="K71" s="8" t="s">
        <v>1796</v>
      </c>
      <c r="L71" s="8" t="s">
        <v>1797</v>
      </c>
      <c r="M71" s="8" t="s">
        <v>912</v>
      </c>
    </row>
    <row r="72" customFormat="false" ht="15" hidden="false" customHeight="false" outlineLevel="0" collapsed="false">
      <c r="A72" s="8" t="s">
        <v>1798</v>
      </c>
      <c r="B72" s="11" t="s">
        <v>206</v>
      </c>
      <c r="C72" s="8" t="s">
        <v>207</v>
      </c>
      <c r="D72" s="8" t="s">
        <v>1799</v>
      </c>
      <c r="E72" s="8" t="s">
        <v>1800</v>
      </c>
      <c r="F72" s="8" t="s">
        <v>1455</v>
      </c>
      <c r="G72" s="8" t="s">
        <v>1801</v>
      </c>
      <c r="H72" s="10" t="n">
        <v>700</v>
      </c>
      <c r="I72" s="10" t="n">
        <v>1100</v>
      </c>
      <c r="J72" s="8" t="s">
        <v>1495</v>
      </c>
      <c r="K72" s="8" t="s">
        <v>1802</v>
      </c>
      <c r="L72" s="8" t="s">
        <v>1803</v>
      </c>
      <c r="M72" s="8" t="s">
        <v>912</v>
      </c>
    </row>
    <row r="73" customFormat="false" ht="15" hidden="false" customHeight="false" outlineLevel="0" collapsed="false">
      <c r="A73" s="8" t="s">
        <v>1804</v>
      </c>
      <c r="B73" s="11" t="s">
        <v>206</v>
      </c>
      <c r="C73" s="8" t="s">
        <v>207</v>
      </c>
      <c r="D73" s="8" t="s">
        <v>1805</v>
      </c>
      <c r="E73" s="8" t="s">
        <v>1460</v>
      </c>
      <c r="F73" s="8" t="s">
        <v>1411</v>
      </c>
      <c r="G73" s="8" t="s">
        <v>1304</v>
      </c>
      <c r="H73" s="10" t="n">
        <v>100</v>
      </c>
      <c r="I73" s="10" t="n">
        <v>300</v>
      </c>
      <c r="J73" s="8" t="s">
        <v>1405</v>
      </c>
      <c r="K73" s="8" t="s">
        <v>1806</v>
      </c>
      <c r="L73" s="8" t="s">
        <v>1807</v>
      </c>
      <c r="M73" s="8" t="s">
        <v>912</v>
      </c>
    </row>
    <row r="74" customFormat="false" ht="15" hidden="false" customHeight="false" outlineLevel="0" collapsed="false">
      <c r="A74" s="8" t="s">
        <v>1808</v>
      </c>
      <c r="B74" s="11" t="s">
        <v>206</v>
      </c>
      <c r="C74" s="8" t="s">
        <v>207</v>
      </c>
      <c r="D74" s="8" t="s">
        <v>1809</v>
      </c>
      <c r="E74" s="8" t="s">
        <v>1417</v>
      </c>
      <c r="F74" s="8" t="s">
        <v>1455</v>
      </c>
      <c r="G74" s="8" t="s">
        <v>1304</v>
      </c>
      <c r="H74" s="10" t="n">
        <v>300</v>
      </c>
      <c r="I74" s="10" t="n">
        <v>600</v>
      </c>
      <c r="J74" s="8" t="s">
        <v>1405</v>
      </c>
      <c r="K74" s="8" t="s">
        <v>1725</v>
      </c>
      <c r="L74" s="8" t="s">
        <v>1810</v>
      </c>
      <c r="M74" s="8" t="s">
        <v>912</v>
      </c>
    </row>
    <row r="75" customFormat="false" ht="15" hidden="false" customHeight="false" outlineLevel="0" collapsed="false">
      <c r="A75" s="8" t="s">
        <v>1811</v>
      </c>
      <c r="B75" s="11" t="s">
        <v>216</v>
      </c>
      <c r="C75" s="8" t="s">
        <v>217</v>
      </c>
      <c r="D75" s="8" t="s">
        <v>1812</v>
      </c>
      <c r="E75" s="8" t="s">
        <v>1813</v>
      </c>
      <c r="F75" s="8" t="s">
        <v>1455</v>
      </c>
      <c r="G75" s="8" t="s">
        <v>1814</v>
      </c>
      <c r="H75" s="10" t="n">
        <v>800</v>
      </c>
      <c r="I75" s="10" t="n">
        <v>1500</v>
      </c>
      <c r="J75" s="8" t="s">
        <v>1427</v>
      </c>
      <c r="K75" s="8" t="s">
        <v>1815</v>
      </c>
      <c r="L75" s="8" t="s">
        <v>1816</v>
      </c>
      <c r="M75" s="8" t="s">
        <v>912</v>
      </c>
    </row>
    <row r="76" customFormat="false" ht="15" hidden="false" customHeight="false" outlineLevel="0" collapsed="false">
      <c r="A76" s="8" t="s">
        <v>1817</v>
      </c>
      <c r="B76" s="11" t="s">
        <v>216</v>
      </c>
      <c r="C76" s="8" t="s">
        <v>217</v>
      </c>
      <c r="D76" s="8" t="s">
        <v>1818</v>
      </c>
      <c r="E76" s="8" t="s">
        <v>1819</v>
      </c>
      <c r="F76" s="8" t="s">
        <v>1455</v>
      </c>
      <c r="G76" s="8" t="s">
        <v>1820</v>
      </c>
      <c r="H76" s="10" t="n">
        <v>700</v>
      </c>
      <c r="I76" s="10" t="n">
        <v>1400</v>
      </c>
      <c r="J76" s="8" t="s">
        <v>1427</v>
      </c>
      <c r="K76" s="8" t="s">
        <v>1815</v>
      </c>
      <c r="L76" s="8" t="s">
        <v>1561</v>
      </c>
      <c r="M76" s="8" t="s">
        <v>912</v>
      </c>
    </row>
    <row r="77" customFormat="false" ht="15" hidden="false" customHeight="false" outlineLevel="0" collapsed="false">
      <c r="A77" s="8" t="s">
        <v>1821</v>
      </c>
      <c r="B77" s="11" t="s">
        <v>216</v>
      </c>
      <c r="C77" s="8" t="s">
        <v>217</v>
      </c>
      <c r="D77" s="8" t="s">
        <v>1822</v>
      </c>
      <c r="E77" s="8" t="s">
        <v>1823</v>
      </c>
      <c r="F77" s="8" t="s">
        <v>1455</v>
      </c>
      <c r="G77" s="8" t="s">
        <v>1330</v>
      </c>
      <c r="H77" s="10" t="n">
        <v>1000</v>
      </c>
      <c r="I77" s="10" t="n">
        <v>2000</v>
      </c>
      <c r="J77" s="8" t="s">
        <v>1427</v>
      </c>
      <c r="K77" s="8" t="s">
        <v>1824</v>
      </c>
      <c r="L77" s="8" t="s">
        <v>1825</v>
      </c>
      <c r="M77" s="8" t="s">
        <v>912</v>
      </c>
    </row>
    <row r="78" customFormat="false" ht="15" hidden="false" customHeight="false" outlineLevel="0" collapsed="false">
      <c r="A78" s="8" t="s">
        <v>1826</v>
      </c>
      <c r="B78" s="11" t="s">
        <v>216</v>
      </c>
      <c r="C78" s="8" t="s">
        <v>217</v>
      </c>
      <c r="D78" s="8" t="s">
        <v>1827</v>
      </c>
      <c r="E78" s="8" t="s">
        <v>1828</v>
      </c>
      <c r="F78" s="8" t="s">
        <v>1447</v>
      </c>
      <c r="G78" s="8" t="s">
        <v>1330</v>
      </c>
      <c r="H78" s="10" t="n">
        <v>500</v>
      </c>
      <c r="I78" s="10" t="n">
        <v>1200</v>
      </c>
      <c r="J78" s="8" t="s">
        <v>1427</v>
      </c>
      <c r="K78" s="8" t="s">
        <v>1829</v>
      </c>
      <c r="L78" s="8" t="s">
        <v>1830</v>
      </c>
      <c r="M78" s="8" t="s">
        <v>912</v>
      </c>
    </row>
    <row r="79" customFormat="false" ht="15" hidden="false" customHeight="false" outlineLevel="0" collapsed="false">
      <c r="A79" s="8" t="s">
        <v>1831</v>
      </c>
      <c r="B79" s="11" t="s">
        <v>216</v>
      </c>
      <c r="C79" s="8" t="s">
        <v>217</v>
      </c>
      <c r="D79" s="8" t="s">
        <v>1832</v>
      </c>
      <c r="E79" s="8" t="s">
        <v>1833</v>
      </c>
      <c r="F79" s="8" t="s">
        <v>1834</v>
      </c>
      <c r="G79" s="8" t="s">
        <v>1835</v>
      </c>
      <c r="H79" s="10" t="n">
        <v>300</v>
      </c>
      <c r="I79" s="10" t="n">
        <v>800</v>
      </c>
      <c r="J79" s="8" t="s">
        <v>1405</v>
      </c>
      <c r="K79" s="8" t="s">
        <v>1836</v>
      </c>
      <c r="L79" s="8" t="s">
        <v>1837</v>
      </c>
      <c r="M79" s="8" t="s">
        <v>912</v>
      </c>
    </row>
    <row r="80" customFormat="false" ht="15" hidden="false" customHeight="false" outlineLevel="0" collapsed="false">
      <c r="A80" s="8" t="s">
        <v>1838</v>
      </c>
      <c r="B80" s="11" t="s">
        <v>228</v>
      </c>
      <c r="C80" s="8" t="s">
        <v>229</v>
      </c>
      <c r="D80" s="8" t="s">
        <v>1839</v>
      </c>
      <c r="E80" s="8" t="s">
        <v>1840</v>
      </c>
      <c r="F80" s="8" t="s">
        <v>1841</v>
      </c>
      <c r="G80" s="8" t="s">
        <v>1842</v>
      </c>
      <c r="H80" s="10" t="n">
        <v>400</v>
      </c>
      <c r="I80" s="10" t="n">
        <v>900</v>
      </c>
      <c r="J80" s="8" t="s">
        <v>1495</v>
      </c>
      <c r="K80" s="8" t="s">
        <v>1843</v>
      </c>
      <c r="L80" s="8" t="s">
        <v>1844</v>
      </c>
      <c r="M80" s="8" t="s">
        <v>912</v>
      </c>
    </row>
    <row r="81" customFormat="false" ht="15" hidden="false" customHeight="false" outlineLevel="0" collapsed="false">
      <c r="A81" s="8" t="s">
        <v>1845</v>
      </c>
      <c r="B81" s="11" t="s">
        <v>228</v>
      </c>
      <c r="C81" s="8" t="s">
        <v>229</v>
      </c>
      <c r="D81" s="8" t="s">
        <v>1846</v>
      </c>
      <c r="E81" s="8" t="s">
        <v>1558</v>
      </c>
      <c r="F81" s="8" t="s">
        <v>1847</v>
      </c>
      <c r="G81" s="8" t="s">
        <v>1848</v>
      </c>
      <c r="H81" s="10" t="n">
        <v>800</v>
      </c>
      <c r="I81" s="10" t="n">
        <v>1500</v>
      </c>
      <c r="J81" s="8" t="s">
        <v>1427</v>
      </c>
      <c r="K81" s="8" t="s">
        <v>1849</v>
      </c>
      <c r="L81" s="8" t="s">
        <v>1850</v>
      </c>
      <c r="M81" s="8" t="s">
        <v>912</v>
      </c>
    </row>
    <row r="82" customFormat="false" ht="15" hidden="false" customHeight="false" outlineLevel="0" collapsed="false">
      <c r="A82" s="8" t="s">
        <v>1851</v>
      </c>
      <c r="B82" s="11" t="s">
        <v>228</v>
      </c>
      <c r="C82" s="8" t="s">
        <v>229</v>
      </c>
      <c r="D82" s="8" t="s">
        <v>1852</v>
      </c>
      <c r="E82" s="8" t="s">
        <v>1813</v>
      </c>
      <c r="F82" s="8" t="s">
        <v>1853</v>
      </c>
      <c r="G82" s="8" t="s">
        <v>1854</v>
      </c>
      <c r="H82" s="10" t="n">
        <v>300</v>
      </c>
      <c r="I82" s="10" t="n">
        <v>700</v>
      </c>
      <c r="J82" s="8" t="s">
        <v>1427</v>
      </c>
      <c r="K82" s="8" t="s">
        <v>1855</v>
      </c>
      <c r="L82" s="8" t="s">
        <v>1613</v>
      </c>
      <c r="M82" s="8" t="s">
        <v>912</v>
      </c>
    </row>
    <row r="83" customFormat="false" ht="15" hidden="false" customHeight="false" outlineLevel="0" collapsed="false">
      <c r="A83" s="8" t="s">
        <v>1856</v>
      </c>
      <c r="B83" s="11" t="s">
        <v>228</v>
      </c>
      <c r="C83" s="8" t="s">
        <v>229</v>
      </c>
      <c r="D83" s="8" t="s">
        <v>1857</v>
      </c>
      <c r="E83" s="8" t="s">
        <v>1813</v>
      </c>
      <c r="F83" s="8" t="s">
        <v>1455</v>
      </c>
      <c r="G83" s="8" t="s">
        <v>229</v>
      </c>
      <c r="H83" s="10" t="n">
        <v>400</v>
      </c>
      <c r="I83" s="10" t="n">
        <v>800</v>
      </c>
      <c r="J83" s="8" t="s">
        <v>1427</v>
      </c>
      <c r="K83" s="8" t="s">
        <v>1858</v>
      </c>
      <c r="L83" s="8" t="s">
        <v>1561</v>
      </c>
      <c r="M83" s="8" t="s">
        <v>912</v>
      </c>
    </row>
    <row r="84" customFormat="false" ht="15" hidden="false" customHeight="false" outlineLevel="0" collapsed="false">
      <c r="A84" s="8" t="s">
        <v>1859</v>
      </c>
      <c r="B84" s="11" t="s">
        <v>228</v>
      </c>
      <c r="C84" s="8" t="s">
        <v>229</v>
      </c>
      <c r="D84" s="8" t="s">
        <v>1860</v>
      </c>
      <c r="E84" s="8" t="s">
        <v>1861</v>
      </c>
      <c r="F84" s="8" t="s">
        <v>1455</v>
      </c>
      <c r="G84" s="8" t="s">
        <v>229</v>
      </c>
      <c r="H84" s="10" t="n">
        <v>300</v>
      </c>
      <c r="I84" s="10" t="n">
        <v>700</v>
      </c>
      <c r="J84" s="8" t="s">
        <v>1427</v>
      </c>
      <c r="K84" s="8" t="s">
        <v>1529</v>
      </c>
      <c r="L84" s="8" t="s">
        <v>1862</v>
      </c>
      <c r="M84" s="8" t="s">
        <v>912</v>
      </c>
    </row>
    <row r="85" customFormat="false" ht="15" hidden="false" customHeight="false" outlineLevel="0" collapsed="false">
      <c r="A85" s="8" t="s">
        <v>1863</v>
      </c>
      <c r="B85" s="11" t="s">
        <v>228</v>
      </c>
      <c r="C85" s="8" t="s">
        <v>229</v>
      </c>
      <c r="D85" s="8" t="s">
        <v>1864</v>
      </c>
      <c r="E85" s="8" t="s">
        <v>1840</v>
      </c>
      <c r="F85" s="8" t="s">
        <v>1455</v>
      </c>
      <c r="G85" s="8" t="s">
        <v>229</v>
      </c>
      <c r="H85" s="10" t="n">
        <v>700</v>
      </c>
      <c r="I85" s="10" t="n">
        <v>1500</v>
      </c>
      <c r="J85" s="8" t="s">
        <v>1427</v>
      </c>
      <c r="K85" s="8" t="s">
        <v>1865</v>
      </c>
      <c r="L85" s="8" t="s">
        <v>1866</v>
      </c>
      <c r="M85" s="8" t="s">
        <v>912</v>
      </c>
    </row>
  </sheetData>
  <autoFilter ref="A1:M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52"/>
    <col collapsed="false" customWidth="true" hidden="false" outlineLevel="0" max="6" min="6" style="0" width="24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52"/>
  </cols>
  <sheetData>
    <row r="1" customFormat="false" ht="31.5" hidden="false" customHeight="true" outlineLevel="0" collapsed="false">
      <c r="A1" s="7" t="s">
        <v>52</v>
      </c>
      <c r="B1" s="7" t="s">
        <v>53</v>
      </c>
      <c r="C1" s="7" t="s">
        <v>56</v>
      </c>
      <c r="D1" s="7" t="s">
        <v>1867</v>
      </c>
      <c r="E1" s="7" t="s">
        <v>1868</v>
      </c>
      <c r="F1" s="7" t="s">
        <v>1869</v>
      </c>
      <c r="G1" s="7" t="s">
        <v>1870</v>
      </c>
      <c r="H1" s="7" t="s">
        <v>1871</v>
      </c>
      <c r="I1" s="7" t="s">
        <v>1872</v>
      </c>
      <c r="J1" s="7" t="s">
        <v>903</v>
      </c>
    </row>
    <row r="2" customFormat="false" ht="15" hidden="false" customHeight="false" outlineLevel="0" collapsed="false">
      <c r="A2" s="11" t="s">
        <v>74</v>
      </c>
      <c r="B2" s="8" t="s">
        <v>75</v>
      </c>
      <c r="C2" s="8" t="s">
        <v>1873</v>
      </c>
      <c r="D2" s="8" t="s">
        <v>1874</v>
      </c>
      <c r="E2" s="8" t="s">
        <v>1875</v>
      </c>
      <c r="F2" s="8" t="s">
        <v>1876</v>
      </c>
      <c r="G2" s="10" t="n">
        <v>3000</v>
      </c>
      <c r="H2" s="10" t="n">
        <v>9000</v>
      </c>
      <c r="I2" s="8" t="s">
        <v>1877</v>
      </c>
      <c r="J2" s="8" t="s">
        <v>1878</v>
      </c>
    </row>
    <row r="3" customFormat="false" ht="23.85" hidden="false" customHeight="false" outlineLevel="0" collapsed="false">
      <c r="A3" s="11" t="s">
        <v>74</v>
      </c>
      <c r="B3" s="8" t="s">
        <v>75</v>
      </c>
      <c r="C3" s="8" t="s">
        <v>1873</v>
      </c>
      <c r="D3" s="8" t="s">
        <v>1879</v>
      </c>
      <c r="E3" s="8" t="s">
        <v>1880</v>
      </c>
      <c r="F3" s="8" t="s">
        <v>1881</v>
      </c>
      <c r="G3" s="10" t="n">
        <v>1800</v>
      </c>
      <c r="H3" s="10" t="n">
        <v>4500</v>
      </c>
      <c r="I3" s="8" t="s">
        <v>1882</v>
      </c>
      <c r="J3" s="8" t="s">
        <v>1883</v>
      </c>
    </row>
    <row r="4" customFormat="false" ht="15" hidden="false" customHeight="false" outlineLevel="0" collapsed="false">
      <c r="A4" s="11" t="s">
        <v>74</v>
      </c>
      <c r="B4" s="8" t="s">
        <v>75</v>
      </c>
      <c r="C4" s="8" t="s">
        <v>1884</v>
      </c>
      <c r="D4" s="8" t="s">
        <v>1885</v>
      </c>
      <c r="E4" s="8" t="s">
        <v>1886</v>
      </c>
      <c r="F4" s="8" t="s">
        <v>1887</v>
      </c>
      <c r="G4" s="10" t="n">
        <v>10</v>
      </c>
      <c r="H4" s="10" t="n">
        <v>60</v>
      </c>
      <c r="I4" s="8" t="s">
        <v>1888</v>
      </c>
      <c r="J4" s="8" t="s">
        <v>1889</v>
      </c>
    </row>
    <row r="5" customFormat="false" ht="15" hidden="false" customHeight="false" outlineLevel="0" collapsed="false">
      <c r="A5" s="11" t="s">
        <v>74</v>
      </c>
      <c r="B5" s="8" t="s">
        <v>75</v>
      </c>
      <c r="C5" s="8" t="s">
        <v>1884</v>
      </c>
      <c r="D5" s="8" t="s">
        <v>1890</v>
      </c>
      <c r="E5" s="8" t="s">
        <v>1891</v>
      </c>
      <c r="F5" s="8" t="s">
        <v>1892</v>
      </c>
      <c r="G5" s="10" t="n">
        <v>100</v>
      </c>
      <c r="H5" s="10" t="n">
        <v>600</v>
      </c>
      <c r="I5" s="8" t="s">
        <v>1893</v>
      </c>
      <c r="J5" s="8" t="s">
        <v>1894</v>
      </c>
    </row>
    <row r="6" customFormat="false" ht="15" hidden="false" customHeight="false" outlineLevel="0" collapsed="false">
      <c r="A6" s="11" t="s">
        <v>74</v>
      </c>
      <c r="B6" s="8" t="s">
        <v>75</v>
      </c>
      <c r="C6" s="8" t="s">
        <v>1884</v>
      </c>
      <c r="D6" s="8" t="s">
        <v>1895</v>
      </c>
      <c r="E6" s="8" t="s">
        <v>1896</v>
      </c>
      <c r="F6" s="8" t="s">
        <v>1897</v>
      </c>
      <c r="G6" s="10" t="n">
        <v>30</v>
      </c>
      <c r="H6" s="10" t="n">
        <v>150</v>
      </c>
      <c r="I6" s="8" t="s">
        <v>1888</v>
      </c>
      <c r="J6" s="8" t="s">
        <v>1898</v>
      </c>
    </row>
    <row r="7" customFormat="false" ht="23.85" hidden="false" customHeight="false" outlineLevel="0" collapsed="false">
      <c r="A7" s="11" t="s">
        <v>74</v>
      </c>
      <c r="B7" s="8" t="s">
        <v>75</v>
      </c>
      <c r="C7" s="8" t="s">
        <v>1884</v>
      </c>
      <c r="D7" s="8" t="s">
        <v>1899</v>
      </c>
      <c r="E7" s="8" t="s">
        <v>1900</v>
      </c>
      <c r="F7" s="8" t="s">
        <v>1901</v>
      </c>
      <c r="G7" s="10" t="n">
        <v>1800</v>
      </c>
      <c r="H7" s="10" t="n">
        <v>3500</v>
      </c>
      <c r="I7" s="8" t="s">
        <v>1902</v>
      </c>
      <c r="J7" s="8" t="s">
        <v>1903</v>
      </c>
    </row>
    <row r="8" customFormat="false" ht="23.85" hidden="false" customHeight="false" outlineLevel="0" collapsed="false">
      <c r="A8" s="11" t="s">
        <v>86</v>
      </c>
      <c r="B8" s="8" t="s">
        <v>87</v>
      </c>
      <c r="C8" s="8" t="s">
        <v>1873</v>
      </c>
      <c r="D8" s="8" t="s">
        <v>1879</v>
      </c>
      <c r="E8" s="8" t="s">
        <v>1904</v>
      </c>
      <c r="F8" s="8" t="s">
        <v>1905</v>
      </c>
      <c r="G8" s="10" t="n">
        <v>700</v>
      </c>
      <c r="H8" s="10" t="n">
        <v>1700</v>
      </c>
      <c r="I8" s="8" t="s">
        <v>1906</v>
      </c>
      <c r="J8" s="8" t="s">
        <v>1907</v>
      </c>
    </row>
    <row r="9" customFormat="false" ht="15" hidden="false" customHeight="false" outlineLevel="0" collapsed="false">
      <c r="A9" s="11" t="s">
        <v>86</v>
      </c>
      <c r="B9" s="8" t="s">
        <v>87</v>
      </c>
      <c r="C9" s="8" t="s">
        <v>1873</v>
      </c>
      <c r="D9" s="8" t="s">
        <v>1908</v>
      </c>
      <c r="E9" s="8" t="s">
        <v>1909</v>
      </c>
      <c r="F9" s="8" t="s">
        <v>1910</v>
      </c>
      <c r="G9" s="10" t="n">
        <v>4000</v>
      </c>
      <c r="H9" s="10" t="n">
        <v>6500</v>
      </c>
      <c r="I9" s="8" t="s">
        <v>1902</v>
      </c>
      <c r="J9" s="8" t="s">
        <v>1911</v>
      </c>
    </row>
    <row r="10" customFormat="false" ht="15" hidden="false" customHeight="false" outlineLevel="0" collapsed="false">
      <c r="A10" s="11" t="s">
        <v>86</v>
      </c>
      <c r="B10" s="8" t="s">
        <v>87</v>
      </c>
      <c r="C10" s="8" t="s">
        <v>1873</v>
      </c>
      <c r="D10" s="8" t="s">
        <v>1912</v>
      </c>
      <c r="E10" s="8" t="s">
        <v>1913</v>
      </c>
      <c r="F10" s="8" t="s">
        <v>1914</v>
      </c>
      <c r="G10" s="10" t="n">
        <v>300</v>
      </c>
      <c r="H10" s="10" t="n">
        <v>900</v>
      </c>
      <c r="I10" s="8" t="s">
        <v>1915</v>
      </c>
      <c r="J10" s="8"/>
    </row>
    <row r="11" customFormat="false" ht="15" hidden="false" customHeight="false" outlineLevel="0" collapsed="false">
      <c r="A11" s="11" t="s">
        <v>86</v>
      </c>
      <c r="B11" s="8" t="s">
        <v>87</v>
      </c>
      <c r="C11" s="8" t="s">
        <v>1884</v>
      </c>
      <c r="D11" s="8" t="s">
        <v>1916</v>
      </c>
      <c r="E11" s="8" t="s">
        <v>1917</v>
      </c>
      <c r="F11" s="8" t="s">
        <v>1918</v>
      </c>
      <c r="G11" s="10" t="n">
        <v>30</v>
      </c>
      <c r="H11" s="10" t="n">
        <v>150</v>
      </c>
      <c r="I11" s="8" t="s">
        <v>1888</v>
      </c>
      <c r="J11" s="8" t="s">
        <v>1919</v>
      </c>
    </row>
    <row r="12" customFormat="false" ht="15" hidden="false" customHeight="false" outlineLevel="0" collapsed="false">
      <c r="A12" s="11" t="s">
        <v>86</v>
      </c>
      <c r="B12" s="8" t="s">
        <v>87</v>
      </c>
      <c r="C12" s="8" t="s">
        <v>1884</v>
      </c>
      <c r="D12" s="8" t="s">
        <v>1920</v>
      </c>
      <c r="E12" s="8" t="s">
        <v>1921</v>
      </c>
      <c r="F12" s="8" t="s">
        <v>1892</v>
      </c>
      <c r="G12" s="10" t="n">
        <v>100</v>
      </c>
      <c r="H12" s="10" t="n">
        <v>500</v>
      </c>
      <c r="I12" s="8" t="s">
        <v>1888</v>
      </c>
      <c r="J12" s="8"/>
    </row>
    <row r="13" customFormat="false" ht="15" hidden="false" customHeight="false" outlineLevel="0" collapsed="false">
      <c r="A13" s="11" t="s">
        <v>86</v>
      </c>
      <c r="B13" s="8" t="s">
        <v>87</v>
      </c>
      <c r="C13" s="8" t="s">
        <v>1884</v>
      </c>
      <c r="D13" s="8" t="s">
        <v>1922</v>
      </c>
      <c r="E13" s="8" t="s">
        <v>1923</v>
      </c>
      <c r="F13" s="8" t="s">
        <v>1924</v>
      </c>
      <c r="G13" s="10" t="n">
        <v>2500</v>
      </c>
      <c r="H13" s="10" t="n">
        <v>4500</v>
      </c>
      <c r="I13" s="8" t="s">
        <v>1902</v>
      </c>
      <c r="J13" s="8"/>
    </row>
    <row r="14" customFormat="false" ht="15" hidden="false" customHeight="false" outlineLevel="0" collapsed="false">
      <c r="A14" s="11" t="s">
        <v>97</v>
      </c>
      <c r="B14" s="8" t="s">
        <v>98</v>
      </c>
      <c r="C14" s="8" t="s">
        <v>1873</v>
      </c>
      <c r="D14" s="8" t="s">
        <v>1879</v>
      </c>
      <c r="E14" s="8" t="s">
        <v>1925</v>
      </c>
      <c r="F14" s="8" t="s">
        <v>1926</v>
      </c>
      <c r="G14" s="10" t="n">
        <v>700</v>
      </c>
      <c r="H14" s="10" t="n">
        <v>1900</v>
      </c>
      <c r="I14" s="8" t="s">
        <v>1906</v>
      </c>
      <c r="J14" s="8"/>
    </row>
    <row r="15" customFormat="false" ht="15" hidden="false" customHeight="false" outlineLevel="0" collapsed="false">
      <c r="A15" s="11" t="s">
        <v>97</v>
      </c>
      <c r="B15" s="8" t="s">
        <v>98</v>
      </c>
      <c r="C15" s="8" t="s">
        <v>1873</v>
      </c>
      <c r="D15" s="8" t="s">
        <v>1908</v>
      </c>
      <c r="E15" s="8" t="s">
        <v>1927</v>
      </c>
      <c r="F15" s="8" t="s">
        <v>1928</v>
      </c>
      <c r="G15" s="10" t="n">
        <v>4500</v>
      </c>
      <c r="H15" s="10" t="n">
        <v>6500</v>
      </c>
      <c r="I15" s="8" t="s">
        <v>1902</v>
      </c>
      <c r="J15" s="8"/>
    </row>
    <row r="16" customFormat="false" ht="15" hidden="false" customHeight="false" outlineLevel="0" collapsed="false">
      <c r="A16" s="11" t="s">
        <v>97</v>
      </c>
      <c r="B16" s="8" t="s">
        <v>98</v>
      </c>
      <c r="C16" s="8" t="s">
        <v>1873</v>
      </c>
      <c r="D16" s="8" t="s">
        <v>1912</v>
      </c>
      <c r="E16" s="8" t="s">
        <v>1929</v>
      </c>
      <c r="F16" s="8" t="s">
        <v>1928</v>
      </c>
      <c r="G16" s="10" t="n">
        <v>500</v>
      </c>
      <c r="H16" s="10" t="n">
        <v>900</v>
      </c>
      <c r="I16" s="8" t="s">
        <v>1915</v>
      </c>
      <c r="J16" s="8"/>
    </row>
    <row r="17" customFormat="false" ht="15" hidden="false" customHeight="false" outlineLevel="0" collapsed="false">
      <c r="A17" s="11" t="s">
        <v>97</v>
      </c>
      <c r="B17" s="8" t="s">
        <v>98</v>
      </c>
      <c r="C17" s="8" t="s">
        <v>1884</v>
      </c>
      <c r="D17" s="8" t="s">
        <v>1885</v>
      </c>
      <c r="E17" s="8" t="s">
        <v>1930</v>
      </c>
      <c r="F17" s="8" t="s">
        <v>1931</v>
      </c>
      <c r="G17" s="10" t="n">
        <v>10</v>
      </c>
      <c r="H17" s="10" t="n">
        <v>30</v>
      </c>
      <c r="I17" s="8" t="s">
        <v>1888</v>
      </c>
      <c r="J17" s="8" t="s">
        <v>1932</v>
      </c>
    </row>
    <row r="18" customFormat="false" ht="15" hidden="false" customHeight="false" outlineLevel="0" collapsed="false">
      <c r="A18" s="11" t="s">
        <v>97</v>
      </c>
      <c r="B18" s="8" t="s">
        <v>98</v>
      </c>
      <c r="C18" s="8" t="s">
        <v>1884</v>
      </c>
      <c r="D18" s="8" t="s">
        <v>1933</v>
      </c>
      <c r="E18" s="8" t="s">
        <v>1934</v>
      </c>
      <c r="F18" s="8" t="s">
        <v>1935</v>
      </c>
      <c r="G18" s="10" t="n">
        <v>100</v>
      </c>
      <c r="H18" s="10" t="n">
        <v>300</v>
      </c>
      <c r="I18" s="8" t="s">
        <v>1888</v>
      </c>
      <c r="J18" s="8" t="s">
        <v>1936</v>
      </c>
    </row>
    <row r="19" customFormat="false" ht="15" hidden="false" customHeight="false" outlineLevel="0" collapsed="false">
      <c r="A19" s="11" t="s">
        <v>97</v>
      </c>
      <c r="B19" s="8" t="s">
        <v>98</v>
      </c>
      <c r="C19" s="8" t="s">
        <v>1884</v>
      </c>
      <c r="D19" s="8" t="s">
        <v>1922</v>
      </c>
      <c r="E19" s="8" t="s">
        <v>1937</v>
      </c>
      <c r="F19" s="8" t="s">
        <v>1901</v>
      </c>
      <c r="G19" s="10" t="n">
        <v>1800</v>
      </c>
      <c r="H19" s="10" t="n">
        <v>3200</v>
      </c>
      <c r="I19" s="8" t="s">
        <v>1902</v>
      </c>
      <c r="J19" s="8" t="s">
        <v>1938</v>
      </c>
    </row>
    <row r="20" customFormat="false" ht="15" hidden="false" customHeight="false" outlineLevel="0" collapsed="false">
      <c r="A20" s="11" t="s">
        <v>108</v>
      </c>
      <c r="B20" s="8" t="s">
        <v>109</v>
      </c>
      <c r="C20" s="8" t="s">
        <v>1873</v>
      </c>
      <c r="D20" s="8" t="s">
        <v>1874</v>
      </c>
      <c r="E20" s="8" t="s">
        <v>1939</v>
      </c>
      <c r="F20" s="8" t="s">
        <v>1940</v>
      </c>
      <c r="G20" s="10" t="n">
        <v>3500</v>
      </c>
      <c r="H20" s="10" t="n">
        <v>8000</v>
      </c>
      <c r="I20" s="8" t="s">
        <v>1877</v>
      </c>
      <c r="J20" s="8"/>
    </row>
    <row r="21" customFormat="false" ht="15" hidden="false" customHeight="false" outlineLevel="0" collapsed="false">
      <c r="A21" s="11" t="s">
        <v>108</v>
      </c>
      <c r="B21" s="8" t="s">
        <v>109</v>
      </c>
      <c r="C21" s="8" t="s">
        <v>1873</v>
      </c>
      <c r="D21" s="8" t="s">
        <v>1879</v>
      </c>
      <c r="E21" s="8" t="s">
        <v>1941</v>
      </c>
      <c r="F21" s="8" t="s">
        <v>1942</v>
      </c>
      <c r="G21" s="10" t="n">
        <v>600</v>
      </c>
      <c r="H21" s="10" t="n">
        <v>2200</v>
      </c>
      <c r="I21" s="8" t="s">
        <v>1915</v>
      </c>
      <c r="J21" s="8"/>
    </row>
    <row r="22" customFormat="false" ht="15" hidden="false" customHeight="false" outlineLevel="0" collapsed="false">
      <c r="A22" s="11" t="s">
        <v>108</v>
      </c>
      <c r="B22" s="8" t="s">
        <v>109</v>
      </c>
      <c r="C22" s="8" t="s">
        <v>1873</v>
      </c>
      <c r="D22" s="8" t="s">
        <v>1912</v>
      </c>
      <c r="E22" s="8" t="s">
        <v>1943</v>
      </c>
      <c r="F22" s="8" t="s">
        <v>1944</v>
      </c>
      <c r="G22" s="10" t="n">
        <v>600</v>
      </c>
      <c r="H22" s="10" t="n">
        <v>1500</v>
      </c>
      <c r="I22" s="8" t="s">
        <v>1915</v>
      </c>
      <c r="J22" s="8"/>
    </row>
    <row r="23" customFormat="false" ht="15" hidden="false" customHeight="false" outlineLevel="0" collapsed="false">
      <c r="A23" s="11" t="s">
        <v>108</v>
      </c>
      <c r="B23" s="8" t="s">
        <v>109</v>
      </c>
      <c r="C23" s="8" t="s">
        <v>1884</v>
      </c>
      <c r="D23" s="8" t="s">
        <v>1933</v>
      </c>
      <c r="E23" s="8" t="s">
        <v>1945</v>
      </c>
      <c r="F23" s="8" t="s">
        <v>1946</v>
      </c>
      <c r="G23" s="10" t="n">
        <v>80</v>
      </c>
      <c r="H23" s="10" t="n">
        <v>250</v>
      </c>
      <c r="I23" s="8" t="s">
        <v>1888</v>
      </c>
      <c r="J23" s="8"/>
    </row>
    <row r="24" customFormat="false" ht="15" hidden="false" customHeight="false" outlineLevel="0" collapsed="false">
      <c r="A24" s="11" t="s">
        <v>108</v>
      </c>
      <c r="B24" s="8" t="s">
        <v>109</v>
      </c>
      <c r="C24" s="8" t="s">
        <v>1884</v>
      </c>
      <c r="D24" s="8" t="s">
        <v>1947</v>
      </c>
      <c r="E24" s="8" t="s">
        <v>1948</v>
      </c>
      <c r="F24" s="8" t="s">
        <v>1949</v>
      </c>
      <c r="G24" s="10" t="n">
        <v>400</v>
      </c>
      <c r="H24" s="10" t="n">
        <v>700</v>
      </c>
      <c r="I24" s="8" t="s">
        <v>1950</v>
      </c>
      <c r="J24" s="8"/>
    </row>
    <row r="25" customFormat="false" ht="15" hidden="false" customHeight="false" outlineLevel="0" collapsed="false">
      <c r="A25" s="11" t="s">
        <v>108</v>
      </c>
      <c r="B25" s="8" t="s">
        <v>109</v>
      </c>
      <c r="C25" s="8" t="s">
        <v>1884</v>
      </c>
      <c r="D25" s="8" t="s">
        <v>1951</v>
      </c>
      <c r="E25" s="8" t="s">
        <v>1952</v>
      </c>
      <c r="F25" s="8" t="s">
        <v>1924</v>
      </c>
      <c r="G25" s="10" t="n">
        <v>3500</v>
      </c>
      <c r="H25" s="10" t="n">
        <v>5500</v>
      </c>
      <c r="I25" s="8" t="s">
        <v>1902</v>
      </c>
      <c r="J25" s="8"/>
    </row>
    <row r="26" customFormat="false" ht="15" hidden="false" customHeight="false" outlineLevel="0" collapsed="false">
      <c r="A26" s="11" t="s">
        <v>118</v>
      </c>
      <c r="B26" s="8" t="s">
        <v>119</v>
      </c>
      <c r="C26" s="8" t="s">
        <v>1873</v>
      </c>
      <c r="D26" s="8" t="s">
        <v>1879</v>
      </c>
      <c r="E26" s="8" t="s">
        <v>1953</v>
      </c>
      <c r="F26" s="8" t="s">
        <v>1954</v>
      </c>
      <c r="G26" s="10" t="n">
        <v>300</v>
      </c>
      <c r="H26" s="10" t="n">
        <v>1500</v>
      </c>
      <c r="I26" s="8" t="s">
        <v>1915</v>
      </c>
      <c r="J26" s="8"/>
    </row>
    <row r="27" customFormat="false" ht="15" hidden="false" customHeight="false" outlineLevel="0" collapsed="false">
      <c r="A27" s="11" t="s">
        <v>118</v>
      </c>
      <c r="B27" s="8" t="s">
        <v>119</v>
      </c>
      <c r="C27" s="8" t="s">
        <v>1873</v>
      </c>
      <c r="D27" s="8" t="s">
        <v>1912</v>
      </c>
      <c r="E27" s="8" t="s">
        <v>1955</v>
      </c>
      <c r="F27" s="8" t="s">
        <v>1956</v>
      </c>
      <c r="G27" s="10" t="n">
        <v>700</v>
      </c>
      <c r="H27" s="10" t="n">
        <v>1800</v>
      </c>
      <c r="I27" s="8" t="s">
        <v>1915</v>
      </c>
      <c r="J27" s="8" t="s">
        <v>1957</v>
      </c>
    </row>
    <row r="28" customFormat="false" ht="15" hidden="false" customHeight="false" outlineLevel="0" collapsed="false">
      <c r="A28" s="11" t="s">
        <v>118</v>
      </c>
      <c r="B28" s="8" t="s">
        <v>119</v>
      </c>
      <c r="C28" s="8" t="s">
        <v>1873</v>
      </c>
      <c r="D28" s="8" t="s">
        <v>1874</v>
      </c>
      <c r="E28" s="8" t="s">
        <v>1958</v>
      </c>
      <c r="F28" s="8" t="s">
        <v>1892</v>
      </c>
      <c r="G28" s="10" t="n">
        <v>3500</v>
      </c>
      <c r="H28" s="10" t="n">
        <v>8000</v>
      </c>
      <c r="I28" s="8" t="s">
        <v>1915</v>
      </c>
      <c r="J28" s="8" t="s">
        <v>1959</v>
      </c>
    </row>
    <row r="29" customFormat="false" ht="15" hidden="false" customHeight="false" outlineLevel="0" collapsed="false">
      <c r="A29" s="11" t="s">
        <v>118</v>
      </c>
      <c r="B29" s="8" t="s">
        <v>119</v>
      </c>
      <c r="C29" s="8" t="s">
        <v>1884</v>
      </c>
      <c r="D29" s="8" t="s">
        <v>1960</v>
      </c>
      <c r="E29" s="8" t="s">
        <v>1961</v>
      </c>
      <c r="F29" s="8" t="s">
        <v>1962</v>
      </c>
      <c r="G29" s="10" t="n">
        <v>20</v>
      </c>
      <c r="H29" s="10" t="n">
        <v>500</v>
      </c>
      <c r="I29" s="8" t="s">
        <v>1963</v>
      </c>
      <c r="J29" s="8"/>
    </row>
    <row r="30" customFormat="false" ht="15" hidden="false" customHeight="false" outlineLevel="0" collapsed="false">
      <c r="A30" s="11" t="s">
        <v>118</v>
      </c>
      <c r="B30" s="8" t="s">
        <v>119</v>
      </c>
      <c r="C30" s="8" t="s">
        <v>1884</v>
      </c>
      <c r="D30" s="8" t="s">
        <v>1964</v>
      </c>
      <c r="E30" s="8" t="s">
        <v>1965</v>
      </c>
      <c r="F30" s="8" t="s">
        <v>1949</v>
      </c>
      <c r="G30" s="10" t="n">
        <v>100</v>
      </c>
      <c r="H30" s="10" t="n">
        <v>200</v>
      </c>
      <c r="I30" s="8" t="s">
        <v>1950</v>
      </c>
      <c r="J30" s="8" t="s">
        <v>1966</v>
      </c>
    </row>
    <row r="31" customFormat="false" ht="15" hidden="false" customHeight="false" outlineLevel="0" collapsed="false">
      <c r="A31" s="11" t="s">
        <v>118</v>
      </c>
      <c r="B31" s="8" t="s">
        <v>119</v>
      </c>
      <c r="C31" s="8" t="s">
        <v>1884</v>
      </c>
      <c r="D31" s="8" t="s">
        <v>1967</v>
      </c>
      <c r="E31" s="8" t="s">
        <v>1965</v>
      </c>
      <c r="F31" s="8" t="s">
        <v>1949</v>
      </c>
      <c r="G31" s="10" t="n">
        <v>300</v>
      </c>
      <c r="H31" s="10" t="n">
        <v>600</v>
      </c>
      <c r="I31" s="8" t="s">
        <v>1950</v>
      </c>
      <c r="J31" s="8"/>
    </row>
    <row r="32" customFormat="false" ht="15" hidden="false" customHeight="false" outlineLevel="0" collapsed="false">
      <c r="A32" s="11" t="s">
        <v>118</v>
      </c>
      <c r="B32" s="8" t="s">
        <v>119</v>
      </c>
      <c r="C32" s="8" t="s">
        <v>1884</v>
      </c>
      <c r="D32" s="8" t="s">
        <v>1968</v>
      </c>
      <c r="E32" s="8" t="s">
        <v>1969</v>
      </c>
      <c r="F32" s="8" t="s">
        <v>1970</v>
      </c>
      <c r="G32" s="10" t="n">
        <v>1000</v>
      </c>
      <c r="H32" s="10" t="n">
        <v>1800</v>
      </c>
      <c r="I32" s="8" t="s">
        <v>1902</v>
      </c>
      <c r="J32" s="8"/>
    </row>
    <row r="33" customFormat="false" ht="23.85" hidden="false" customHeight="false" outlineLevel="0" collapsed="false">
      <c r="A33" s="11" t="s">
        <v>130</v>
      </c>
      <c r="B33" s="8" t="s">
        <v>131</v>
      </c>
      <c r="C33" s="8" t="s">
        <v>1873</v>
      </c>
      <c r="D33" s="8" t="s">
        <v>1874</v>
      </c>
      <c r="E33" s="8" t="s">
        <v>1971</v>
      </c>
      <c r="F33" s="8" t="s">
        <v>1972</v>
      </c>
      <c r="G33" s="10" t="n">
        <v>3500</v>
      </c>
      <c r="H33" s="10" t="n">
        <v>9000</v>
      </c>
      <c r="I33" s="8" t="s">
        <v>1877</v>
      </c>
      <c r="J33" s="8"/>
    </row>
    <row r="34" customFormat="false" ht="23.85" hidden="false" customHeight="false" outlineLevel="0" collapsed="false">
      <c r="A34" s="11" t="s">
        <v>130</v>
      </c>
      <c r="B34" s="8" t="s">
        <v>131</v>
      </c>
      <c r="C34" s="8" t="s">
        <v>1873</v>
      </c>
      <c r="D34" s="8" t="s">
        <v>1879</v>
      </c>
      <c r="E34" s="8" t="s">
        <v>1973</v>
      </c>
      <c r="F34" s="8" t="s">
        <v>1974</v>
      </c>
      <c r="G34" s="10" t="n">
        <v>400</v>
      </c>
      <c r="H34" s="10" t="n">
        <v>1500</v>
      </c>
      <c r="I34" s="8" t="s">
        <v>1915</v>
      </c>
      <c r="J34" s="8"/>
    </row>
    <row r="35" customFormat="false" ht="15" hidden="false" customHeight="false" outlineLevel="0" collapsed="false">
      <c r="A35" s="11" t="s">
        <v>130</v>
      </c>
      <c r="B35" s="8" t="s">
        <v>131</v>
      </c>
      <c r="C35" s="8" t="s">
        <v>1884</v>
      </c>
      <c r="D35" s="8" t="s">
        <v>1975</v>
      </c>
      <c r="E35" s="8" t="s">
        <v>1976</v>
      </c>
      <c r="F35" s="8" t="s">
        <v>1977</v>
      </c>
      <c r="G35" s="10" t="n">
        <v>800</v>
      </c>
      <c r="H35" s="10" t="n">
        <v>1500</v>
      </c>
      <c r="I35" s="8" t="s">
        <v>1902</v>
      </c>
      <c r="J35" s="8" t="s">
        <v>1978</v>
      </c>
    </row>
    <row r="36" customFormat="false" ht="15" hidden="false" customHeight="false" outlineLevel="0" collapsed="false">
      <c r="A36" s="11" t="s">
        <v>130</v>
      </c>
      <c r="B36" s="8" t="s">
        <v>131</v>
      </c>
      <c r="C36" s="8" t="s">
        <v>1884</v>
      </c>
      <c r="D36" s="8" t="s">
        <v>1975</v>
      </c>
      <c r="E36" s="8" t="s">
        <v>1979</v>
      </c>
      <c r="F36" s="8" t="s">
        <v>1980</v>
      </c>
      <c r="G36" s="10" t="n">
        <v>2500</v>
      </c>
      <c r="H36" s="10" t="n">
        <v>4500</v>
      </c>
      <c r="I36" s="8" t="s">
        <v>1902</v>
      </c>
      <c r="J36" s="8" t="s">
        <v>1981</v>
      </c>
    </row>
    <row r="37" customFormat="false" ht="15" hidden="false" customHeight="false" outlineLevel="0" collapsed="false">
      <c r="A37" s="11" t="s">
        <v>130</v>
      </c>
      <c r="B37" s="8" t="s">
        <v>131</v>
      </c>
      <c r="C37" s="8" t="s">
        <v>1884</v>
      </c>
      <c r="D37" s="8" t="s">
        <v>1982</v>
      </c>
      <c r="E37" s="8" t="s">
        <v>1983</v>
      </c>
      <c r="F37" s="8" t="s">
        <v>1984</v>
      </c>
      <c r="G37" s="10" t="n">
        <v>30</v>
      </c>
      <c r="H37" s="10" t="n">
        <v>80</v>
      </c>
      <c r="I37" s="8" t="s">
        <v>1915</v>
      </c>
      <c r="J37" s="8"/>
    </row>
    <row r="38" customFormat="false" ht="15" hidden="false" customHeight="false" outlineLevel="0" collapsed="false">
      <c r="A38" s="11" t="s">
        <v>130</v>
      </c>
      <c r="B38" s="8" t="s">
        <v>131</v>
      </c>
      <c r="C38" s="8" t="s">
        <v>1884</v>
      </c>
      <c r="D38" s="8" t="s">
        <v>1985</v>
      </c>
      <c r="E38" s="8" t="s">
        <v>1986</v>
      </c>
      <c r="F38" s="8" t="s">
        <v>1987</v>
      </c>
      <c r="G38" s="10" t="n">
        <v>20</v>
      </c>
      <c r="H38" s="10" t="n">
        <v>60</v>
      </c>
      <c r="I38" s="8" t="s">
        <v>1915</v>
      </c>
      <c r="J38" s="8" t="s">
        <v>1988</v>
      </c>
    </row>
    <row r="39" customFormat="false" ht="15" hidden="false" customHeight="false" outlineLevel="0" collapsed="false">
      <c r="A39" s="11" t="s">
        <v>142</v>
      </c>
      <c r="B39" s="8" t="s">
        <v>143</v>
      </c>
      <c r="C39" s="8" t="s">
        <v>1873</v>
      </c>
      <c r="D39" s="8" t="s">
        <v>1874</v>
      </c>
      <c r="E39" s="8" t="s">
        <v>1989</v>
      </c>
      <c r="F39" s="8" t="s">
        <v>1940</v>
      </c>
      <c r="G39" s="10" t="n">
        <v>3000</v>
      </c>
      <c r="H39" s="10" t="n">
        <v>9000</v>
      </c>
      <c r="I39" s="8" t="s">
        <v>1877</v>
      </c>
      <c r="J39" s="8" t="s">
        <v>1990</v>
      </c>
    </row>
    <row r="40" customFormat="false" ht="15" hidden="false" customHeight="false" outlineLevel="0" collapsed="false">
      <c r="A40" s="11" t="s">
        <v>142</v>
      </c>
      <c r="B40" s="8" t="s">
        <v>143</v>
      </c>
      <c r="C40" s="8" t="s">
        <v>1873</v>
      </c>
      <c r="D40" s="8" t="s">
        <v>1879</v>
      </c>
      <c r="E40" s="8" t="s">
        <v>1991</v>
      </c>
      <c r="F40" s="8" t="s">
        <v>1992</v>
      </c>
      <c r="G40" s="10" t="n">
        <v>800</v>
      </c>
      <c r="H40" s="10" t="n">
        <v>2700</v>
      </c>
      <c r="I40" s="8" t="s">
        <v>1915</v>
      </c>
      <c r="J40" s="8" t="s">
        <v>1993</v>
      </c>
    </row>
    <row r="41" customFormat="false" ht="15" hidden="false" customHeight="false" outlineLevel="0" collapsed="false">
      <c r="A41" s="11" t="s">
        <v>142</v>
      </c>
      <c r="B41" s="8" t="s">
        <v>143</v>
      </c>
      <c r="C41" s="8" t="s">
        <v>1873</v>
      </c>
      <c r="D41" s="8" t="s">
        <v>1912</v>
      </c>
      <c r="E41" s="8" t="s">
        <v>1994</v>
      </c>
      <c r="F41" s="8" t="s">
        <v>1995</v>
      </c>
      <c r="G41" s="10" t="n">
        <v>700</v>
      </c>
      <c r="H41" s="10" t="n">
        <v>2000</v>
      </c>
      <c r="I41" s="8" t="s">
        <v>1915</v>
      </c>
      <c r="J41" s="8"/>
    </row>
    <row r="42" customFormat="false" ht="15" hidden="false" customHeight="false" outlineLevel="0" collapsed="false">
      <c r="A42" s="11" t="s">
        <v>142</v>
      </c>
      <c r="B42" s="8" t="s">
        <v>143</v>
      </c>
      <c r="C42" s="8" t="s">
        <v>1884</v>
      </c>
      <c r="D42" s="8" t="s">
        <v>1996</v>
      </c>
      <c r="E42" s="8" t="s">
        <v>1997</v>
      </c>
      <c r="F42" s="8" t="s">
        <v>1949</v>
      </c>
      <c r="G42" s="10" t="n">
        <v>400</v>
      </c>
      <c r="H42" s="10" t="n">
        <v>1000</v>
      </c>
      <c r="I42" s="8" t="s">
        <v>1950</v>
      </c>
      <c r="J42" s="8" t="s">
        <v>1998</v>
      </c>
    </row>
    <row r="43" customFormat="false" ht="15" hidden="false" customHeight="false" outlineLevel="0" collapsed="false">
      <c r="A43" s="11" t="s">
        <v>142</v>
      </c>
      <c r="B43" s="8" t="s">
        <v>143</v>
      </c>
      <c r="C43" s="8" t="s">
        <v>1884</v>
      </c>
      <c r="D43" s="8" t="s">
        <v>1975</v>
      </c>
      <c r="E43" s="8" t="s">
        <v>1999</v>
      </c>
      <c r="F43" s="8" t="s">
        <v>1892</v>
      </c>
      <c r="G43" s="10" t="n">
        <v>200</v>
      </c>
      <c r="H43" s="10" t="n">
        <v>2500</v>
      </c>
      <c r="I43" s="8" t="s">
        <v>2000</v>
      </c>
      <c r="J43" s="8" t="s">
        <v>2001</v>
      </c>
    </row>
    <row r="44" customFormat="false" ht="15" hidden="false" customHeight="false" outlineLevel="0" collapsed="false">
      <c r="A44" s="11" t="s">
        <v>142</v>
      </c>
      <c r="B44" s="8" t="s">
        <v>143</v>
      </c>
      <c r="C44" s="8" t="s">
        <v>1884</v>
      </c>
      <c r="D44" s="8" t="s">
        <v>2002</v>
      </c>
      <c r="E44" s="8" t="s">
        <v>2003</v>
      </c>
      <c r="F44" s="8" t="s">
        <v>1892</v>
      </c>
      <c r="G44" s="10" t="n">
        <v>15</v>
      </c>
      <c r="H44" s="10" t="n">
        <v>80</v>
      </c>
      <c r="I44" s="8" t="s">
        <v>1915</v>
      </c>
      <c r="J44" s="8"/>
    </row>
    <row r="45" customFormat="false" ht="15" hidden="false" customHeight="false" outlineLevel="0" collapsed="false">
      <c r="A45" s="11" t="s">
        <v>142</v>
      </c>
      <c r="B45" s="8" t="s">
        <v>143</v>
      </c>
      <c r="C45" s="8" t="s">
        <v>1884</v>
      </c>
      <c r="D45" s="8" t="s">
        <v>2004</v>
      </c>
      <c r="E45" s="8" t="s">
        <v>2005</v>
      </c>
      <c r="F45" s="8" t="s">
        <v>1892</v>
      </c>
      <c r="G45" s="10" t="n">
        <v>100</v>
      </c>
      <c r="H45" s="10" t="n">
        <v>400</v>
      </c>
      <c r="I45" s="8" t="s">
        <v>1888</v>
      </c>
      <c r="J45" s="8"/>
    </row>
    <row r="46" customFormat="false" ht="23.85" hidden="false" customHeight="false" outlineLevel="0" collapsed="false">
      <c r="A46" s="11" t="s">
        <v>152</v>
      </c>
      <c r="B46" s="8" t="s">
        <v>153</v>
      </c>
      <c r="C46" s="8" t="s">
        <v>1873</v>
      </c>
      <c r="D46" s="8" t="s">
        <v>1874</v>
      </c>
      <c r="E46" s="8" t="s">
        <v>2006</v>
      </c>
      <c r="F46" s="8" t="s">
        <v>2007</v>
      </c>
      <c r="G46" s="10" t="n">
        <v>3500</v>
      </c>
      <c r="H46" s="10" t="n">
        <v>9000</v>
      </c>
      <c r="I46" s="8" t="s">
        <v>1877</v>
      </c>
      <c r="J46" s="8"/>
    </row>
    <row r="47" customFormat="false" ht="23.85" hidden="false" customHeight="false" outlineLevel="0" collapsed="false">
      <c r="A47" s="11" t="s">
        <v>152</v>
      </c>
      <c r="B47" s="8" t="s">
        <v>153</v>
      </c>
      <c r="C47" s="8" t="s">
        <v>1873</v>
      </c>
      <c r="D47" s="8" t="s">
        <v>1879</v>
      </c>
      <c r="E47" s="8" t="s">
        <v>2008</v>
      </c>
      <c r="F47" s="8" t="s">
        <v>2009</v>
      </c>
      <c r="G47" s="10" t="n">
        <v>40</v>
      </c>
      <c r="H47" s="10" t="n">
        <v>300</v>
      </c>
      <c r="I47" s="8" t="s">
        <v>1915</v>
      </c>
      <c r="J47" s="8" t="s">
        <v>2010</v>
      </c>
    </row>
    <row r="48" customFormat="false" ht="23.85" hidden="false" customHeight="false" outlineLevel="0" collapsed="false">
      <c r="A48" s="11" t="s">
        <v>152</v>
      </c>
      <c r="B48" s="8" t="s">
        <v>153</v>
      </c>
      <c r="C48" s="8" t="s">
        <v>1873</v>
      </c>
      <c r="D48" s="8" t="s">
        <v>2011</v>
      </c>
      <c r="E48" s="8" t="s">
        <v>2012</v>
      </c>
      <c r="F48" s="8" t="s">
        <v>2013</v>
      </c>
      <c r="G48" s="10" t="n">
        <v>2000</v>
      </c>
      <c r="H48" s="10" t="n">
        <v>3200</v>
      </c>
      <c r="I48" s="8" t="s">
        <v>1902</v>
      </c>
      <c r="J48" s="8" t="s">
        <v>2014</v>
      </c>
    </row>
    <row r="49" customFormat="false" ht="23.85" hidden="false" customHeight="false" outlineLevel="0" collapsed="false">
      <c r="A49" s="11" t="s">
        <v>152</v>
      </c>
      <c r="B49" s="8" t="s">
        <v>153</v>
      </c>
      <c r="C49" s="8" t="s">
        <v>1884</v>
      </c>
      <c r="D49" s="8" t="s">
        <v>2015</v>
      </c>
      <c r="E49" s="8" t="s">
        <v>2016</v>
      </c>
      <c r="F49" s="8" t="s">
        <v>2017</v>
      </c>
      <c r="G49" s="10" t="n">
        <v>30</v>
      </c>
      <c r="H49" s="10" t="n">
        <v>100</v>
      </c>
      <c r="I49" s="8" t="s">
        <v>1915</v>
      </c>
      <c r="J49" s="8" t="s">
        <v>2018</v>
      </c>
    </row>
    <row r="50" customFormat="false" ht="23.85" hidden="false" customHeight="false" outlineLevel="0" collapsed="false">
      <c r="A50" s="11" t="s">
        <v>152</v>
      </c>
      <c r="B50" s="8" t="s">
        <v>153</v>
      </c>
      <c r="C50" s="8" t="s">
        <v>1884</v>
      </c>
      <c r="D50" s="8" t="s">
        <v>2019</v>
      </c>
      <c r="E50" s="8" t="s">
        <v>2020</v>
      </c>
      <c r="F50" s="8" t="s">
        <v>1972</v>
      </c>
      <c r="G50" s="10" t="n">
        <v>400</v>
      </c>
      <c r="H50" s="10" t="n">
        <v>1500</v>
      </c>
      <c r="I50" s="8" t="s">
        <v>2021</v>
      </c>
      <c r="J50" s="8" t="s">
        <v>2022</v>
      </c>
    </row>
    <row r="51" customFormat="false" ht="23.85" hidden="false" customHeight="false" outlineLevel="0" collapsed="false">
      <c r="A51" s="11" t="s">
        <v>152</v>
      </c>
      <c r="B51" s="8" t="s">
        <v>153</v>
      </c>
      <c r="C51" s="8" t="s">
        <v>1884</v>
      </c>
      <c r="D51" s="8" t="s">
        <v>1933</v>
      </c>
      <c r="E51" s="8" t="s">
        <v>2023</v>
      </c>
      <c r="F51" s="8" t="s">
        <v>1918</v>
      </c>
      <c r="G51" s="10" t="n">
        <v>50</v>
      </c>
      <c r="H51" s="10" t="n">
        <v>200</v>
      </c>
      <c r="I51" s="8" t="s">
        <v>1888</v>
      </c>
      <c r="J51" s="8"/>
    </row>
    <row r="52" customFormat="false" ht="15" hidden="false" customHeight="false" outlineLevel="0" collapsed="false">
      <c r="A52" s="11" t="s">
        <v>163</v>
      </c>
      <c r="B52" s="8" t="s">
        <v>164</v>
      </c>
      <c r="C52" s="8" t="s">
        <v>1873</v>
      </c>
      <c r="D52" s="8" t="s">
        <v>1874</v>
      </c>
      <c r="E52" s="8" t="s">
        <v>2024</v>
      </c>
      <c r="F52" s="8" t="s">
        <v>2025</v>
      </c>
      <c r="G52" s="10" t="n">
        <v>5500</v>
      </c>
      <c r="H52" s="10" t="n">
        <v>15000</v>
      </c>
      <c r="I52" s="8" t="s">
        <v>1877</v>
      </c>
      <c r="J52" s="8" t="s">
        <v>2026</v>
      </c>
    </row>
    <row r="53" customFormat="false" ht="15" hidden="false" customHeight="false" outlineLevel="0" collapsed="false">
      <c r="A53" s="11" t="s">
        <v>163</v>
      </c>
      <c r="B53" s="8" t="s">
        <v>164</v>
      </c>
      <c r="C53" s="8" t="s">
        <v>1873</v>
      </c>
      <c r="D53" s="8" t="s">
        <v>2027</v>
      </c>
      <c r="E53" s="8" t="s">
        <v>2028</v>
      </c>
      <c r="F53" s="8" t="s">
        <v>2029</v>
      </c>
      <c r="G53" s="10" t="n">
        <v>2500</v>
      </c>
      <c r="H53" s="10" t="n">
        <v>10000</v>
      </c>
      <c r="I53" s="8" t="s">
        <v>1915</v>
      </c>
      <c r="J53" s="8" t="s">
        <v>2030</v>
      </c>
    </row>
    <row r="54" customFormat="false" ht="15" hidden="false" customHeight="false" outlineLevel="0" collapsed="false">
      <c r="A54" s="11" t="s">
        <v>163</v>
      </c>
      <c r="B54" s="8" t="s">
        <v>164</v>
      </c>
      <c r="C54" s="8" t="s">
        <v>1884</v>
      </c>
      <c r="D54" s="8" t="s">
        <v>2031</v>
      </c>
      <c r="E54" s="8" t="s">
        <v>2032</v>
      </c>
      <c r="F54" s="8" t="s">
        <v>2033</v>
      </c>
      <c r="G54" s="10" t="n">
        <v>1300</v>
      </c>
      <c r="H54" s="10" t="n">
        <v>1800</v>
      </c>
      <c r="I54" s="8" t="s">
        <v>1877</v>
      </c>
      <c r="J54" s="8" t="s">
        <v>2034</v>
      </c>
    </row>
    <row r="55" customFormat="false" ht="15" hidden="false" customHeight="false" outlineLevel="0" collapsed="false">
      <c r="A55" s="11" t="s">
        <v>163</v>
      </c>
      <c r="B55" s="8" t="s">
        <v>164</v>
      </c>
      <c r="C55" s="8" t="s">
        <v>1884</v>
      </c>
      <c r="D55" s="8" t="s">
        <v>2035</v>
      </c>
      <c r="E55" s="8" t="s">
        <v>2036</v>
      </c>
      <c r="F55" s="8" t="s">
        <v>2037</v>
      </c>
      <c r="G55" s="10" t="n">
        <v>400</v>
      </c>
      <c r="H55" s="10" t="n">
        <v>1000</v>
      </c>
      <c r="I55" s="8" t="s">
        <v>1877</v>
      </c>
      <c r="J55" s="8" t="s">
        <v>2038</v>
      </c>
    </row>
    <row r="56" customFormat="false" ht="15" hidden="false" customHeight="false" outlineLevel="0" collapsed="false">
      <c r="A56" s="11" t="s">
        <v>163</v>
      </c>
      <c r="B56" s="8" t="s">
        <v>164</v>
      </c>
      <c r="C56" s="8" t="s">
        <v>1884</v>
      </c>
      <c r="D56" s="8" t="s">
        <v>2039</v>
      </c>
      <c r="E56" s="8" t="s">
        <v>2040</v>
      </c>
      <c r="F56" s="8" t="s">
        <v>2041</v>
      </c>
      <c r="G56" s="10" t="n">
        <v>800</v>
      </c>
      <c r="H56" s="10" t="n">
        <v>1400</v>
      </c>
      <c r="I56" s="8" t="s">
        <v>1877</v>
      </c>
      <c r="J56" s="8"/>
    </row>
    <row r="57" customFormat="false" ht="15" hidden="false" customHeight="false" outlineLevel="0" collapsed="false">
      <c r="A57" s="11" t="s">
        <v>163</v>
      </c>
      <c r="B57" s="8" t="s">
        <v>164</v>
      </c>
      <c r="C57" s="8" t="s">
        <v>1884</v>
      </c>
      <c r="D57" s="8" t="s">
        <v>1947</v>
      </c>
      <c r="E57" s="8" t="s">
        <v>2042</v>
      </c>
      <c r="F57" s="8" t="s">
        <v>1950</v>
      </c>
      <c r="G57" s="10" t="n">
        <v>500</v>
      </c>
      <c r="H57" s="10" t="n">
        <v>900</v>
      </c>
      <c r="I57" s="8" t="s">
        <v>1950</v>
      </c>
      <c r="J57" s="8"/>
    </row>
    <row r="58" customFormat="false" ht="15" hidden="false" customHeight="false" outlineLevel="0" collapsed="false">
      <c r="A58" s="11" t="s">
        <v>163</v>
      </c>
      <c r="B58" s="8" t="s">
        <v>164</v>
      </c>
      <c r="C58" s="8" t="s">
        <v>1884</v>
      </c>
      <c r="D58" s="8" t="s">
        <v>1975</v>
      </c>
      <c r="E58" s="8" t="s">
        <v>2043</v>
      </c>
      <c r="F58" s="8" t="s">
        <v>2044</v>
      </c>
      <c r="G58" s="10" t="n">
        <v>300</v>
      </c>
      <c r="H58" s="10" t="n">
        <v>600</v>
      </c>
      <c r="I58" s="8" t="s">
        <v>1902</v>
      </c>
      <c r="J58" s="8"/>
    </row>
    <row r="59" customFormat="false" ht="15" hidden="false" customHeight="false" outlineLevel="0" collapsed="false">
      <c r="A59" s="11" t="s">
        <v>175</v>
      </c>
      <c r="B59" s="8" t="s">
        <v>176</v>
      </c>
      <c r="C59" s="8" t="s">
        <v>1873</v>
      </c>
      <c r="D59" s="8" t="s">
        <v>1908</v>
      </c>
      <c r="E59" s="8" t="s">
        <v>2045</v>
      </c>
      <c r="F59" s="8" t="s">
        <v>2046</v>
      </c>
      <c r="G59" s="10" t="n">
        <v>3500</v>
      </c>
      <c r="H59" s="10" t="n">
        <v>5500</v>
      </c>
      <c r="I59" s="8" t="s">
        <v>1902</v>
      </c>
      <c r="J59" s="8" t="s">
        <v>2047</v>
      </c>
    </row>
    <row r="60" customFormat="false" ht="15" hidden="false" customHeight="false" outlineLevel="0" collapsed="false">
      <c r="A60" s="11" t="s">
        <v>175</v>
      </c>
      <c r="B60" s="8" t="s">
        <v>176</v>
      </c>
      <c r="C60" s="8" t="s">
        <v>1873</v>
      </c>
      <c r="D60" s="8" t="s">
        <v>1912</v>
      </c>
      <c r="E60" s="8" t="s">
        <v>2048</v>
      </c>
      <c r="F60" s="8" t="s">
        <v>2049</v>
      </c>
      <c r="G60" s="10" t="n">
        <v>150</v>
      </c>
      <c r="H60" s="10" t="n">
        <v>600</v>
      </c>
      <c r="I60" s="8" t="s">
        <v>1915</v>
      </c>
      <c r="J60" s="8"/>
    </row>
    <row r="61" customFormat="false" ht="15" hidden="false" customHeight="false" outlineLevel="0" collapsed="false">
      <c r="A61" s="11" t="s">
        <v>175</v>
      </c>
      <c r="B61" s="8" t="s">
        <v>176</v>
      </c>
      <c r="C61" s="8" t="s">
        <v>1873</v>
      </c>
      <c r="D61" s="8" t="s">
        <v>1879</v>
      </c>
      <c r="E61" s="8" t="s">
        <v>2050</v>
      </c>
      <c r="F61" s="8" t="s">
        <v>2051</v>
      </c>
      <c r="G61" s="10" t="n">
        <v>100</v>
      </c>
      <c r="H61" s="10" t="n">
        <v>600</v>
      </c>
      <c r="I61" s="8" t="s">
        <v>1915</v>
      </c>
      <c r="J61" s="8" t="s">
        <v>2052</v>
      </c>
    </row>
    <row r="62" customFormat="false" ht="15" hidden="false" customHeight="false" outlineLevel="0" collapsed="false">
      <c r="A62" s="11" t="s">
        <v>175</v>
      </c>
      <c r="B62" s="8" t="s">
        <v>176</v>
      </c>
      <c r="C62" s="8" t="s">
        <v>1884</v>
      </c>
      <c r="D62" s="8" t="s">
        <v>2053</v>
      </c>
      <c r="E62" s="8" t="s">
        <v>1965</v>
      </c>
      <c r="F62" s="8" t="s">
        <v>1949</v>
      </c>
      <c r="G62" s="10" t="n">
        <v>100</v>
      </c>
      <c r="H62" s="10" t="n">
        <v>600</v>
      </c>
      <c r="I62" s="8" t="s">
        <v>1950</v>
      </c>
      <c r="J62" s="8" t="s">
        <v>2054</v>
      </c>
    </row>
    <row r="63" customFormat="false" ht="15" hidden="false" customHeight="false" outlineLevel="0" collapsed="false">
      <c r="A63" s="11" t="s">
        <v>175</v>
      </c>
      <c r="B63" s="8" t="s">
        <v>176</v>
      </c>
      <c r="C63" s="8" t="s">
        <v>1884</v>
      </c>
      <c r="D63" s="8" t="s">
        <v>2055</v>
      </c>
      <c r="E63" s="8" t="s">
        <v>2056</v>
      </c>
      <c r="F63" s="8" t="s">
        <v>1949</v>
      </c>
      <c r="G63" s="10" t="n">
        <v>100</v>
      </c>
      <c r="H63" s="10" t="n">
        <v>300</v>
      </c>
      <c r="I63" s="8" t="s">
        <v>1888</v>
      </c>
      <c r="J63" s="8" t="s">
        <v>2057</v>
      </c>
    </row>
    <row r="64" customFormat="false" ht="15" hidden="false" customHeight="false" outlineLevel="0" collapsed="false">
      <c r="A64" s="11" t="s">
        <v>185</v>
      </c>
      <c r="B64" s="8" t="s">
        <v>186</v>
      </c>
      <c r="C64" s="8" t="s">
        <v>1873</v>
      </c>
      <c r="D64" s="8" t="s">
        <v>1874</v>
      </c>
      <c r="E64" s="8" t="s">
        <v>2058</v>
      </c>
      <c r="F64" s="8" t="s">
        <v>1940</v>
      </c>
      <c r="G64" s="10" t="n">
        <v>3500</v>
      </c>
      <c r="H64" s="10" t="n">
        <v>9000</v>
      </c>
      <c r="I64" s="8" t="s">
        <v>1877</v>
      </c>
      <c r="J64" s="8"/>
    </row>
    <row r="65" customFormat="false" ht="15" hidden="false" customHeight="false" outlineLevel="0" collapsed="false">
      <c r="A65" s="11" t="s">
        <v>185</v>
      </c>
      <c r="B65" s="8" t="s">
        <v>186</v>
      </c>
      <c r="C65" s="8" t="s">
        <v>1873</v>
      </c>
      <c r="D65" s="8" t="s">
        <v>1879</v>
      </c>
      <c r="E65" s="8" t="s">
        <v>2059</v>
      </c>
      <c r="F65" s="8" t="s">
        <v>2060</v>
      </c>
      <c r="G65" s="10" t="n">
        <v>700</v>
      </c>
      <c r="H65" s="10" t="n">
        <v>3300</v>
      </c>
      <c r="I65" s="8" t="s">
        <v>1915</v>
      </c>
      <c r="J65" s="8"/>
    </row>
    <row r="66" customFormat="false" ht="15" hidden="false" customHeight="false" outlineLevel="0" collapsed="false">
      <c r="A66" s="11" t="s">
        <v>185</v>
      </c>
      <c r="B66" s="8" t="s">
        <v>186</v>
      </c>
      <c r="C66" s="8" t="s">
        <v>1884</v>
      </c>
      <c r="D66" s="8" t="s">
        <v>2061</v>
      </c>
      <c r="E66" s="8" t="s">
        <v>2062</v>
      </c>
      <c r="F66" s="8" t="s">
        <v>1918</v>
      </c>
      <c r="G66" s="10" t="n">
        <v>30</v>
      </c>
      <c r="H66" s="10" t="n">
        <v>200</v>
      </c>
      <c r="I66" s="8" t="s">
        <v>1888</v>
      </c>
      <c r="J66" s="8" t="s">
        <v>2063</v>
      </c>
    </row>
    <row r="67" customFormat="false" ht="15" hidden="false" customHeight="false" outlineLevel="0" collapsed="false">
      <c r="A67" s="11" t="s">
        <v>185</v>
      </c>
      <c r="B67" s="8" t="s">
        <v>186</v>
      </c>
      <c r="C67" s="8" t="s">
        <v>1884</v>
      </c>
      <c r="D67" s="8" t="s">
        <v>2064</v>
      </c>
      <c r="E67" s="8" t="s">
        <v>2065</v>
      </c>
      <c r="F67" s="8" t="s">
        <v>1972</v>
      </c>
      <c r="G67" s="10" t="n">
        <v>300</v>
      </c>
      <c r="H67" s="10" t="n">
        <v>2000</v>
      </c>
      <c r="I67" s="8" t="s">
        <v>2066</v>
      </c>
      <c r="J67" s="8" t="s">
        <v>2067</v>
      </c>
    </row>
    <row r="68" customFormat="false" ht="15" hidden="false" customHeight="false" outlineLevel="0" collapsed="false">
      <c r="A68" s="11" t="s">
        <v>185</v>
      </c>
      <c r="B68" s="8" t="s">
        <v>186</v>
      </c>
      <c r="C68" s="8" t="s">
        <v>1884</v>
      </c>
      <c r="D68" s="8" t="s">
        <v>2068</v>
      </c>
      <c r="E68" s="8" t="s">
        <v>2069</v>
      </c>
      <c r="F68" s="8" t="s">
        <v>2070</v>
      </c>
      <c r="G68" s="10" t="n">
        <v>900</v>
      </c>
      <c r="H68" s="10" t="n">
        <v>1500</v>
      </c>
      <c r="I68" s="8" t="s">
        <v>1902</v>
      </c>
      <c r="J68" s="8"/>
    </row>
    <row r="69" customFormat="false" ht="15" hidden="false" customHeight="false" outlineLevel="0" collapsed="false">
      <c r="A69" s="11" t="s">
        <v>195</v>
      </c>
      <c r="B69" s="8" t="s">
        <v>196</v>
      </c>
      <c r="C69" s="8" t="s">
        <v>1873</v>
      </c>
      <c r="D69" s="8" t="s">
        <v>1879</v>
      </c>
      <c r="E69" s="8" t="s">
        <v>2071</v>
      </c>
      <c r="F69" s="8" t="s">
        <v>2072</v>
      </c>
      <c r="G69" s="10" t="n">
        <v>700</v>
      </c>
      <c r="H69" s="10" t="n">
        <v>2200</v>
      </c>
      <c r="I69" s="8" t="s">
        <v>1906</v>
      </c>
      <c r="J69" s="8" t="s">
        <v>2073</v>
      </c>
    </row>
    <row r="70" customFormat="false" ht="15" hidden="false" customHeight="false" outlineLevel="0" collapsed="false">
      <c r="A70" s="11" t="s">
        <v>195</v>
      </c>
      <c r="B70" s="8" t="s">
        <v>196</v>
      </c>
      <c r="C70" s="8" t="s">
        <v>1873</v>
      </c>
      <c r="D70" s="8" t="s">
        <v>1874</v>
      </c>
      <c r="E70" s="8" t="s">
        <v>2074</v>
      </c>
      <c r="F70" s="8" t="s">
        <v>2075</v>
      </c>
      <c r="G70" s="10" t="n">
        <v>3500</v>
      </c>
      <c r="H70" s="10" t="n">
        <v>9000</v>
      </c>
      <c r="I70" s="8" t="s">
        <v>1877</v>
      </c>
      <c r="J70" s="8"/>
    </row>
    <row r="71" customFormat="false" ht="15" hidden="false" customHeight="false" outlineLevel="0" collapsed="false">
      <c r="A71" s="11" t="s">
        <v>195</v>
      </c>
      <c r="B71" s="8" t="s">
        <v>196</v>
      </c>
      <c r="C71" s="8" t="s">
        <v>1873</v>
      </c>
      <c r="D71" s="8" t="s">
        <v>1912</v>
      </c>
      <c r="E71" s="8" t="s">
        <v>2076</v>
      </c>
      <c r="F71" s="8" t="s">
        <v>2077</v>
      </c>
      <c r="G71" s="10" t="n">
        <v>600</v>
      </c>
      <c r="H71" s="10" t="n">
        <v>1400</v>
      </c>
      <c r="I71" s="8" t="s">
        <v>1915</v>
      </c>
      <c r="J71" s="8"/>
    </row>
    <row r="72" customFormat="false" ht="15" hidden="false" customHeight="false" outlineLevel="0" collapsed="false">
      <c r="A72" s="11" t="s">
        <v>195</v>
      </c>
      <c r="B72" s="8" t="s">
        <v>196</v>
      </c>
      <c r="C72" s="8" t="s">
        <v>1884</v>
      </c>
      <c r="D72" s="8" t="s">
        <v>2061</v>
      </c>
      <c r="E72" s="8" t="s">
        <v>2078</v>
      </c>
      <c r="F72" s="8" t="s">
        <v>1918</v>
      </c>
      <c r="G72" s="10" t="n">
        <v>20</v>
      </c>
      <c r="H72" s="10" t="n">
        <v>200</v>
      </c>
      <c r="I72" s="8" t="s">
        <v>1888</v>
      </c>
      <c r="J72" s="8"/>
    </row>
    <row r="73" customFormat="false" ht="15" hidden="false" customHeight="false" outlineLevel="0" collapsed="false">
      <c r="A73" s="11" t="s">
        <v>195</v>
      </c>
      <c r="B73" s="8" t="s">
        <v>196</v>
      </c>
      <c r="C73" s="8" t="s">
        <v>1884</v>
      </c>
      <c r="D73" s="8" t="s">
        <v>2079</v>
      </c>
      <c r="E73" s="8" t="s">
        <v>2080</v>
      </c>
      <c r="F73" s="8" t="s">
        <v>2081</v>
      </c>
      <c r="G73" s="10" t="n">
        <v>600</v>
      </c>
      <c r="H73" s="10" t="n">
        <v>1500</v>
      </c>
      <c r="I73" s="8" t="s">
        <v>1902</v>
      </c>
      <c r="J73" s="8" t="s">
        <v>2082</v>
      </c>
    </row>
    <row r="74" customFormat="false" ht="15" hidden="false" customHeight="false" outlineLevel="0" collapsed="false">
      <c r="A74" s="11" t="s">
        <v>206</v>
      </c>
      <c r="B74" s="8" t="s">
        <v>207</v>
      </c>
      <c r="C74" s="8" t="s">
        <v>1873</v>
      </c>
      <c r="D74" s="8" t="s">
        <v>1879</v>
      </c>
      <c r="E74" s="8" t="s">
        <v>2083</v>
      </c>
      <c r="F74" s="8" t="s">
        <v>2007</v>
      </c>
      <c r="G74" s="10" t="n">
        <v>150</v>
      </c>
      <c r="H74" s="10" t="n">
        <v>800</v>
      </c>
      <c r="I74" s="8" t="s">
        <v>1915</v>
      </c>
      <c r="J74" s="8"/>
    </row>
    <row r="75" customFormat="false" ht="15" hidden="false" customHeight="false" outlineLevel="0" collapsed="false">
      <c r="A75" s="11" t="s">
        <v>206</v>
      </c>
      <c r="B75" s="8" t="s">
        <v>207</v>
      </c>
      <c r="C75" s="8" t="s">
        <v>1873</v>
      </c>
      <c r="D75" s="8" t="s">
        <v>1912</v>
      </c>
      <c r="E75" s="8" t="s">
        <v>2084</v>
      </c>
      <c r="F75" s="8" t="s">
        <v>2085</v>
      </c>
      <c r="G75" s="10" t="n">
        <v>250</v>
      </c>
      <c r="H75" s="10" t="n">
        <v>500</v>
      </c>
      <c r="I75" s="8" t="s">
        <v>1915</v>
      </c>
      <c r="J75" s="8"/>
    </row>
    <row r="76" customFormat="false" ht="15" hidden="false" customHeight="false" outlineLevel="0" collapsed="false">
      <c r="A76" s="11" t="s">
        <v>206</v>
      </c>
      <c r="B76" s="8" t="s">
        <v>207</v>
      </c>
      <c r="C76" s="8" t="s">
        <v>1873</v>
      </c>
      <c r="D76" s="8" t="s">
        <v>1908</v>
      </c>
      <c r="E76" s="8" t="s">
        <v>2086</v>
      </c>
      <c r="F76" s="8" t="s">
        <v>2087</v>
      </c>
      <c r="G76" s="10" t="n">
        <v>3000</v>
      </c>
      <c r="H76" s="10" t="n">
        <v>4500</v>
      </c>
      <c r="I76" s="8" t="s">
        <v>1902</v>
      </c>
      <c r="J76" s="8"/>
    </row>
    <row r="77" customFormat="false" ht="15" hidden="false" customHeight="false" outlineLevel="0" collapsed="false">
      <c r="A77" s="11" t="s">
        <v>206</v>
      </c>
      <c r="B77" s="8" t="s">
        <v>207</v>
      </c>
      <c r="C77" s="8" t="s">
        <v>1884</v>
      </c>
      <c r="D77" s="8" t="s">
        <v>1933</v>
      </c>
      <c r="E77" s="8" t="s">
        <v>2078</v>
      </c>
      <c r="F77" s="8" t="s">
        <v>1918</v>
      </c>
      <c r="G77" s="10" t="n">
        <v>50</v>
      </c>
      <c r="H77" s="10" t="n">
        <v>150</v>
      </c>
      <c r="I77" s="8" t="s">
        <v>1888</v>
      </c>
      <c r="J77" s="8"/>
    </row>
    <row r="78" customFormat="false" ht="15" hidden="false" customHeight="false" outlineLevel="0" collapsed="false">
      <c r="A78" s="11" t="s">
        <v>206</v>
      </c>
      <c r="B78" s="8" t="s">
        <v>207</v>
      </c>
      <c r="C78" s="8" t="s">
        <v>1884</v>
      </c>
      <c r="D78" s="8" t="s">
        <v>2088</v>
      </c>
      <c r="E78" s="8" t="s">
        <v>2089</v>
      </c>
      <c r="F78" s="8" t="s">
        <v>1892</v>
      </c>
      <c r="G78" s="10" t="n">
        <v>10</v>
      </c>
      <c r="H78" s="10" t="n">
        <v>500</v>
      </c>
      <c r="I78" s="8" t="s">
        <v>1915</v>
      </c>
      <c r="J78" s="8"/>
    </row>
    <row r="79" customFormat="false" ht="15" hidden="false" customHeight="false" outlineLevel="0" collapsed="false">
      <c r="A79" s="11" t="s">
        <v>216</v>
      </c>
      <c r="B79" s="8" t="s">
        <v>217</v>
      </c>
      <c r="C79" s="8" t="s">
        <v>1873</v>
      </c>
      <c r="D79" s="8" t="s">
        <v>1874</v>
      </c>
      <c r="E79" s="8" t="s">
        <v>2090</v>
      </c>
      <c r="F79" s="8" t="s">
        <v>2091</v>
      </c>
      <c r="G79" s="10" t="n">
        <v>4000</v>
      </c>
      <c r="H79" s="10" t="n">
        <v>12000</v>
      </c>
      <c r="I79" s="8" t="s">
        <v>1877</v>
      </c>
      <c r="J79" s="8" t="s">
        <v>2092</v>
      </c>
    </row>
    <row r="80" customFormat="false" ht="15" hidden="false" customHeight="false" outlineLevel="0" collapsed="false">
      <c r="A80" s="11" t="s">
        <v>216</v>
      </c>
      <c r="B80" s="8" t="s">
        <v>217</v>
      </c>
      <c r="C80" s="8" t="s">
        <v>1873</v>
      </c>
      <c r="D80" s="8" t="s">
        <v>1908</v>
      </c>
      <c r="E80" s="8" t="s">
        <v>2093</v>
      </c>
      <c r="F80" s="8" t="s">
        <v>824</v>
      </c>
      <c r="G80" s="10" t="n">
        <v>3000</v>
      </c>
      <c r="H80" s="10" t="n">
        <v>15000</v>
      </c>
      <c r="I80" s="8" t="s">
        <v>2094</v>
      </c>
      <c r="J80" s="8" t="s">
        <v>2095</v>
      </c>
    </row>
    <row r="81" customFormat="false" ht="15" hidden="false" customHeight="false" outlineLevel="0" collapsed="false">
      <c r="A81" s="11" t="s">
        <v>216</v>
      </c>
      <c r="B81" s="8" t="s">
        <v>217</v>
      </c>
      <c r="C81" s="8" t="s">
        <v>1873</v>
      </c>
      <c r="D81" s="8" t="s">
        <v>1908</v>
      </c>
      <c r="E81" s="8" t="s">
        <v>2096</v>
      </c>
      <c r="F81" s="8" t="s">
        <v>824</v>
      </c>
      <c r="G81" s="10" t="n">
        <v>3000</v>
      </c>
      <c r="H81" s="10" t="n">
        <v>15000</v>
      </c>
      <c r="I81" s="8" t="s">
        <v>2094</v>
      </c>
      <c r="J81" s="8" t="s">
        <v>2097</v>
      </c>
    </row>
    <row r="82" customFormat="false" ht="15" hidden="false" customHeight="false" outlineLevel="0" collapsed="false">
      <c r="A82" s="11" t="s">
        <v>216</v>
      </c>
      <c r="B82" s="8" t="s">
        <v>217</v>
      </c>
      <c r="C82" s="8" t="s">
        <v>1884</v>
      </c>
      <c r="D82" s="8" t="s">
        <v>2098</v>
      </c>
      <c r="E82" s="8" t="s">
        <v>2099</v>
      </c>
      <c r="F82" s="8" t="s">
        <v>2100</v>
      </c>
      <c r="G82" s="10" t="n">
        <v>1800</v>
      </c>
      <c r="H82" s="10" t="n">
        <v>3000</v>
      </c>
      <c r="I82" s="8" t="s">
        <v>1902</v>
      </c>
      <c r="J82" s="8" t="s">
        <v>2101</v>
      </c>
    </row>
    <row r="83" customFormat="false" ht="15" hidden="false" customHeight="false" outlineLevel="0" collapsed="false">
      <c r="A83" s="11" t="s">
        <v>216</v>
      </c>
      <c r="B83" s="8" t="s">
        <v>217</v>
      </c>
      <c r="C83" s="8" t="s">
        <v>1884</v>
      </c>
      <c r="D83" s="8" t="s">
        <v>1975</v>
      </c>
      <c r="E83" s="8" t="s">
        <v>2102</v>
      </c>
      <c r="F83" s="8" t="s">
        <v>824</v>
      </c>
      <c r="G83" s="10" t="n">
        <v>9000</v>
      </c>
      <c r="H83" s="10" t="n">
        <v>15000</v>
      </c>
      <c r="I83" s="8" t="s">
        <v>1902</v>
      </c>
      <c r="J83" s="8" t="s">
        <v>2103</v>
      </c>
    </row>
    <row r="84" customFormat="false" ht="15" hidden="false" customHeight="false" outlineLevel="0" collapsed="false">
      <c r="A84" s="11" t="s">
        <v>216</v>
      </c>
      <c r="B84" s="8" t="s">
        <v>217</v>
      </c>
      <c r="C84" s="8" t="s">
        <v>1884</v>
      </c>
      <c r="D84" s="8" t="s">
        <v>1975</v>
      </c>
      <c r="E84" s="8" t="s">
        <v>2104</v>
      </c>
      <c r="F84" s="8" t="s">
        <v>831</v>
      </c>
      <c r="G84" s="10" t="n">
        <v>9000</v>
      </c>
      <c r="H84" s="10" t="n">
        <v>15000</v>
      </c>
      <c r="I84" s="8" t="s">
        <v>1902</v>
      </c>
      <c r="J84" s="8"/>
    </row>
    <row r="85" customFormat="false" ht="15" hidden="false" customHeight="false" outlineLevel="0" collapsed="false">
      <c r="A85" s="11" t="s">
        <v>216</v>
      </c>
      <c r="B85" s="8" t="s">
        <v>217</v>
      </c>
      <c r="C85" s="8" t="s">
        <v>1884</v>
      </c>
      <c r="D85" s="8" t="s">
        <v>2105</v>
      </c>
      <c r="E85" s="8" t="s">
        <v>2106</v>
      </c>
      <c r="F85" s="8" t="s">
        <v>1950</v>
      </c>
      <c r="G85" s="10" t="n">
        <v>1200</v>
      </c>
      <c r="H85" s="10" t="n">
        <v>2200</v>
      </c>
      <c r="I85" s="8" t="s">
        <v>1950</v>
      </c>
      <c r="J85" s="8" t="s">
        <v>2107</v>
      </c>
    </row>
    <row r="86" customFormat="false" ht="15" hidden="false" customHeight="false" outlineLevel="0" collapsed="false">
      <c r="A86" s="11" t="s">
        <v>228</v>
      </c>
      <c r="B86" s="8" t="s">
        <v>229</v>
      </c>
      <c r="C86" s="8" t="s">
        <v>1873</v>
      </c>
      <c r="D86" s="8" t="s">
        <v>1874</v>
      </c>
      <c r="E86" s="8" t="s">
        <v>2108</v>
      </c>
      <c r="F86" s="8" t="s">
        <v>2087</v>
      </c>
      <c r="G86" s="10" t="n">
        <v>3500</v>
      </c>
      <c r="H86" s="10" t="n">
        <v>9000</v>
      </c>
      <c r="I86" s="8" t="s">
        <v>1877</v>
      </c>
      <c r="J86" s="8"/>
    </row>
    <row r="87" customFormat="false" ht="15" hidden="false" customHeight="false" outlineLevel="0" collapsed="false">
      <c r="A87" s="11" t="s">
        <v>228</v>
      </c>
      <c r="B87" s="8" t="s">
        <v>229</v>
      </c>
      <c r="C87" s="8" t="s">
        <v>1873</v>
      </c>
      <c r="D87" s="8" t="s">
        <v>1879</v>
      </c>
      <c r="E87" s="8" t="s">
        <v>2109</v>
      </c>
      <c r="F87" s="8" t="s">
        <v>2110</v>
      </c>
      <c r="G87" s="10" t="n">
        <v>600</v>
      </c>
      <c r="H87" s="10" t="n">
        <v>3000</v>
      </c>
      <c r="I87" s="8" t="s">
        <v>1915</v>
      </c>
      <c r="J87" s="8"/>
    </row>
    <row r="88" customFormat="false" ht="15" hidden="false" customHeight="false" outlineLevel="0" collapsed="false">
      <c r="A88" s="11" t="s">
        <v>228</v>
      </c>
      <c r="B88" s="8" t="s">
        <v>229</v>
      </c>
      <c r="C88" s="8" t="s">
        <v>1873</v>
      </c>
      <c r="D88" s="8" t="s">
        <v>2111</v>
      </c>
      <c r="E88" s="8" t="s">
        <v>2112</v>
      </c>
      <c r="F88" s="8" t="s">
        <v>2049</v>
      </c>
      <c r="G88" s="10" t="n">
        <v>250</v>
      </c>
      <c r="H88" s="10" t="n">
        <v>450</v>
      </c>
      <c r="I88" s="8" t="s">
        <v>1915</v>
      </c>
      <c r="J88" s="8"/>
    </row>
    <row r="89" customFormat="false" ht="15" hidden="false" customHeight="false" outlineLevel="0" collapsed="false">
      <c r="A89" s="11" t="s">
        <v>228</v>
      </c>
      <c r="B89" s="8" t="s">
        <v>229</v>
      </c>
      <c r="C89" s="8" t="s">
        <v>1873</v>
      </c>
      <c r="D89" s="8" t="s">
        <v>2113</v>
      </c>
      <c r="E89" s="8" t="s">
        <v>2114</v>
      </c>
      <c r="F89" s="8" t="s">
        <v>2115</v>
      </c>
      <c r="G89" s="10" t="n">
        <v>2500</v>
      </c>
      <c r="H89" s="10" t="n">
        <v>4000</v>
      </c>
      <c r="I89" s="8" t="s">
        <v>1902</v>
      </c>
      <c r="J89" s="8"/>
    </row>
    <row r="90" customFormat="false" ht="15" hidden="false" customHeight="false" outlineLevel="0" collapsed="false">
      <c r="A90" s="11" t="s">
        <v>228</v>
      </c>
      <c r="B90" s="8" t="s">
        <v>229</v>
      </c>
      <c r="C90" s="8" t="s">
        <v>1884</v>
      </c>
      <c r="D90" s="8" t="s">
        <v>2116</v>
      </c>
      <c r="E90" s="8" t="s">
        <v>2117</v>
      </c>
      <c r="F90" s="8" t="s">
        <v>2013</v>
      </c>
      <c r="G90" s="10" t="n">
        <v>1500</v>
      </c>
      <c r="H90" s="10" t="n">
        <v>1800</v>
      </c>
      <c r="I90" s="8" t="s">
        <v>1915</v>
      </c>
      <c r="J90" s="8" t="s">
        <v>2118</v>
      </c>
    </row>
    <row r="91" customFormat="false" ht="15" hidden="false" customHeight="false" outlineLevel="0" collapsed="false">
      <c r="A91" s="11" t="s">
        <v>228</v>
      </c>
      <c r="B91" s="8" t="s">
        <v>229</v>
      </c>
      <c r="C91" s="8" t="s">
        <v>1884</v>
      </c>
      <c r="D91" s="8" t="s">
        <v>2111</v>
      </c>
      <c r="E91" s="8" t="s">
        <v>2119</v>
      </c>
      <c r="F91" s="8" t="s">
        <v>1918</v>
      </c>
      <c r="G91" s="10" t="n">
        <v>20</v>
      </c>
      <c r="H91" s="10" t="n">
        <v>60</v>
      </c>
      <c r="I91" s="8" t="s">
        <v>1915</v>
      </c>
      <c r="J91" s="8"/>
    </row>
    <row r="92" customFormat="false" ht="23.85" hidden="false" customHeight="false" outlineLevel="0" collapsed="false">
      <c r="A92" s="11" t="s">
        <v>228</v>
      </c>
      <c r="B92" s="8" t="s">
        <v>229</v>
      </c>
      <c r="C92" s="8" t="s">
        <v>1884</v>
      </c>
      <c r="D92" s="8" t="s">
        <v>2120</v>
      </c>
      <c r="E92" s="8" t="s">
        <v>2121</v>
      </c>
      <c r="F92" s="8" t="s">
        <v>2115</v>
      </c>
      <c r="G92" s="10" t="n">
        <v>1500</v>
      </c>
      <c r="H92" s="10" t="n">
        <v>2500</v>
      </c>
      <c r="I92" s="8" t="s">
        <v>2122</v>
      </c>
      <c r="J92" s="8" t="s">
        <v>2123</v>
      </c>
    </row>
  </sheetData>
  <autoFilter ref="A1:J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7" t="s">
        <v>52</v>
      </c>
      <c r="B1" s="7" t="s">
        <v>53</v>
      </c>
      <c r="C1" s="7" t="s">
        <v>2124</v>
      </c>
      <c r="D1" s="7" t="s">
        <v>2125</v>
      </c>
      <c r="E1" s="7" t="s">
        <v>2126</v>
      </c>
      <c r="F1" s="7" t="s">
        <v>2127</v>
      </c>
      <c r="G1" s="7" t="s">
        <v>2128</v>
      </c>
      <c r="H1" s="7" t="s">
        <v>903</v>
      </c>
    </row>
    <row r="2" customFormat="false" ht="15" hidden="false" customHeight="false" outlineLevel="0" collapsed="false">
      <c r="A2" s="11" t="s">
        <v>74</v>
      </c>
      <c r="B2" s="8" t="s">
        <v>75</v>
      </c>
      <c r="C2" s="8" t="s">
        <v>848</v>
      </c>
      <c r="D2" s="8" t="s">
        <v>2129</v>
      </c>
      <c r="E2" s="8" t="s">
        <v>2130</v>
      </c>
      <c r="F2" s="8" t="s">
        <v>2131</v>
      </c>
      <c r="G2" s="8" t="s">
        <v>2132</v>
      </c>
      <c r="H2" s="8" t="s">
        <v>2133</v>
      </c>
    </row>
    <row r="3" customFormat="false" ht="15" hidden="false" customHeight="false" outlineLevel="0" collapsed="false">
      <c r="A3" s="11" t="s">
        <v>74</v>
      </c>
      <c r="B3" s="8" t="s">
        <v>75</v>
      </c>
      <c r="C3" s="8" t="s">
        <v>2134</v>
      </c>
      <c r="D3" s="8" t="s">
        <v>2135</v>
      </c>
      <c r="E3" s="8" t="s">
        <v>2136</v>
      </c>
      <c r="F3" s="8" t="s">
        <v>2137</v>
      </c>
      <c r="G3" s="8" t="s">
        <v>2138</v>
      </c>
      <c r="H3" s="8" t="s">
        <v>2139</v>
      </c>
    </row>
    <row r="4" customFormat="false" ht="15" hidden="false" customHeight="false" outlineLevel="0" collapsed="false">
      <c r="A4" s="11" t="s">
        <v>74</v>
      </c>
      <c r="B4" s="8" t="s">
        <v>75</v>
      </c>
      <c r="C4" s="8" t="s">
        <v>549</v>
      </c>
      <c r="D4" s="8" t="s">
        <v>2140</v>
      </c>
      <c r="E4" s="8" t="s">
        <v>2141</v>
      </c>
      <c r="F4" s="8" t="s">
        <v>2142</v>
      </c>
      <c r="G4" s="8" t="s">
        <v>2143</v>
      </c>
      <c r="H4" s="8" t="s">
        <v>2144</v>
      </c>
    </row>
    <row r="5" customFormat="false" ht="15" hidden="false" customHeight="false" outlineLevel="0" collapsed="false">
      <c r="A5" s="11" t="s">
        <v>74</v>
      </c>
      <c r="B5" s="8" t="s">
        <v>75</v>
      </c>
      <c r="C5" s="8" t="s">
        <v>2145</v>
      </c>
      <c r="D5" s="8" t="s">
        <v>2146</v>
      </c>
      <c r="E5" s="8" t="s">
        <v>2147</v>
      </c>
      <c r="F5" s="8" t="s">
        <v>2131</v>
      </c>
      <c r="G5" s="8" t="s">
        <v>2148</v>
      </c>
      <c r="H5" s="8" t="s">
        <v>2149</v>
      </c>
    </row>
    <row r="6" customFormat="false" ht="15" hidden="false" customHeight="false" outlineLevel="0" collapsed="false">
      <c r="A6" s="11" t="s">
        <v>86</v>
      </c>
      <c r="B6" s="8" t="s">
        <v>87</v>
      </c>
      <c r="C6" s="8" t="s">
        <v>848</v>
      </c>
      <c r="D6" s="8" t="s">
        <v>2129</v>
      </c>
      <c r="E6" s="8" t="s">
        <v>2130</v>
      </c>
      <c r="F6" s="8" t="s">
        <v>2131</v>
      </c>
      <c r="G6" s="8" t="s">
        <v>2132</v>
      </c>
      <c r="H6" s="8" t="s">
        <v>2150</v>
      </c>
    </row>
    <row r="7" customFormat="false" ht="15" hidden="false" customHeight="false" outlineLevel="0" collapsed="false">
      <c r="A7" s="11" t="s">
        <v>86</v>
      </c>
      <c r="B7" s="8" t="s">
        <v>87</v>
      </c>
      <c r="C7" s="8" t="s">
        <v>2134</v>
      </c>
      <c r="D7" s="8" t="s">
        <v>2135</v>
      </c>
      <c r="E7" s="8" t="s">
        <v>2136</v>
      </c>
      <c r="F7" s="8" t="s">
        <v>2137</v>
      </c>
      <c r="G7" s="8" t="s">
        <v>2131</v>
      </c>
      <c r="H7" s="8" t="s">
        <v>2151</v>
      </c>
    </row>
    <row r="8" customFormat="false" ht="15" hidden="false" customHeight="false" outlineLevel="0" collapsed="false">
      <c r="A8" s="11" t="s">
        <v>86</v>
      </c>
      <c r="B8" s="8" t="s">
        <v>87</v>
      </c>
      <c r="C8" s="8" t="s">
        <v>549</v>
      </c>
      <c r="D8" s="8" t="s">
        <v>2140</v>
      </c>
      <c r="E8" s="8" t="s">
        <v>2152</v>
      </c>
      <c r="F8" s="8" t="s">
        <v>2142</v>
      </c>
      <c r="G8" s="8" t="s">
        <v>2131</v>
      </c>
      <c r="H8" s="8" t="s">
        <v>2153</v>
      </c>
    </row>
    <row r="9" customFormat="false" ht="15" hidden="false" customHeight="false" outlineLevel="0" collapsed="false">
      <c r="A9" s="11" t="s">
        <v>86</v>
      </c>
      <c r="B9" s="8" t="s">
        <v>87</v>
      </c>
      <c r="C9" s="8" t="s">
        <v>2145</v>
      </c>
      <c r="D9" s="8" t="s">
        <v>2146</v>
      </c>
      <c r="E9" s="8" t="s">
        <v>2147</v>
      </c>
      <c r="F9" s="8" t="s">
        <v>2131</v>
      </c>
      <c r="G9" s="8" t="s">
        <v>2148</v>
      </c>
      <c r="H9" s="8" t="s">
        <v>2154</v>
      </c>
    </row>
    <row r="10" customFormat="false" ht="15" hidden="false" customHeight="false" outlineLevel="0" collapsed="false">
      <c r="A10" s="11" t="s">
        <v>97</v>
      </c>
      <c r="B10" s="8" t="s">
        <v>98</v>
      </c>
      <c r="C10" s="8" t="s">
        <v>848</v>
      </c>
      <c r="D10" s="8" t="s">
        <v>2129</v>
      </c>
      <c r="E10" s="8" t="s">
        <v>2155</v>
      </c>
      <c r="F10" s="8" t="s">
        <v>2131</v>
      </c>
      <c r="G10" s="8" t="s">
        <v>2156</v>
      </c>
      <c r="H10" s="8" t="s">
        <v>2157</v>
      </c>
    </row>
    <row r="11" customFormat="false" ht="15" hidden="false" customHeight="false" outlineLevel="0" collapsed="false">
      <c r="A11" s="11" t="s">
        <v>97</v>
      </c>
      <c r="B11" s="8" t="s">
        <v>98</v>
      </c>
      <c r="C11" s="8" t="s">
        <v>2134</v>
      </c>
      <c r="D11" s="8" t="s">
        <v>2135</v>
      </c>
      <c r="E11" s="8" t="s">
        <v>2158</v>
      </c>
      <c r="F11" s="8" t="s">
        <v>2137</v>
      </c>
      <c r="G11" s="8" t="s">
        <v>2131</v>
      </c>
      <c r="H11" s="8" t="s">
        <v>2159</v>
      </c>
    </row>
    <row r="12" customFormat="false" ht="15" hidden="false" customHeight="false" outlineLevel="0" collapsed="false">
      <c r="A12" s="11" t="s">
        <v>97</v>
      </c>
      <c r="B12" s="8" t="s">
        <v>98</v>
      </c>
      <c r="C12" s="8" t="s">
        <v>549</v>
      </c>
      <c r="D12" s="8" t="s">
        <v>2140</v>
      </c>
      <c r="E12" s="8" t="s">
        <v>2160</v>
      </c>
      <c r="F12" s="8" t="s">
        <v>2161</v>
      </c>
      <c r="G12" s="8" t="s">
        <v>2143</v>
      </c>
      <c r="H12" s="8" t="s">
        <v>2162</v>
      </c>
    </row>
    <row r="13" customFormat="false" ht="15" hidden="false" customHeight="false" outlineLevel="0" collapsed="false">
      <c r="A13" s="11" t="s">
        <v>97</v>
      </c>
      <c r="B13" s="8" t="s">
        <v>98</v>
      </c>
      <c r="C13" s="8" t="s">
        <v>2145</v>
      </c>
      <c r="D13" s="8" t="s">
        <v>2146</v>
      </c>
      <c r="E13" s="8" t="s">
        <v>2147</v>
      </c>
      <c r="F13" s="8" t="s">
        <v>2131</v>
      </c>
      <c r="G13" s="8" t="s">
        <v>2148</v>
      </c>
      <c r="H13" s="8" t="s">
        <v>2163</v>
      </c>
    </row>
    <row r="14" customFormat="false" ht="15" hidden="false" customHeight="false" outlineLevel="0" collapsed="false">
      <c r="A14" s="11" t="s">
        <v>108</v>
      </c>
      <c r="B14" s="8" t="s">
        <v>109</v>
      </c>
      <c r="C14" s="8" t="s">
        <v>848</v>
      </c>
      <c r="D14" s="8" t="s">
        <v>2129</v>
      </c>
      <c r="E14" s="8" t="s">
        <v>2164</v>
      </c>
      <c r="F14" s="8" t="s">
        <v>2131</v>
      </c>
      <c r="G14" s="8" t="s">
        <v>2156</v>
      </c>
      <c r="H14" s="8" t="s">
        <v>2165</v>
      </c>
    </row>
    <row r="15" customFormat="false" ht="15" hidden="false" customHeight="false" outlineLevel="0" collapsed="false">
      <c r="A15" s="11" t="s">
        <v>108</v>
      </c>
      <c r="B15" s="8" t="s">
        <v>109</v>
      </c>
      <c r="C15" s="8" t="s">
        <v>2134</v>
      </c>
      <c r="D15" s="8" t="s">
        <v>2135</v>
      </c>
      <c r="E15" s="8" t="s">
        <v>2166</v>
      </c>
      <c r="F15" s="8" t="s">
        <v>2137</v>
      </c>
      <c r="G15" s="8" t="s">
        <v>2131</v>
      </c>
      <c r="H15" s="8" t="s">
        <v>2159</v>
      </c>
    </row>
    <row r="16" customFormat="false" ht="15" hidden="false" customHeight="false" outlineLevel="0" collapsed="false">
      <c r="A16" s="11" t="s">
        <v>108</v>
      </c>
      <c r="B16" s="8" t="s">
        <v>109</v>
      </c>
      <c r="C16" s="8" t="s">
        <v>549</v>
      </c>
      <c r="D16" s="8" t="s">
        <v>2140</v>
      </c>
      <c r="E16" s="8" t="s">
        <v>2167</v>
      </c>
      <c r="F16" s="8" t="s">
        <v>2168</v>
      </c>
      <c r="G16" s="8" t="s">
        <v>2143</v>
      </c>
      <c r="H16" s="8" t="s">
        <v>2169</v>
      </c>
    </row>
    <row r="17" customFormat="false" ht="15" hidden="false" customHeight="false" outlineLevel="0" collapsed="false">
      <c r="A17" s="11" t="s">
        <v>108</v>
      </c>
      <c r="B17" s="8" t="s">
        <v>109</v>
      </c>
      <c r="C17" s="8" t="s">
        <v>2145</v>
      </c>
      <c r="D17" s="8" t="s">
        <v>2146</v>
      </c>
      <c r="E17" s="8" t="s">
        <v>2147</v>
      </c>
      <c r="F17" s="8" t="s">
        <v>2131</v>
      </c>
      <c r="G17" s="8" t="s">
        <v>2148</v>
      </c>
      <c r="H17" s="8" t="s">
        <v>2163</v>
      </c>
    </row>
    <row r="18" customFormat="false" ht="15" hidden="false" customHeight="false" outlineLevel="0" collapsed="false">
      <c r="A18" s="11" t="s">
        <v>118</v>
      </c>
      <c r="B18" s="8" t="s">
        <v>119</v>
      </c>
      <c r="C18" s="8" t="s">
        <v>848</v>
      </c>
      <c r="D18" s="8" t="s">
        <v>2170</v>
      </c>
      <c r="E18" s="8" t="s">
        <v>2171</v>
      </c>
      <c r="F18" s="8" t="s">
        <v>2131</v>
      </c>
      <c r="G18" s="8" t="s">
        <v>2156</v>
      </c>
      <c r="H18" s="8" t="s">
        <v>2172</v>
      </c>
    </row>
    <row r="19" customFormat="false" ht="15" hidden="false" customHeight="false" outlineLevel="0" collapsed="false">
      <c r="A19" s="11" t="s">
        <v>118</v>
      </c>
      <c r="B19" s="8" t="s">
        <v>119</v>
      </c>
      <c r="C19" s="8" t="s">
        <v>2134</v>
      </c>
      <c r="D19" s="8" t="s">
        <v>2173</v>
      </c>
      <c r="E19" s="8" t="s">
        <v>2166</v>
      </c>
      <c r="F19" s="8" t="s">
        <v>2137</v>
      </c>
      <c r="G19" s="8" t="s">
        <v>2131</v>
      </c>
      <c r="H19" s="8" t="s">
        <v>2174</v>
      </c>
    </row>
    <row r="20" customFormat="false" ht="15" hidden="false" customHeight="false" outlineLevel="0" collapsed="false">
      <c r="A20" s="11" t="s">
        <v>118</v>
      </c>
      <c r="B20" s="8" t="s">
        <v>119</v>
      </c>
      <c r="C20" s="8" t="s">
        <v>549</v>
      </c>
      <c r="D20" s="8" t="s">
        <v>847</v>
      </c>
      <c r="E20" s="8" t="s">
        <v>2175</v>
      </c>
      <c r="F20" s="8" t="s">
        <v>2161</v>
      </c>
      <c r="G20" s="8" t="s">
        <v>2143</v>
      </c>
      <c r="H20" s="8" t="s">
        <v>2176</v>
      </c>
    </row>
    <row r="21" customFormat="false" ht="15" hidden="false" customHeight="false" outlineLevel="0" collapsed="false">
      <c r="A21" s="11" t="s">
        <v>118</v>
      </c>
      <c r="B21" s="8" t="s">
        <v>119</v>
      </c>
      <c r="C21" s="8" t="s">
        <v>2177</v>
      </c>
      <c r="D21" s="8" t="s">
        <v>2178</v>
      </c>
      <c r="E21" s="8" t="s">
        <v>2179</v>
      </c>
      <c r="F21" s="8" t="s">
        <v>2131</v>
      </c>
      <c r="G21" s="8" t="s">
        <v>2180</v>
      </c>
      <c r="H21" s="8" t="s">
        <v>2181</v>
      </c>
    </row>
    <row r="22" customFormat="false" ht="15" hidden="false" customHeight="false" outlineLevel="0" collapsed="false">
      <c r="A22" s="11" t="s">
        <v>130</v>
      </c>
      <c r="B22" s="8" t="s">
        <v>131</v>
      </c>
      <c r="C22" s="8" t="s">
        <v>848</v>
      </c>
      <c r="D22" s="8" t="s">
        <v>2170</v>
      </c>
      <c r="E22" s="8" t="s">
        <v>2182</v>
      </c>
      <c r="F22" s="8" t="s">
        <v>2131</v>
      </c>
      <c r="G22" s="8" t="s">
        <v>2156</v>
      </c>
      <c r="H22" s="8" t="s">
        <v>2183</v>
      </c>
    </row>
    <row r="23" customFormat="false" ht="15" hidden="false" customHeight="false" outlineLevel="0" collapsed="false">
      <c r="A23" s="11" t="s">
        <v>130</v>
      </c>
      <c r="B23" s="8" t="s">
        <v>131</v>
      </c>
      <c r="C23" s="8" t="s">
        <v>2134</v>
      </c>
      <c r="D23" s="8" t="s">
        <v>2184</v>
      </c>
      <c r="E23" s="8" t="s">
        <v>2185</v>
      </c>
      <c r="F23" s="8" t="s">
        <v>2137</v>
      </c>
      <c r="G23" s="8" t="s">
        <v>2131</v>
      </c>
      <c r="H23" s="8" t="s">
        <v>2186</v>
      </c>
    </row>
    <row r="24" customFormat="false" ht="15" hidden="false" customHeight="false" outlineLevel="0" collapsed="false">
      <c r="A24" s="11" t="s">
        <v>130</v>
      </c>
      <c r="B24" s="8" t="s">
        <v>131</v>
      </c>
      <c r="C24" s="8" t="s">
        <v>549</v>
      </c>
      <c r="D24" s="8" t="s">
        <v>2140</v>
      </c>
      <c r="E24" s="8" t="s">
        <v>2187</v>
      </c>
      <c r="F24" s="8" t="s">
        <v>2168</v>
      </c>
      <c r="G24" s="8" t="s">
        <v>2188</v>
      </c>
      <c r="H24" s="8" t="s">
        <v>2189</v>
      </c>
    </row>
    <row r="25" customFormat="false" ht="15" hidden="false" customHeight="false" outlineLevel="0" collapsed="false">
      <c r="A25" s="11" t="s">
        <v>130</v>
      </c>
      <c r="B25" s="8" t="s">
        <v>131</v>
      </c>
      <c r="C25" s="8" t="s">
        <v>2177</v>
      </c>
      <c r="D25" s="8" t="s">
        <v>2178</v>
      </c>
      <c r="E25" s="8" t="s">
        <v>2190</v>
      </c>
      <c r="F25" s="8" t="s">
        <v>2131</v>
      </c>
      <c r="G25" s="8" t="s">
        <v>2180</v>
      </c>
      <c r="H25" s="8" t="s">
        <v>2181</v>
      </c>
    </row>
    <row r="26" customFormat="false" ht="15" hidden="false" customHeight="false" outlineLevel="0" collapsed="false">
      <c r="A26" s="11" t="s">
        <v>142</v>
      </c>
      <c r="B26" s="8" t="s">
        <v>143</v>
      </c>
      <c r="C26" s="8" t="s">
        <v>2191</v>
      </c>
      <c r="D26" s="8" t="s">
        <v>2170</v>
      </c>
      <c r="E26" s="8" t="s">
        <v>2192</v>
      </c>
      <c r="F26" s="8" t="s">
        <v>2131</v>
      </c>
      <c r="G26" s="8" t="s">
        <v>2193</v>
      </c>
      <c r="H26" s="8" t="s">
        <v>2194</v>
      </c>
    </row>
    <row r="27" customFormat="false" ht="15" hidden="false" customHeight="false" outlineLevel="0" collapsed="false">
      <c r="A27" s="11" t="s">
        <v>142</v>
      </c>
      <c r="B27" s="8" t="s">
        <v>143</v>
      </c>
      <c r="C27" s="8" t="s">
        <v>2134</v>
      </c>
      <c r="D27" s="8" t="s">
        <v>2173</v>
      </c>
      <c r="E27" s="8" t="s">
        <v>2152</v>
      </c>
      <c r="F27" s="8" t="s">
        <v>2131</v>
      </c>
      <c r="G27" s="8" t="s">
        <v>2195</v>
      </c>
      <c r="H27" s="8" t="s">
        <v>2196</v>
      </c>
    </row>
    <row r="28" customFormat="false" ht="15" hidden="false" customHeight="false" outlineLevel="0" collapsed="false">
      <c r="A28" s="11" t="s">
        <v>142</v>
      </c>
      <c r="B28" s="8" t="s">
        <v>143</v>
      </c>
      <c r="C28" s="8" t="s">
        <v>549</v>
      </c>
      <c r="D28" s="8" t="s">
        <v>847</v>
      </c>
      <c r="E28" s="8" t="s">
        <v>2197</v>
      </c>
      <c r="F28" s="8" t="s">
        <v>2193</v>
      </c>
      <c r="G28" s="8" t="s">
        <v>2137</v>
      </c>
      <c r="H28" s="8" t="s">
        <v>2198</v>
      </c>
    </row>
    <row r="29" customFormat="false" ht="15" hidden="false" customHeight="false" outlineLevel="0" collapsed="false">
      <c r="A29" s="11" t="s">
        <v>142</v>
      </c>
      <c r="B29" s="8" t="s">
        <v>143</v>
      </c>
      <c r="C29" s="8" t="s">
        <v>2177</v>
      </c>
      <c r="D29" s="8" t="s">
        <v>2178</v>
      </c>
      <c r="E29" s="8" t="s">
        <v>2199</v>
      </c>
      <c r="F29" s="8" t="s">
        <v>2200</v>
      </c>
      <c r="G29" s="8" t="s">
        <v>2180</v>
      </c>
      <c r="H29" s="8" t="s">
        <v>2201</v>
      </c>
    </row>
    <row r="30" customFormat="false" ht="23.85" hidden="false" customHeight="false" outlineLevel="0" collapsed="false">
      <c r="A30" s="11" t="s">
        <v>152</v>
      </c>
      <c r="B30" s="8" t="s">
        <v>153</v>
      </c>
      <c r="C30" s="8" t="s">
        <v>848</v>
      </c>
      <c r="D30" s="8" t="s">
        <v>2170</v>
      </c>
      <c r="E30" s="8" t="s">
        <v>2179</v>
      </c>
      <c r="F30" s="8" t="s">
        <v>2131</v>
      </c>
      <c r="G30" s="8" t="s">
        <v>2156</v>
      </c>
      <c r="H30" s="8" t="s">
        <v>2202</v>
      </c>
    </row>
    <row r="31" customFormat="false" ht="23.85" hidden="false" customHeight="false" outlineLevel="0" collapsed="false">
      <c r="A31" s="11" t="s">
        <v>152</v>
      </c>
      <c r="B31" s="8" t="s">
        <v>153</v>
      </c>
      <c r="C31" s="8" t="s">
        <v>2134</v>
      </c>
      <c r="D31" s="8" t="s">
        <v>2173</v>
      </c>
      <c r="E31" s="8" t="s">
        <v>2203</v>
      </c>
      <c r="F31" s="8" t="s">
        <v>2200</v>
      </c>
      <c r="G31" s="8" t="s">
        <v>2204</v>
      </c>
      <c r="H31" s="8" t="s">
        <v>2205</v>
      </c>
    </row>
    <row r="32" customFormat="false" ht="23.85" hidden="false" customHeight="false" outlineLevel="0" collapsed="false">
      <c r="A32" s="11" t="s">
        <v>152</v>
      </c>
      <c r="B32" s="8" t="s">
        <v>153</v>
      </c>
      <c r="C32" s="8" t="s">
        <v>549</v>
      </c>
      <c r="D32" s="8" t="s">
        <v>847</v>
      </c>
      <c r="E32" s="8" t="s">
        <v>2206</v>
      </c>
      <c r="F32" s="8" t="s">
        <v>2193</v>
      </c>
      <c r="G32" s="8" t="s">
        <v>2131</v>
      </c>
      <c r="H32" s="8" t="s">
        <v>2207</v>
      </c>
    </row>
    <row r="33" customFormat="false" ht="23.85" hidden="false" customHeight="false" outlineLevel="0" collapsed="false">
      <c r="A33" s="11" t="s">
        <v>152</v>
      </c>
      <c r="B33" s="8" t="s">
        <v>153</v>
      </c>
      <c r="C33" s="8" t="s">
        <v>2177</v>
      </c>
      <c r="D33" s="8" t="s">
        <v>2178</v>
      </c>
      <c r="E33" s="8" t="s">
        <v>2167</v>
      </c>
      <c r="F33" s="8" t="s">
        <v>2161</v>
      </c>
      <c r="G33" s="8" t="s">
        <v>2180</v>
      </c>
      <c r="H33" s="8" t="s">
        <v>2181</v>
      </c>
    </row>
    <row r="34" customFormat="false" ht="15" hidden="false" customHeight="false" outlineLevel="0" collapsed="false">
      <c r="A34" s="11" t="s">
        <v>163</v>
      </c>
      <c r="B34" s="8" t="s">
        <v>164</v>
      </c>
      <c r="C34" s="8" t="s">
        <v>2156</v>
      </c>
      <c r="D34" s="8" t="s">
        <v>2129</v>
      </c>
      <c r="E34" s="8" t="s">
        <v>2208</v>
      </c>
      <c r="F34" s="8" t="s">
        <v>2131</v>
      </c>
      <c r="G34" s="8" t="s">
        <v>2193</v>
      </c>
      <c r="H34" s="8" t="s">
        <v>2209</v>
      </c>
    </row>
    <row r="35" customFormat="false" ht="15" hidden="false" customHeight="false" outlineLevel="0" collapsed="false">
      <c r="A35" s="11" t="s">
        <v>163</v>
      </c>
      <c r="B35" s="8" t="s">
        <v>164</v>
      </c>
      <c r="C35" s="8" t="s">
        <v>2134</v>
      </c>
      <c r="D35" s="8" t="s">
        <v>2173</v>
      </c>
      <c r="E35" s="8" t="s">
        <v>2167</v>
      </c>
      <c r="F35" s="8" t="s">
        <v>2200</v>
      </c>
      <c r="G35" s="8" t="s">
        <v>2204</v>
      </c>
      <c r="H35" s="8" t="s">
        <v>2210</v>
      </c>
    </row>
    <row r="36" customFormat="false" ht="15" hidden="false" customHeight="false" outlineLevel="0" collapsed="false">
      <c r="A36" s="11" t="s">
        <v>163</v>
      </c>
      <c r="B36" s="8" t="s">
        <v>164</v>
      </c>
      <c r="C36" s="8" t="s">
        <v>549</v>
      </c>
      <c r="D36" s="8" t="s">
        <v>2211</v>
      </c>
      <c r="E36" s="8" t="s">
        <v>2197</v>
      </c>
      <c r="F36" s="8" t="s">
        <v>2193</v>
      </c>
      <c r="G36" s="8" t="s">
        <v>2137</v>
      </c>
      <c r="H36" s="8" t="s">
        <v>2212</v>
      </c>
    </row>
    <row r="37" customFormat="false" ht="15" hidden="false" customHeight="false" outlineLevel="0" collapsed="false">
      <c r="A37" s="11" t="s">
        <v>163</v>
      </c>
      <c r="B37" s="8" t="s">
        <v>164</v>
      </c>
      <c r="C37" s="8" t="s">
        <v>2177</v>
      </c>
      <c r="D37" s="8" t="s">
        <v>2213</v>
      </c>
      <c r="E37" s="8" t="s">
        <v>2208</v>
      </c>
      <c r="F37" s="8" t="s">
        <v>2161</v>
      </c>
      <c r="G37" s="8" t="s">
        <v>2180</v>
      </c>
      <c r="H37" s="8" t="s">
        <v>2214</v>
      </c>
    </row>
    <row r="38" customFormat="false" ht="15" hidden="false" customHeight="false" outlineLevel="0" collapsed="false">
      <c r="A38" s="11" t="s">
        <v>175</v>
      </c>
      <c r="B38" s="8" t="s">
        <v>176</v>
      </c>
      <c r="C38" s="8" t="s">
        <v>848</v>
      </c>
      <c r="D38" s="8" t="s">
        <v>2129</v>
      </c>
      <c r="E38" s="8" t="s">
        <v>2215</v>
      </c>
      <c r="F38" s="8" t="s">
        <v>2131</v>
      </c>
      <c r="G38" s="8" t="s">
        <v>2156</v>
      </c>
      <c r="H38" s="8" t="s">
        <v>2163</v>
      </c>
    </row>
    <row r="39" customFormat="false" ht="15" hidden="false" customHeight="false" outlineLevel="0" collapsed="false">
      <c r="A39" s="11" t="s">
        <v>175</v>
      </c>
      <c r="B39" s="8" t="s">
        <v>176</v>
      </c>
      <c r="C39" s="8" t="s">
        <v>2134</v>
      </c>
      <c r="D39" s="8" t="s">
        <v>2135</v>
      </c>
      <c r="E39" s="8" t="s">
        <v>2216</v>
      </c>
      <c r="F39" s="8" t="s">
        <v>2131</v>
      </c>
      <c r="G39" s="8" t="s">
        <v>2131</v>
      </c>
      <c r="H39" s="8" t="s">
        <v>2217</v>
      </c>
    </row>
    <row r="40" customFormat="false" ht="15" hidden="false" customHeight="false" outlineLevel="0" collapsed="false">
      <c r="A40" s="11" t="s">
        <v>175</v>
      </c>
      <c r="B40" s="8" t="s">
        <v>176</v>
      </c>
      <c r="C40" s="8" t="s">
        <v>2218</v>
      </c>
      <c r="D40" s="8" t="s">
        <v>2140</v>
      </c>
      <c r="E40" s="8" t="s">
        <v>2219</v>
      </c>
      <c r="F40" s="8" t="s">
        <v>2200</v>
      </c>
      <c r="G40" s="8" t="s">
        <v>2143</v>
      </c>
      <c r="H40" s="8" t="s">
        <v>2220</v>
      </c>
    </row>
    <row r="41" customFormat="false" ht="15" hidden="false" customHeight="false" outlineLevel="0" collapsed="false">
      <c r="A41" s="11" t="s">
        <v>175</v>
      </c>
      <c r="B41" s="8" t="s">
        <v>176</v>
      </c>
      <c r="C41" s="8" t="s">
        <v>2221</v>
      </c>
      <c r="D41" s="8" t="s">
        <v>2222</v>
      </c>
      <c r="E41" s="8" t="s">
        <v>2187</v>
      </c>
      <c r="F41" s="8" t="s">
        <v>2142</v>
      </c>
      <c r="G41" s="8" t="s">
        <v>2204</v>
      </c>
      <c r="H41" s="8" t="s">
        <v>2223</v>
      </c>
    </row>
    <row r="42" customFormat="false" ht="15" hidden="false" customHeight="false" outlineLevel="0" collapsed="false">
      <c r="A42" s="11" t="s">
        <v>185</v>
      </c>
      <c r="B42" s="8" t="s">
        <v>186</v>
      </c>
      <c r="C42" s="8" t="s">
        <v>848</v>
      </c>
      <c r="D42" s="8" t="s">
        <v>2129</v>
      </c>
      <c r="E42" s="8" t="s">
        <v>2224</v>
      </c>
      <c r="F42" s="8" t="s">
        <v>2131</v>
      </c>
      <c r="G42" s="8" t="s">
        <v>2156</v>
      </c>
      <c r="H42" s="8" t="s">
        <v>2225</v>
      </c>
    </row>
    <row r="43" customFormat="false" ht="15" hidden="false" customHeight="false" outlineLevel="0" collapsed="false">
      <c r="A43" s="11" t="s">
        <v>185</v>
      </c>
      <c r="B43" s="8" t="s">
        <v>186</v>
      </c>
      <c r="C43" s="8" t="s">
        <v>2134</v>
      </c>
      <c r="D43" s="8" t="s">
        <v>2135</v>
      </c>
      <c r="E43" s="8" t="s">
        <v>2226</v>
      </c>
      <c r="F43" s="8" t="s">
        <v>2131</v>
      </c>
      <c r="G43" s="8" t="s">
        <v>2131</v>
      </c>
      <c r="H43" s="8" t="s">
        <v>2174</v>
      </c>
    </row>
    <row r="44" customFormat="false" ht="15" hidden="false" customHeight="false" outlineLevel="0" collapsed="false">
      <c r="A44" s="11" t="s">
        <v>185</v>
      </c>
      <c r="B44" s="8" t="s">
        <v>186</v>
      </c>
      <c r="C44" s="8" t="s">
        <v>549</v>
      </c>
      <c r="D44" s="8" t="s">
        <v>2140</v>
      </c>
      <c r="E44" s="8" t="s">
        <v>2227</v>
      </c>
      <c r="F44" s="8" t="s">
        <v>2142</v>
      </c>
      <c r="G44" s="8" t="s">
        <v>2131</v>
      </c>
      <c r="H44" s="8" t="s">
        <v>2228</v>
      </c>
    </row>
    <row r="45" customFormat="false" ht="23.85" hidden="false" customHeight="false" outlineLevel="0" collapsed="false">
      <c r="A45" s="11" t="s">
        <v>185</v>
      </c>
      <c r="B45" s="8" t="s">
        <v>186</v>
      </c>
      <c r="C45" s="8" t="s">
        <v>2229</v>
      </c>
      <c r="D45" s="8" t="s">
        <v>2213</v>
      </c>
      <c r="E45" s="8" t="s">
        <v>2147</v>
      </c>
      <c r="F45" s="8" t="s">
        <v>2131</v>
      </c>
      <c r="G45" s="8" t="s">
        <v>2230</v>
      </c>
      <c r="H45" s="8" t="s">
        <v>2231</v>
      </c>
    </row>
    <row r="46" customFormat="false" ht="15" hidden="false" customHeight="false" outlineLevel="0" collapsed="false">
      <c r="A46" s="11" t="s">
        <v>195</v>
      </c>
      <c r="B46" s="8" t="s">
        <v>196</v>
      </c>
      <c r="C46" s="8" t="s">
        <v>848</v>
      </c>
      <c r="D46" s="8" t="s">
        <v>2129</v>
      </c>
      <c r="E46" s="8" t="s">
        <v>2232</v>
      </c>
      <c r="F46" s="8" t="s">
        <v>2131</v>
      </c>
      <c r="G46" s="8" t="s">
        <v>2156</v>
      </c>
      <c r="H46" s="8" t="s">
        <v>2233</v>
      </c>
    </row>
    <row r="47" customFormat="false" ht="15" hidden="false" customHeight="false" outlineLevel="0" collapsed="false">
      <c r="A47" s="11" t="s">
        <v>195</v>
      </c>
      <c r="B47" s="8" t="s">
        <v>196</v>
      </c>
      <c r="C47" s="8" t="s">
        <v>2134</v>
      </c>
      <c r="D47" s="8" t="s">
        <v>2135</v>
      </c>
      <c r="E47" s="8" t="s">
        <v>2226</v>
      </c>
      <c r="F47" s="8" t="s">
        <v>2131</v>
      </c>
      <c r="G47" s="8" t="s">
        <v>2131</v>
      </c>
      <c r="H47" s="8" t="s">
        <v>2159</v>
      </c>
    </row>
    <row r="48" customFormat="false" ht="15" hidden="false" customHeight="false" outlineLevel="0" collapsed="false">
      <c r="A48" s="11" t="s">
        <v>195</v>
      </c>
      <c r="B48" s="8" t="s">
        <v>196</v>
      </c>
      <c r="C48" s="8" t="s">
        <v>549</v>
      </c>
      <c r="D48" s="8" t="s">
        <v>2140</v>
      </c>
      <c r="E48" s="8" t="s">
        <v>2141</v>
      </c>
      <c r="F48" s="8" t="s">
        <v>2161</v>
      </c>
      <c r="G48" s="8" t="s">
        <v>2143</v>
      </c>
      <c r="H48" s="8" t="s">
        <v>2205</v>
      </c>
    </row>
    <row r="49" customFormat="false" ht="15" hidden="false" customHeight="false" outlineLevel="0" collapsed="false">
      <c r="A49" s="11" t="s">
        <v>195</v>
      </c>
      <c r="B49" s="8" t="s">
        <v>196</v>
      </c>
      <c r="C49" s="8" t="s">
        <v>2145</v>
      </c>
      <c r="D49" s="8" t="s">
        <v>2234</v>
      </c>
      <c r="E49" s="8" t="s">
        <v>2235</v>
      </c>
      <c r="F49" s="8" t="s">
        <v>2131</v>
      </c>
      <c r="G49" s="8" t="s">
        <v>2156</v>
      </c>
      <c r="H49" s="8" t="s">
        <v>2236</v>
      </c>
    </row>
    <row r="50" customFormat="false" ht="15" hidden="false" customHeight="false" outlineLevel="0" collapsed="false">
      <c r="A50" s="11" t="s">
        <v>206</v>
      </c>
      <c r="B50" s="8" t="s">
        <v>207</v>
      </c>
      <c r="C50" s="8" t="s">
        <v>848</v>
      </c>
      <c r="D50" s="8" t="s">
        <v>2129</v>
      </c>
      <c r="E50" s="8" t="s">
        <v>2237</v>
      </c>
      <c r="F50" s="8" t="s">
        <v>2131</v>
      </c>
      <c r="G50" s="8" t="s">
        <v>2156</v>
      </c>
      <c r="H50" s="8" t="s">
        <v>2238</v>
      </c>
    </row>
    <row r="51" customFormat="false" ht="15" hidden="false" customHeight="false" outlineLevel="0" collapsed="false">
      <c r="A51" s="11" t="s">
        <v>206</v>
      </c>
      <c r="B51" s="8" t="s">
        <v>207</v>
      </c>
      <c r="C51" s="8" t="s">
        <v>2134</v>
      </c>
      <c r="D51" s="8" t="s">
        <v>2173</v>
      </c>
      <c r="E51" s="8" t="s">
        <v>2239</v>
      </c>
      <c r="F51" s="8" t="s">
        <v>2131</v>
      </c>
      <c r="G51" s="8" t="s">
        <v>2204</v>
      </c>
      <c r="H51" s="8" t="s">
        <v>2240</v>
      </c>
    </row>
    <row r="52" customFormat="false" ht="15" hidden="false" customHeight="false" outlineLevel="0" collapsed="false">
      <c r="A52" s="11" t="s">
        <v>206</v>
      </c>
      <c r="B52" s="8" t="s">
        <v>207</v>
      </c>
      <c r="C52" s="8" t="s">
        <v>549</v>
      </c>
      <c r="D52" s="8" t="s">
        <v>847</v>
      </c>
      <c r="E52" s="8" t="s">
        <v>2241</v>
      </c>
      <c r="F52" s="8" t="s">
        <v>2161</v>
      </c>
      <c r="G52" s="8" t="s">
        <v>2143</v>
      </c>
      <c r="H52" s="8" t="s">
        <v>2242</v>
      </c>
    </row>
    <row r="53" customFormat="false" ht="15" hidden="false" customHeight="false" outlineLevel="0" collapsed="false">
      <c r="A53" s="11" t="s">
        <v>206</v>
      </c>
      <c r="B53" s="8" t="s">
        <v>207</v>
      </c>
      <c r="C53" s="8" t="s">
        <v>2243</v>
      </c>
      <c r="D53" s="8" t="s">
        <v>2244</v>
      </c>
      <c r="E53" s="8" t="s">
        <v>2245</v>
      </c>
      <c r="F53" s="8" t="s">
        <v>2200</v>
      </c>
      <c r="G53" s="8" t="s">
        <v>2193</v>
      </c>
      <c r="H53" s="8" t="s">
        <v>2246</v>
      </c>
    </row>
    <row r="54" customFormat="false" ht="15" hidden="false" customHeight="false" outlineLevel="0" collapsed="false">
      <c r="A54" s="11" t="s">
        <v>216</v>
      </c>
      <c r="B54" s="8" t="s">
        <v>217</v>
      </c>
      <c r="C54" s="8" t="s">
        <v>2247</v>
      </c>
      <c r="D54" s="8" t="s">
        <v>847</v>
      </c>
      <c r="E54" s="8" t="s">
        <v>2248</v>
      </c>
      <c r="F54" s="8" t="s">
        <v>2137</v>
      </c>
      <c r="G54" s="8" t="s">
        <v>2156</v>
      </c>
      <c r="H54" s="8" t="s">
        <v>2249</v>
      </c>
    </row>
    <row r="55" customFormat="false" ht="15" hidden="false" customHeight="false" outlineLevel="0" collapsed="false">
      <c r="A55" s="11" t="s">
        <v>216</v>
      </c>
      <c r="B55" s="8" t="s">
        <v>217</v>
      </c>
      <c r="C55" s="8" t="s">
        <v>2180</v>
      </c>
      <c r="D55" s="8" t="s">
        <v>2250</v>
      </c>
      <c r="E55" s="8" t="s">
        <v>2251</v>
      </c>
      <c r="F55" s="8" t="s">
        <v>2131</v>
      </c>
      <c r="G55" s="8" t="s">
        <v>2161</v>
      </c>
      <c r="H55" s="8" t="s">
        <v>2252</v>
      </c>
    </row>
    <row r="56" customFormat="false" ht="15" hidden="false" customHeight="false" outlineLevel="0" collapsed="false">
      <c r="A56" s="11" t="s">
        <v>216</v>
      </c>
      <c r="B56" s="8" t="s">
        <v>217</v>
      </c>
      <c r="C56" s="8" t="s">
        <v>848</v>
      </c>
      <c r="D56" s="8" t="s">
        <v>2253</v>
      </c>
      <c r="E56" s="8" t="s">
        <v>2254</v>
      </c>
      <c r="F56" s="8" t="s">
        <v>2255</v>
      </c>
      <c r="G56" s="8" t="s">
        <v>2131</v>
      </c>
      <c r="H56" s="8" t="s">
        <v>2256</v>
      </c>
    </row>
    <row r="57" customFormat="false" ht="15" hidden="false" customHeight="false" outlineLevel="0" collapsed="false">
      <c r="A57" s="11" t="s">
        <v>216</v>
      </c>
      <c r="B57" s="8" t="s">
        <v>217</v>
      </c>
      <c r="C57" s="8" t="s">
        <v>2257</v>
      </c>
      <c r="D57" s="8" t="s">
        <v>2258</v>
      </c>
      <c r="E57" s="8" t="s">
        <v>2259</v>
      </c>
      <c r="F57" s="8" t="s">
        <v>2131</v>
      </c>
      <c r="G57" s="8" t="s">
        <v>2131</v>
      </c>
      <c r="H57" s="8" t="s">
        <v>2260</v>
      </c>
    </row>
    <row r="58" customFormat="false" ht="15" hidden="false" customHeight="false" outlineLevel="0" collapsed="false">
      <c r="A58" s="11" t="s">
        <v>228</v>
      </c>
      <c r="B58" s="8" t="s">
        <v>229</v>
      </c>
      <c r="C58" s="8" t="s">
        <v>2257</v>
      </c>
      <c r="D58" s="8" t="s">
        <v>2173</v>
      </c>
      <c r="E58" s="8" t="s">
        <v>2261</v>
      </c>
      <c r="F58" s="8" t="s">
        <v>2200</v>
      </c>
      <c r="G58" s="8" t="s">
        <v>2156</v>
      </c>
      <c r="H58" s="8" t="s">
        <v>2262</v>
      </c>
    </row>
    <row r="59" customFormat="false" ht="15" hidden="false" customHeight="false" outlineLevel="0" collapsed="false">
      <c r="A59" s="11" t="s">
        <v>228</v>
      </c>
      <c r="B59" s="8" t="s">
        <v>229</v>
      </c>
      <c r="C59" s="8" t="s">
        <v>549</v>
      </c>
      <c r="D59" s="8" t="s">
        <v>847</v>
      </c>
      <c r="E59" s="8" t="s">
        <v>2263</v>
      </c>
      <c r="F59" s="8" t="s">
        <v>2193</v>
      </c>
      <c r="G59" s="8" t="s">
        <v>2131</v>
      </c>
      <c r="H59" s="8" t="s">
        <v>2264</v>
      </c>
    </row>
    <row r="60" customFormat="false" ht="15" hidden="false" customHeight="false" outlineLevel="0" collapsed="false">
      <c r="A60" s="11" t="s">
        <v>228</v>
      </c>
      <c r="B60" s="8" t="s">
        <v>229</v>
      </c>
      <c r="C60" s="8" t="s">
        <v>2229</v>
      </c>
      <c r="D60" s="8" t="s">
        <v>2213</v>
      </c>
      <c r="E60" s="8" t="s">
        <v>2265</v>
      </c>
      <c r="F60" s="8" t="s">
        <v>2131</v>
      </c>
      <c r="G60" s="8" t="s">
        <v>2156</v>
      </c>
      <c r="H60" s="8" t="s">
        <v>2266</v>
      </c>
    </row>
    <row r="61" customFormat="false" ht="15" hidden="false" customHeight="false" outlineLevel="0" collapsed="false">
      <c r="A61" s="11" t="s">
        <v>228</v>
      </c>
      <c r="B61" s="8" t="s">
        <v>229</v>
      </c>
      <c r="C61" s="8" t="s">
        <v>848</v>
      </c>
      <c r="D61" s="8" t="s">
        <v>2129</v>
      </c>
      <c r="E61" s="8" t="s">
        <v>2267</v>
      </c>
      <c r="F61" s="8" t="s">
        <v>2131</v>
      </c>
      <c r="G61" s="8" t="s">
        <v>2161</v>
      </c>
      <c r="H61" s="8" t="s">
        <v>2268</v>
      </c>
    </row>
  </sheetData>
  <autoFilter ref="A1:H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14" min="3" style="0" width="7"/>
  </cols>
  <sheetData>
    <row r="1" customFormat="false" ht="15" hidden="false" customHeight="false" outlineLevel="0" collapsed="false">
      <c r="A1" s="7" t="s">
        <v>52</v>
      </c>
      <c r="B1" s="7" t="s">
        <v>53</v>
      </c>
      <c r="C1" s="7" t="s">
        <v>2269</v>
      </c>
      <c r="D1" s="7" t="s">
        <v>2270</v>
      </c>
      <c r="E1" s="7" t="s">
        <v>2271</v>
      </c>
      <c r="F1" s="7" t="s">
        <v>2258</v>
      </c>
      <c r="G1" s="7" t="s">
        <v>2272</v>
      </c>
      <c r="H1" s="7" t="s">
        <v>2273</v>
      </c>
      <c r="I1" s="7" t="s">
        <v>2274</v>
      </c>
      <c r="J1" s="7" t="s">
        <v>2275</v>
      </c>
      <c r="K1" s="7" t="s">
        <v>2276</v>
      </c>
      <c r="L1" s="7" t="s">
        <v>2178</v>
      </c>
      <c r="M1" s="7" t="s">
        <v>2277</v>
      </c>
      <c r="N1" s="7" t="s">
        <v>2278</v>
      </c>
    </row>
    <row r="2" customFormat="false" ht="15" hidden="false" customHeight="false" outlineLevel="0" collapsed="false">
      <c r="A2" s="12" t="s">
        <v>74</v>
      </c>
      <c r="B2" s="13" t="s">
        <v>75</v>
      </c>
      <c r="C2" s="12" t="n">
        <v>3</v>
      </c>
      <c r="D2" s="12" t="n">
        <v>4</v>
      </c>
      <c r="E2" s="12" t="n">
        <v>5</v>
      </c>
      <c r="F2" s="12" t="n">
        <v>3</v>
      </c>
      <c r="G2" s="12" t="n">
        <v>1</v>
      </c>
      <c r="H2" s="12" t="n">
        <v>1</v>
      </c>
      <c r="I2" s="12" t="n">
        <v>2</v>
      </c>
      <c r="J2" s="12" t="n">
        <v>2</v>
      </c>
      <c r="K2" s="12" t="n">
        <v>3</v>
      </c>
      <c r="L2" s="12" t="n">
        <v>4</v>
      </c>
      <c r="M2" s="12" t="n">
        <v>3</v>
      </c>
      <c r="N2" s="12" t="n">
        <v>3</v>
      </c>
    </row>
    <row r="3" customFormat="false" ht="15" hidden="false" customHeight="false" outlineLevel="0" collapsed="false">
      <c r="A3" s="12" t="s">
        <v>86</v>
      </c>
      <c r="B3" s="13" t="s">
        <v>87</v>
      </c>
      <c r="C3" s="12" t="n">
        <v>3</v>
      </c>
      <c r="D3" s="12" t="n">
        <v>4</v>
      </c>
      <c r="E3" s="12" t="n">
        <v>5</v>
      </c>
      <c r="F3" s="12" t="n">
        <v>3</v>
      </c>
      <c r="G3" s="12" t="n">
        <v>1</v>
      </c>
      <c r="H3" s="12" t="n">
        <v>1</v>
      </c>
      <c r="I3" s="12" t="n">
        <v>2</v>
      </c>
      <c r="J3" s="12" t="n">
        <v>2</v>
      </c>
      <c r="K3" s="12" t="n">
        <v>3</v>
      </c>
      <c r="L3" s="12" t="n">
        <v>4</v>
      </c>
      <c r="M3" s="12" t="n">
        <v>4</v>
      </c>
      <c r="N3" s="12" t="n">
        <v>3</v>
      </c>
    </row>
    <row r="4" customFormat="false" ht="15" hidden="false" customHeight="false" outlineLevel="0" collapsed="false">
      <c r="A4" s="12" t="s">
        <v>97</v>
      </c>
      <c r="B4" s="13" t="s">
        <v>98</v>
      </c>
      <c r="C4" s="12" t="n">
        <v>4</v>
      </c>
      <c r="D4" s="12" t="n">
        <v>5</v>
      </c>
      <c r="E4" s="12" t="n">
        <v>4</v>
      </c>
      <c r="F4" s="12" t="n">
        <v>2</v>
      </c>
      <c r="G4" s="12" t="n">
        <v>1</v>
      </c>
      <c r="H4" s="12" t="n">
        <v>1</v>
      </c>
      <c r="I4" s="12" t="n">
        <v>2</v>
      </c>
      <c r="J4" s="12" t="n">
        <v>3</v>
      </c>
      <c r="K4" s="12" t="n">
        <v>3</v>
      </c>
      <c r="L4" s="12" t="n">
        <v>5</v>
      </c>
      <c r="M4" s="12" t="n">
        <v>5</v>
      </c>
      <c r="N4" s="12" t="n">
        <v>5</v>
      </c>
    </row>
    <row r="5" customFormat="false" ht="15" hidden="false" customHeight="false" outlineLevel="0" collapsed="false">
      <c r="A5" s="12" t="s">
        <v>108</v>
      </c>
      <c r="B5" s="13" t="s">
        <v>109</v>
      </c>
      <c r="C5" s="12" t="n">
        <v>4</v>
      </c>
      <c r="D5" s="12" t="n">
        <v>5</v>
      </c>
      <c r="E5" s="12" t="n">
        <v>4</v>
      </c>
      <c r="F5" s="12" t="n">
        <v>2</v>
      </c>
      <c r="G5" s="12" t="n">
        <v>1</v>
      </c>
      <c r="H5" s="12" t="n">
        <v>1</v>
      </c>
      <c r="I5" s="12" t="n">
        <v>3</v>
      </c>
      <c r="J5" s="12" t="n">
        <v>4</v>
      </c>
      <c r="K5" s="12" t="n">
        <v>4</v>
      </c>
      <c r="L5" s="12" t="n">
        <v>5</v>
      </c>
      <c r="M5" s="12" t="n">
        <v>5</v>
      </c>
      <c r="N5" s="12" t="n">
        <v>5</v>
      </c>
    </row>
    <row r="6" customFormat="false" ht="15" hidden="false" customHeight="false" outlineLevel="0" collapsed="false">
      <c r="A6" s="12" t="s">
        <v>118</v>
      </c>
      <c r="B6" s="13" t="s">
        <v>119</v>
      </c>
      <c r="C6" s="12" t="n">
        <v>5</v>
      </c>
      <c r="D6" s="12" t="n">
        <v>5</v>
      </c>
      <c r="E6" s="12" t="n">
        <v>3</v>
      </c>
      <c r="F6" s="12" t="n">
        <v>2</v>
      </c>
      <c r="G6" s="12" t="n">
        <v>1</v>
      </c>
      <c r="H6" s="12" t="n">
        <v>3</v>
      </c>
      <c r="I6" s="12" t="n">
        <v>3</v>
      </c>
      <c r="J6" s="12" t="n">
        <v>3</v>
      </c>
      <c r="K6" s="12" t="n">
        <v>3</v>
      </c>
      <c r="L6" s="12" t="n">
        <v>4</v>
      </c>
      <c r="M6" s="12" t="n">
        <v>5</v>
      </c>
      <c r="N6" s="12" t="n">
        <v>5</v>
      </c>
    </row>
    <row r="7" customFormat="false" ht="15" hidden="false" customHeight="false" outlineLevel="0" collapsed="false">
      <c r="A7" s="12" t="s">
        <v>130</v>
      </c>
      <c r="B7" s="13" t="s">
        <v>131</v>
      </c>
      <c r="C7" s="12" t="n">
        <v>4</v>
      </c>
      <c r="D7" s="12" t="n">
        <v>4</v>
      </c>
      <c r="E7" s="12" t="n">
        <v>3</v>
      </c>
      <c r="F7" s="12" t="n">
        <v>2</v>
      </c>
      <c r="G7" s="12" t="n">
        <v>1</v>
      </c>
      <c r="H7" s="12" t="n">
        <v>2</v>
      </c>
      <c r="I7" s="12" t="n">
        <v>4</v>
      </c>
      <c r="J7" s="12" t="n">
        <v>4</v>
      </c>
      <c r="K7" s="12" t="n">
        <v>4</v>
      </c>
      <c r="L7" s="12" t="n">
        <v>4</v>
      </c>
      <c r="M7" s="12" t="n">
        <v>5</v>
      </c>
      <c r="N7" s="12" t="n">
        <v>5</v>
      </c>
    </row>
    <row r="8" customFormat="false" ht="15" hidden="false" customHeight="false" outlineLevel="0" collapsed="false">
      <c r="A8" s="12" t="s">
        <v>142</v>
      </c>
      <c r="B8" s="13" t="s">
        <v>143</v>
      </c>
      <c r="C8" s="12" t="n">
        <v>5</v>
      </c>
      <c r="D8" s="12" t="n">
        <v>5</v>
      </c>
      <c r="E8" s="12" t="n">
        <v>4</v>
      </c>
      <c r="F8" s="12" t="n">
        <v>3</v>
      </c>
      <c r="G8" s="12" t="n">
        <v>2</v>
      </c>
      <c r="H8" s="12" t="n">
        <v>1</v>
      </c>
      <c r="I8" s="12" t="n">
        <v>1</v>
      </c>
      <c r="J8" s="12" t="n">
        <v>1</v>
      </c>
      <c r="K8" s="12" t="n">
        <v>2</v>
      </c>
      <c r="L8" s="12" t="n">
        <v>3</v>
      </c>
      <c r="M8" s="12" t="n">
        <v>5</v>
      </c>
      <c r="N8" s="12" t="n">
        <v>5</v>
      </c>
    </row>
    <row r="9" customFormat="false" ht="15" hidden="false" customHeight="false" outlineLevel="0" collapsed="false">
      <c r="A9" s="12" t="s">
        <v>152</v>
      </c>
      <c r="B9" s="13" t="s">
        <v>153</v>
      </c>
      <c r="C9" s="12" t="n">
        <v>5</v>
      </c>
      <c r="D9" s="12" t="n">
        <v>5</v>
      </c>
      <c r="E9" s="12" t="n">
        <v>4</v>
      </c>
      <c r="F9" s="12" t="n">
        <v>3</v>
      </c>
      <c r="G9" s="12" t="n">
        <v>2</v>
      </c>
      <c r="H9" s="12" t="n">
        <v>2</v>
      </c>
      <c r="I9" s="12" t="n">
        <v>2</v>
      </c>
      <c r="J9" s="12" t="n">
        <v>2</v>
      </c>
      <c r="K9" s="12" t="n">
        <v>3</v>
      </c>
      <c r="L9" s="12" t="n">
        <v>3</v>
      </c>
      <c r="M9" s="12" t="n">
        <v>4</v>
      </c>
      <c r="N9" s="12" t="n">
        <v>5</v>
      </c>
    </row>
    <row r="10" customFormat="false" ht="15" hidden="false" customHeight="false" outlineLevel="0" collapsed="false">
      <c r="A10" s="12" t="s">
        <v>163</v>
      </c>
      <c r="B10" s="13" t="s">
        <v>164</v>
      </c>
      <c r="C10" s="12" t="n">
        <v>5</v>
      </c>
      <c r="D10" s="12" t="n">
        <v>5</v>
      </c>
      <c r="E10" s="12" t="n">
        <v>5</v>
      </c>
      <c r="F10" s="12" t="n">
        <v>4</v>
      </c>
      <c r="G10" s="12" t="n">
        <v>3</v>
      </c>
      <c r="H10" s="12" t="n">
        <v>1</v>
      </c>
      <c r="I10" s="12" t="n">
        <v>1</v>
      </c>
      <c r="J10" s="12" t="n">
        <v>1</v>
      </c>
      <c r="K10" s="12" t="n">
        <v>2</v>
      </c>
      <c r="L10" s="12" t="n">
        <v>3</v>
      </c>
      <c r="M10" s="12" t="n">
        <v>4</v>
      </c>
      <c r="N10" s="12" t="n">
        <v>5</v>
      </c>
    </row>
    <row r="11" customFormat="false" ht="15" hidden="false" customHeight="false" outlineLevel="0" collapsed="false">
      <c r="A11" s="12" t="s">
        <v>175</v>
      </c>
      <c r="B11" s="13" t="s">
        <v>176</v>
      </c>
      <c r="C11" s="12" t="n">
        <v>5</v>
      </c>
      <c r="D11" s="12" t="n">
        <v>5</v>
      </c>
      <c r="E11" s="12" t="n">
        <v>4</v>
      </c>
      <c r="F11" s="12" t="n">
        <v>2</v>
      </c>
      <c r="G11" s="12" t="n">
        <v>1</v>
      </c>
      <c r="H11" s="12" t="n">
        <v>2</v>
      </c>
      <c r="I11" s="12" t="n">
        <v>2</v>
      </c>
      <c r="J11" s="12" t="n">
        <v>3</v>
      </c>
      <c r="K11" s="12" t="n">
        <v>3</v>
      </c>
      <c r="L11" s="12" t="n">
        <v>3</v>
      </c>
      <c r="M11" s="12" t="n">
        <v>3</v>
      </c>
      <c r="N11" s="12" t="n">
        <v>4</v>
      </c>
    </row>
    <row r="12" customFormat="false" ht="15" hidden="false" customHeight="false" outlineLevel="0" collapsed="false">
      <c r="A12" s="12" t="s">
        <v>185</v>
      </c>
      <c r="B12" s="13" t="s">
        <v>186</v>
      </c>
      <c r="C12" s="12" t="n">
        <v>3</v>
      </c>
      <c r="D12" s="12" t="n">
        <v>4</v>
      </c>
      <c r="E12" s="12" t="n">
        <v>5</v>
      </c>
      <c r="F12" s="12" t="n">
        <v>2</v>
      </c>
      <c r="G12" s="12" t="n">
        <v>1</v>
      </c>
      <c r="H12" s="12" t="n">
        <v>1</v>
      </c>
      <c r="I12" s="12" t="n">
        <v>1</v>
      </c>
      <c r="J12" s="12" t="n">
        <v>1</v>
      </c>
      <c r="K12" s="12" t="n">
        <v>3</v>
      </c>
      <c r="L12" s="12" t="n">
        <v>4</v>
      </c>
      <c r="M12" s="12" t="n">
        <v>5</v>
      </c>
      <c r="N12" s="12" t="n">
        <v>4</v>
      </c>
    </row>
    <row r="13" customFormat="false" ht="15" hidden="false" customHeight="false" outlineLevel="0" collapsed="false">
      <c r="A13" s="12" t="s">
        <v>195</v>
      </c>
      <c r="B13" s="13" t="s">
        <v>196</v>
      </c>
      <c r="C13" s="12" t="n">
        <v>3</v>
      </c>
      <c r="D13" s="12" t="n">
        <v>4</v>
      </c>
      <c r="E13" s="12" t="n">
        <v>5</v>
      </c>
      <c r="F13" s="12" t="n">
        <v>3</v>
      </c>
      <c r="G13" s="12" t="n">
        <v>1</v>
      </c>
      <c r="H13" s="12" t="n">
        <v>1</v>
      </c>
      <c r="I13" s="12" t="n">
        <v>2</v>
      </c>
      <c r="J13" s="12" t="n">
        <v>2</v>
      </c>
      <c r="K13" s="12" t="n">
        <v>3</v>
      </c>
      <c r="L13" s="12" t="n">
        <v>5</v>
      </c>
      <c r="M13" s="12" t="n">
        <v>5</v>
      </c>
      <c r="N13" s="12" t="n">
        <v>3</v>
      </c>
    </row>
    <row r="14" customFormat="false" ht="15" hidden="false" customHeight="false" outlineLevel="0" collapsed="false">
      <c r="A14" s="12" t="s">
        <v>206</v>
      </c>
      <c r="B14" s="13" t="s">
        <v>207</v>
      </c>
      <c r="C14" s="12" t="n">
        <v>4</v>
      </c>
      <c r="D14" s="12" t="n">
        <v>4</v>
      </c>
      <c r="E14" s="12" t="n">
        <v>4</v>
      </c>
      <c r="F14" s="12" t="n">
        <v>3</v>
      </c>
      <c r="G14" s="12" t="n">
        <v>3</v>
      </c>
      <c r="H14" s="12" t="n">
        <v>3</v>
      </c>
      <c r="I14" s="12" t="n">
        <v>3</v>
      </c>
      <c r="J14" s="12" t="n">
        <v>3</v>
      </c>
      <c r="K14" s="12" t="n">
        <v>4</v>
      </c>
      <c r="L14" s="12" t="n">
        <v>5</v>
      </c>
      <c r="M14" s="12" t="n">
        <v>5</v>
      </c>
      <c r="N14" s="12" t="n">
        <v>4</v>
      </c>
    </row>
    <row r="15" customFormat="false" ht="15" hidden="false" customHeight="false" outlineLevel="0" collapsed="false">
      <c r="A15" s="12" t="s">
        <v>216</v>
      </c>
      <c r="B15" s="13" t="s">
        <v>217</v>
      </c>
      <c r="C15" s="12" t="n">
        <v>2</v>
      </c>
      <c r="D15" s="12" t="n">
        <v>2</v>
      </c>
      <c r="E15" s="12" t="n">
        <v>1</v>
      </c>
      <c r="F15" s="12" t="n">
        <v>1</v>
      </c>
      <c r="G15" s="12" t="n">
        <v>3</v>
      </c>
      <c r="H15" s="12" t="n">
        <v>5</v>
      </c>
      <c r="I15" s="12" t="n">
        <v>5</v>
      </c>
      <c r="J15" s="12" t="n">
        <v>5</v>
      </c>
      <c r="K15" s="12" t="n">
        <v>5</v>
      </c>
      <c r="L15" s="12" t="n">
        <v>3</v>
      </c>
      <c r="M15" s="12" t="n">
        <v>1</v>
      </c>
      <c r="N15" s="12" t="n">
        <v>1</v>
      </c>
    </row>
    <row r="16" customFormat="false" ht="15" hidden="false" customHeight="false" outlineLevel="0" collapsed="false">
      <c r="A16" s="12" t="s">
        <v>228</v>
      </c>
      <c r="B16" s="13" t="s">
        <v>229</v>
      </c>
      <c r="C16" s="12" t="n">
        <v>3</v>
      </c>
      <c r="D16" s="12" t="n">
        <v>3</v>
      </c>
      <c r="E16" s="12" t="n">
        <v>5</v>
      </c>
      <c r="F16" s="12" t="n">
        <v>5</v>
      </c>
      <c r="G16" s="12" t="n">
        <v>4</v>
      </c>
      <c r="H16" s="12" t="n">
        <v>2</v>
      </c>
      <c r="I16" s="12" t="n">
        <v>1</v>
      </c>
      <c r="J16" s="12" t="n">
        <v>1</v>
      </c>
      <c r="K16" s="12" t="n">
        <v>2</v>
      </c>
      <c r="L16" s="12" t="n">
        <v>5</v>
      </c>
      <c r="M16" s="12" t="n">
        <v>5</v>
      </c>
      <c r="N16" s="12" t="n">
        <v>4</v>
      </c>
    </row>
    <row r="18" customFormat="false" ht="15" hidden="false" customHeight="false" outlineLevel="0" collapsed="false">
      <c r="A18" s="14" t="s">
        <v>2279</v>
      </c>
    </row>
  </sheetData>
  <conditionalFormatting sqref="C2:N16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44"/>
    <col collapsed="false" customWidth="true" hidden="false" outlineLevel="0" max="12" min="12" style="0" width="22"/>
  </cols>
  <sheetData>
    <row r="1" customFormat="false" ht="61.5" hidden="false" customHeight="true" outlineLevel="0" collapsed="false">
      <c r="A1" s="7" t="s">
        <v>2280</v>
      </c>
      <c r="B1" s="7" t="s">
        <v>52</v>
      </c>
      <c r="C1" s="7" t="s">
        <v>53</v>
      </c>
      <c r="D1" s="7" t="s">
        <v>897</v>
      </c>
      <c r="E1" s="7" t="s">
        <v>2281</v>
      </c>
      <c r="F1" s="7" t="s">
        <v>2282</v>
      </c>
      <c r="G1" s="7" t="s">
        <v>2283</v>
      </c>
      <c r="H1" s="7" t="s">
        <v>2284</v>
      </c>
      <c r="I1" s="7" t="s">
        <v>2285</v>
      </c>
      <c r="J1" s="7" t="s">
        <v>2286</v>
      </c>
      <c r="K1" s="7" t="s">
        <v>2287</v>
      </c>
      <c r="L1" s="7" t="s">
        <v>2288</v>
      </c>
    </row>
    <row r="2" customFormat="false" ht="15" hidden="false" customHeight="false" outlineLevel="0" collapsed="false">
      <c r="A2" s="8" t="str">
        <f aca="false">B2&amp;"|"&amp;D2</f>
        <v>DEL|Budget</v>
      </c>
      <c r="B2" s="8" t="s">
        <v>74</v>
      </c>
      <c r="C2" s="8" t="s">
        <v>75</v>
      </c>
      <c r="D2" s="8" t="s">
        <v>907</v>
      </c>
      <c r="E2" s="15" t="n">
        <v>1500</v>
      </c>
      <c r="F2" s="15" t="n">
        <v>500</v>
      </c>
      <c r="G2" s="15" t="n">
        <v>250</v>
      </c>
      <c r="H2" s="15" t="n">
        <v>150</v>
      </c>
      <c r="I2" s="15" t="n">
        <v>100</v>
      </c>
      <c r="J2" s="15" t="n">
        <v>0</v>
      </c>
      <c r="K2" s="8" t="s">
        <v>2289</v>
      </c>
      <c r="L2" s="10" t="n">
        <f aca="false">E2/2+F2+G2+H2+I2</f>
        <v>1750</v>
      </c>
    </row>
    <row r="3" customFormat="false" ht="15" hidden="false" customHeight="false" outlineLevel="0" collapsed="false">
      <c r="A3" s="8" t="str">
        <f aca="false">B3&amp;"|"&amp;D3</f>
        <v>DEL|Mid-range</v>
      </c>
      <c r="B3" s="8" t="s">
        <v>74</v>
      </c>
      <c r="C3" s="8" t="s">
        <v>75</v>
      </c>
      <c r="D3" s="8" t="s">
        <v>921</v>
      </c>
      <c r="E3" s="15" t="n">
        <v>4500</v>
      </c>
      <c r="F3" s="15" t="n">
        <v>1200</v>
      </c>
      <c r="G3" s="15" t="n">
        <v>500</v>
      </c>
      <c r="H3" s="15" t="n">
        <v>350</v>
      </c>
      <c r="I3" s="15" t="n">
        <v>200</v>
      </c>
      <c r="J3" s="15" t="n">
        <v>0</v>
      </c>
      <c r="K3" s="8" t="s">
        <v>2289</v>
      </c>
      <c r="L3" s="10" t="n">
        <f aca="false">E3/2+F3+G3+H3+I3</f>
        <v>4500</v>
      </c>
    </row>
    <row r="4" customFormat="false" ht="15" hidden="false" customHeight="false" outlineLevel="0" collapsed="false">
      <c r="A4" s="8" t="str">
        <f aca="false">B4&amp;"|"&amp;D4</f>
        <v>DEL|Premium</v>
      </c>
      <c r="B4" s="8" t="s">
        <v>74</v>
      </c>
      <c r="C4" s="8" t="s">
        <v>75</v>
      </c>
      <c r="D4" s="8" t="s">
        <v>934</v>
      </c>
      <c r="E4" s="15" t="n">
        <v>12000</v>
      </c>
      <c r="F4" s="15" t="n">
        <v>3000</v>
      </c>
      <c r="G4" s="15" t="n">
        <v>1200</v>
      </c>
      <c r="H4" s="15" t="n">
        <v>800</v>
      </c>
      <c r="I4" s="15" t="n">
        <v>500</v>
      </c>
      <c r="J4" s="15" t="n">
        <v>0</v>
      </c>
      <c r="K4" s="8" t="s">
        <v>2289</v>
      </c>
      <c r="L4" s="10" t="n">
        <f aca="false">E4/2+F4+G4+H4+I4</f>
        <v>11500</v>
      </c>
    </row>
    <row r="5" customFormat="false" ht="15" hidden="false" customHeight="false" outlineLevel="0" collapsed="false">
      <c r="A5" s="8" t="str">
        <f aca="false">B5&amp;"|"&amp;D5</f>
        <v>AGR|Budget</v>
      </c>
      <c r="B5" s="8" t="s">
        <v>86</v>
      </c>
      <c r="C5" s="8" t="s">
        <v>87</v>
      </c>
      <c r="D5" s="8" t="s">
        <v>907</v>
      </c>
      <c r="E5" s="15" t="n">
        <v>1200</v>
      </c>
      <c r="F5" s="15" t="n">
        <v>450</v>
      </c>
      <c r="G5" s="15" t="n">
        <v>250</v>
      </c>
      <c r="H5" s="15" t="n">
        <v>350</v>
      </c>
      <c r="I5" s="15" t="n">
        <v>100</v>
      </c>
      <c r="J5" s="15" t="n">
        <v>0</v>
      </c>
      <c r="K5" s="8" t="s">
        <v>2290</v>
      </c>
      <c r="L5" s="10" t="n">
        <f aca="false">E5/2+F5+G5+H5+I5</f>
        <v>1750</v>
      </c>
    </row>
    <row r="6" customFormat="false" ht="15" hidden="false" customHeight="false" outlineLevel="0" collapsed="false">
      <c r="A6" s="8" t="str">
        <f aca="false">B6&amp;"|"&amp;D6</f>
        <v>AGR|Mid-range</v>
      </c>
      <c r="B6" s="8" t="s">
        <v>86</v>
      </c>
      <c r="C6" s="8" t="s">
        <v>87</v>
      </c>
      <c r="D6" s="8" t="s">
        <v>921</v>
      </c>
      <c r="E6" s="15" t="n">
        <v>4000</v>
      </c>
      <c r="F6" s="15" t="n">
        <v>1200</v>
      </c>
      <c r="G6" s="15" t="n">
        <v>600</v>
      </c>
      <c r="H6" s="15" t="n">
        <v>500</v>
      </c>
      <c r="I6" s="15" t="n">
        <v>200</v>
      </c>
      <c r="J6" s="15" t="n">
        <v>0</v>
      </c>
      <c r="K6" s="8" t="s">
        <v>2291</v>
      </c>
      <c r="L6" s="10" t="n">
        <f aca="false">E6/2+F6+G6+H6+I6</f>
        <v>4500</v>
      </c>
    </row>
    <row r="7" customFormat="false" ht="15" hidden="false" customHeight="false" outlineLevel="0" collapsed="false">
      <c r="A7" s="8" t="str">
        <f aca="false">B7&amp;"|"&amp;D7</f>
        <v>AGR|Premium</v>
      </c>
      <c r="B7" s="8" t="s">
        <v>86</v>
      </c>
      <c r="C7" s="8" t="s">
        <v>87</v>
      </c>
      <c r="D7" s="8" t="s">
        <v>934</v>
      </c>
      <c r="E7" s="15" t="n">
        <v>10000</v>
      </c>
      <c r="F7" s="15" t="n">
        <v>2800</v>
      </c>
      <c r="G7" s="15" t="n">
        <v>1500</v>
      </c>
      <c r="H7" s="15" t="n">
        <v>900</v>
      </c>
      <c r="I7" s="15" t="n">
        <v>500</v>
      </c>
      <c r="J7" s="15" t="n">
        <v>0</v>
      </c>
      <c r="K7" s="8" t="s">
        <v>2292</v>
      </c>
      <c r="L7" s="10" t="n">
        <f aca="false">E7/2+F7+G7+H7+I7</f>
        <v>10700</v>
      </c>
    </row>
    <row r="8" customFormat="false" ht="15" hidden="false" customHeight="false" outlineLevel="0" collapsed="false">
      <c r="A8" s="8" t="str">
        <f aca="false">B8&amp;"|"&amp;D8</f>
        <v>JAI|Budget</v>
      </c>
      <c r="B8" s="8" t="s">
        <v>97</v>
      </c>
      <c r="C8" s="8" t="s">
        <v>98</v>
      </c>
      <c r="D8" s="8" t="s">
        <v>907</v>
      </c>
      <c r="E8" s="15" t="n">
        <v>1200</v>
      </c>
      <c r="F8" s="15" t="n">
        <v>450</v>
      </c>
      <c r="G8" s="15" t="n">
        <v>250</v>
      </c>
      <c r="H8" s="15" t="n">
        <v>300</v>
      </c>
      <c r="I8" s="15" t="n">
        <v>100</v>
      </c>
      <c r="J8" s="15" t="n">
        <v>0</v>
      </c>
      <c r="K8" s="8" t="s">
        <v>2293</v>
      </c>
      <c r="L8" s="10" t="n">
        <f aca="false">E8/2+F8+G8+H8+I8</f>
        <v>1700</v>
      </c>
    </row>
    <row r="9" customFormat="false" ht="15" hidden="false" customHeight="false" outlineLevel="0" collapsed="false">
      <c r="A9" s="8" t="str">
        <f aca="false">B9&amp;"|"&amp;D9</f>
        <v>JAI|Mid-range</v>
      </c>
      <c r="B9" s="8" t="s">
        <v>97</v>
      </c>
      <c r="C9" s="8" t="s">
        <v>98</v>
      </c>
      <c r="D9" s="8" t="s">
        <v>921</v>
      </c>
      <c r="E9" s="15" t="n">
        <v>3800</v>
      </c>
      <c r="F9" s="15" t="n">
        <v>1100</v>
      </c>
      <c r="G9" s="15" t="n">
        <v>550</v>
      </c>
      <c r="H9" s="15" t="n">
        <v>450</v>
      </c>
      <c r="I9" s="15" t="n">
        <v>200</v>
      </c>
      <c r="J9" s="15" t="n">
        <v>0</v>
      </c>
      <c r="K9" s="8" t="s">
        <v>2289</v>
      </c>
      <c r="L9" s="10" t="n">
        <f aca="false">E9/2+F9+G9+H9+I9</f>
        <v>4200</v>
      </c>
    </row>
    <row r="10" customFormat="false" ht="15" hidden="false" customHeight="false" outlineLevel="0" collapsed="false">
      <c r="A10" s="8" t="str">
        <f aca="false">B10&amp;"|"&amp;D10</f>
        <v>JAI|Premium</v>
      </c>
      <c r="B10" s="8" t="s">
        <v>97</v>
      </c>
      <c r="C10" s="8" t="s">
        <v>98</v>
      </c>
      <c r="D10" s="8" t="s">
        <v>934</v>
      </c>
      <c r="E10" s="15" t="n">
        <v>10000</v>
      </c>
      <c r="F10" s="15" t="n">
        <v>2800</v>
      </c>
      <c r="G10" s="15" t="n">
        <v>1300</v>
      </c>
      <c r="H10" s="15" t="n">
        <v>800</v>
      </c>
      <c r="I10" s="15" t="n">
        <v>500</v>
      </c>
      <c r="J10" s="15" t="n">
        <v>0</v>
      </c>
      <c r="K10" s="8" t="s">
        <v>2289</v>
      </c>
      <c r="L10" s="10" t="n">
        <f aca="false">E10/2+F10+G10+H10+I10</f>
        <v>10400</v>
      </c>
    </row>
    <row r="11" customFormat="false" ht="15" hidden="false" customHeight="false" outlineLevel="0" collapsed="false">
      <c r="A11" s="8" t="str">
        <f aca="false">B11&amp;"|"&amp;D11</f>
        <v>UDR|Budget</v>
      </c>
      <c r="B11" s="8" t="s">
        <v>108</v>
      </c>
      <c r="C11" s="8" t="s">
        <v>109</v>
      </c>
      <c r="D11" s="8" t="s">
        <v>907</v>
      </c>
      <c r="E11" s="15" t="n">
        <v>1200</v>
      </c>
      <c r="F11" s="15" t="n">
        <v>450</v>
      </c>
      <c r="G11" s="15" t="n">
        <v>250</v>
      </c>
      <c r="H11" s="15" t="n">
        <v>300</v>
      </c>
      <c r="I11" s="15" t="n">
        <v>100</v>
      </c>
      <c r="J11" s="15" t="n">
        <v>0</v>
      </c>
      <c r="K11" s="8" t="s">
        <v>2289</v>
      </c>
      <c r="L11" s="10" t="n">
        <f aca="false">E11/2+F11+G11+H11+I11</f>
        <v>1700</v>
      </c>
    </row>
    <row r="12" customFormat="false" ht="15" hidden="false" customHeight="false" outlineLevel="0" collapsed="false">
      <c r="A12" s="8" t="str">
        <f aca="false">B12&amp;"|"&amp;D12</f>
        <v>UDR|Mid-range</v>
      </c>
      <c r="B12" s="8" t="s">
        <v>108</v>
      </c>
      <c r="C12" s="8" t="s">
        <v>109</v>
      </c>
      <c r="D12" s="8" t="s">
        <v>921</v>
      </c>
      <c r="E12" s="15" t="n">
        <v>4500</v>
      </c>
      <c r="F12" s="15" t="n">
        <v>1200</v>
      </c>
      <c r="G12" s="15" t="n">
        <v>500</v>
      </c>
      <c r="H12" s="15" t="n">
        <v>500</v>
      </c>
      <c r="I12" s="15" t="n">
        <v>200</v>
      </c>
      <c r="J12" s="15" t="n">
        <v>0</v>
      </c>
      <c r="K12" s="8" t="s">
        <v>2289</v>
      </c>
      <c r="L12" s="10" t="n">
        <f aca="false">E12/2+F12+G12+H12+I12</f>
        <v>4650</v>
      </c>
    </row>
    <row r="13" customFormat="false" ht="15" hidden="false" customHeight="false" outlineLevel="0" collapsed="false">
      <c r="A13" s="8" t="str">
        <f aca="false">B13&amp;"|"&amp;D13</f>
        <v>UDR|Premium</v>
      </c>
      <c r="B13" s="8" t="s">
        <v>108</v>
      </c>
      <c r="C13" s="8" t="s">
        <v>109</v>
      </c>
      <c r="D13" s="8" t="s">
        <v>934</v>
      </c>
      <c r="E13" s="15" t="n">
        <v>12000</v>
      </c>
      <c r="F13" s="15" t="n">
        <v>3000</v>
      </c>
      <c r="G13" s="15" t="n">
        <v>1400</v>
      </c>
      <c r="H13" s="15" t="n">
        <v>900</v>
      </c>
      <c r="I13" s="15" t="n">
        <v>600</v>
      </c>
      <c r="J13" s="15" t="n">
        <v>0</v>
      </c>
      <c r="K13" s="8" t="s">
        <v>2289</v>
      </c>
      <c r="L13" s="10" t="n">
        <f aca="false">E13/2+F13+G13+H13+I13</f>
        <v>11900</v>
      </c>
    </row>
    <row r="14" customFormat="false" ht="15" hidden="false" customHeight="false" outlineLevel="0" collapsed="false">
      <c r="A14" s="8" t="str">
        <f aca="false">B14&amp;"|"&amp;D14</f>
        <v>HMP|Budget</v>
      </c>
      <c r="B14" s="8" t="s">
        <v>118</v>
      </c>
      <c r="C14" s="8" t="s">
        <v>119</v>
      </c>
      <c r="D14" s="8" t="s">
        <v>907</v>
      </c>
      <c r="E14" s="15" t="n">
        <v>900</v>
      </c>
      <c r="F14" s="15" t="n">
        <v>350</v>
      </c>
      <c r="G14" s="15" t="n">
        <v>150</v>
      </c>
      <c r="H14" s="15" t="n">
        <v>150</v>
      </c>
      <c r="I14" s="15" t="n">
        <v>100</v>
      </c>
      <c r="J14" s="15" t="n">
        <v>0</v>
      </c>
      <c r="K14" s="8" t="s">
        <v>2289</v>
      </c>
      <c r="L14" s="10" t="n">
        <f aca="false">E14/2+F14+G14+H14+I14</f>
        <v>1200</v>
      </c>
    </row>
    <row r="15" customFormat="false" ht="15" hidden="false" customHeight="false" outlineLevel="0" collapsed="false">
      <c r="A15" s="8" t="str">
        <f aca="false">B15&amp;"|"&amp;D15</f>
        <v>HMP|Mid-range</v>
      </c>
      <c r="B15" s="8" t="s">
        <v>118</v>
      </c>
      <c r="C15" s="8" t="s">
        <v>119</v>
      </c>
      <c r="D15" s="8" t="s">
        <v>921</v>
      </c>
      <c r="E15" s="15" t="n">
        <v>3500</v>
      </c>
      <c r="F15" s="15" t="n">
        <v>900</v>
      </c>
      <c r="G15" s="15" t="n">
        <v>400</v>
      </c>
      <c r="H15" s="15" t="n">
        <v>350</v>
      </c>
      <c r="I15" s="15" t="n">
        <v>150</v>
      </c>
      <c r="J15" s="15" t="n">
        <v>0</v>
      </c>
      <c r="K15" s="8" t="s">
        <v>2289</v>
      </c>
      <c r="L15" s="10" t="n">
        <f aca="false">E15/2+F15+G15+H15+I15</f>
        <v>3550</v>
      </c>
    </row>
    <row r="16" customFormat="false" ht="15" hidden="false" customHeight="false" outlineLevel="0" collapsed="false">
      <c r="A16" s="8" t="str">
        <f aca="false">B16&amp;"|"&amp;D16</f>
        <v>HMP|Premium</v>
      </c>
      <c r="B16" s="8" t="s">
        <v>118</v>
      </c>
      <c r="C16" s="8" t="s">
        <v>119</v>
      </c>
      <c r="D16" s="8" t="s">
        <v>934</v>
      </c>
      <c r="E16" s="15" t="n">
        <v>8500</v>
      </c>
      <c r="F16" s="15" t="n">
        <v>2200</v>
      </c>
      <c r="G16" s="15" t="n">
        <v>1000</v>
      </c>
      <c r="H16" s="15" t="n">
        <v>700</v>
      </c>
      <c r="I16" s="15" t="n">
        <v>300</v>
      </c>
      <c r="J16" s="15" t="n">
        <v>0</v>
      </c>
      <c r="K16" s="8" t="s">
        <v>2289</v>
      </c>
      <c r="L16" s="10" t="n">
        <f aca="false">E16/2+F16+G16+H16+I16</f>
        <v>8450</v>
      </c>
    </row>
    <row r="17" customFormat="false" ht="15" hidden="false" customHeight="false" outlineLevel="0" collapsed="false">
      <c r="A17" s="8" t="str">
        <f aca="false">B17&amp;"|"&amp;D17</f>
        <v>AEL|Budget</v>
      </c>
      <c r="B17" s="8" t="s">
        <v>130</v>
      </c>
      <c r="C17" s="8" t="s">
        <v>131</v>
      </c>
      <c r="D17" s="8" t="s">
        <v>907</v>
      </c>
      <c r="E17" s="15" t="n">
        <v>1500</v>
      </c>
      <c r="F17" s="15" t="n">
        <v>400</v>
      </c>
      <c r="G17" s="15" t="n">
        <v>300</v>
      </c>
      <c r="H17" s="15" t="n">
        <v>150</v>
      </c>
      <c r="I17" s="15" t="n">
        <v>100</v>
      </c>
      <c r="J17" s="15" t="n">
        <v>0</v>
      </c>
      <c r="K17" s="8" t="s">
        <v>2294</v>
      </c>
      <c r="L17" s="10" t="n">
        <f aca="false">E17/2+F17+G17+H17+I17</f>
        <v>1700</v>
      </c>
    </row>
    <row r="18" customFormat="false" ht="15" hidden="false" customHeight="false" outlineLevel="0" collapsed="false">
      <c r="A18" s="8" t="str">
        <f aca="false">B18&amp;"|"&amp;D18</f>
        <v>AEL|Mid-range</v>
      </c>
      <c r="B18" s="8" t="s">
        <v>130</v>
      </c>
      <c r="C18" s="8" t="s">
        <v>131</v>
      </c>
      <c r="D18" s="8" t="s">
        <v>921</v>
      </c>
      <c r="E18" s="15" t="n">
        <v>4000</v>
      </c>
      <c r="F18" s="15" t="n">
        <v>900</v>
      </c>
      <c r="G18" s="15" t="n">
        <v>800</v>
      </c>
      <c r="H18" s="15" t="n">
        <v>200</v>
      </c>
      <c r="I18" s="15" t="n">
        <v>150</v>
      </c>
      <c r="J18" s="15" t="n">
        <v>0</v>
      </c>
      <c r="K18" s="8" t="s">
        <v>2295</v>
      </c>
      <c r="L18" s="10" t="n">
        <f aca="false">E18/2+F18+G18+H18+I18</f>
        <v>4050</v>
      </c>
    </row>
    <row r="19" customFormat="false" ht="15" hidden="false" customHeight="false" outlineLevel="0" collapsed="false">
      <c r="A19" s="8" t="str">
        <f aca="false">B19&amp;"|"&amp;D19</f>
        <v>AEL|Premium</v>
      </c>
      <c r="B19" s="8" t="s">
        <v>130</v>
      </c>
      <c r="C19" s="8" t="s">
        <v>131</v>
      </c>
      <c r="D19" s="8" t="s">
        <v>934</v>
      </c>
      <c r="E19" s="15" t="n">
        <v>7500</v>
      </c>
      <c r="F19" s="15" t="n">
        <v>2200</v>
      </c>
      <c r="G19" s="15" t="n">
        <v>1800</v>
      </c>
      <c r="H19" s="15" t="n">
        <v>500</v>
      </c>
      <c r="I19" s="15" t="n">
        <v>300</v>
      </c>
      <c r="J19" s="15" t="n">
        <v>0</v>
      </c>
      <c r="K19" s="8" t="s">
        <v>2296</v>
      </c>
      <c r="L19" s="10" t="n">
        <f aca="false">E19/2+F19+G19+H19+I19</f>
        <v>8550</v>
      </c>
    </row>
    <row r="20" customFormat="false" ht="15" hidden="false" customHeight="false" outlineLevel="0" collapsed="false">
      <c r="A20" s="8" t="str">
        <f aca="false">B20&amp;"|"&amp;D20</f>
        <v>GOA|Budget</v>
      </c>
      <c r="B20" s="8" t="s">
        <v>142</v>
      </c>
      <c r="C20" s="8" t="s">
        <v>143</v>
      </c>
      <c r="D20" s="8" t="s">
        <v>907</v>
      </c>
      <c r="E20" s="15" t="n">
        <v>1000</v>
      </c>
      <c r="F20" s="15" t="n">
        <v>600</v>
      </c>
      <c r="G20" s="15" t="n">
        <v>350</v>
      </c>
      <c r="H20" s="15" t="n">
        <v>300</v>
      </c>
      <c r="I20" s="15" t="n">
        <v>150</v>
      </c>
      <c r="J20" s="15" t="n">
        <v>0</v>
      </c>
      <c r="K20" s="8" t="s">
        <v>2289</v>
      </c>
      <c r="L20" s="10" t="n">
        <f aca="false">E20/2+F20+G20+H20+I20</f>
        <v>1900</v>
      </c>
    </row>
    <row r="21" customFormat="false" ht="15" hidden="false" customHeight="false" outlineLevel="0" collapsed="false">
      <c r="A21" s="8" t="str">
        <f aca="false">B21&amp;"|"&amp;D21</f>
        <v>GOA|Mid-range</v>
      </c>
      <c r="B21" s="8" t="s">
        <v>142</v>
      </c>
      <c r="C21" s="8" t="s">
        <v>143</v>
      </c>
      <c r="D21" s="8" t="s">
        <v>921</v>
      </c>
      <c r="E21" s="15" t="n">
        <v>4500</v>
      </c>
      <c r="F21" s="15" t="n">
        <v>1500</v>
      </c>
      <c r="G21" s="15" t="n">
        <v>700</v>
      </c>
      <c r="H21" s="15" t="n">
        <v>700</v>
      </c>
      <c r="I21" s="15" t="n">
        <v>300</v>
      </c>
      <c r="J21" s="15" t="n">
        <v>0</v>
      </c>
      <c r="K21" s="8" t="s">
        <v>2289</v>
      </c>
      <c r="L21" s="10" t="n">
        <f aca="false">E21/2+F21+G21+H21+I21</f>
        <v>5450</v>
      </c>
    </row>
    <row r="22" customFormat="false" ht="15" hidden="false" customHeight="false" outlineLevel="0" collapsed="false">
      <c r="A22" s="8" t="str">
        <f aca="false">B22&amp;"|"&amp;D22</f>
        <v>GOA|Premium</v>
      </c>
      <c r="B22" s="8" t="s">
        <v>142</v>
      </c>
      <c r="C22" s="8" t="s">
        <v>143</v>
      </c>
      <c r="D22" s="8" t="s">
        <v>934</v>
      </c>
      <c r="E22" s="15" t="n">
        <v>15000</v>
      </c>
      <c r="F22" s="15" t="n">
        <v>3500</v>
      </c>
      <c r="G22" s="15" t="n">
        <v>1800</v>
      </c>
      <c r="H22" s="15" t="n">
        <v>1500</v>
      </c>
      <c r="I22" s="15" t="n">
        <v>700</v>
      </c>
      <c r="J22" s="15" t="n">
        <v>0</v>
      </c>
      <c r="K22" s="8" t="s">
        <v>2289</v>
      </c>
      <c r="L22" s="10" t="n">
        <f aca="false">E22/2+F22+G22+H22+I22</f>
        <v>15000</v>
      </c>
    </row>
    <row r="23" customFormat="false" ht="23.85" hidden="false" customHeight="false" outlineLevel="0" collapsed="false">
      <c r="A23" s="8" t="str">
        <f aca="false">B23&amp;"|"&amp;D23</f>
        <v>KER|Budget</v>
      </c>
      <c r="B23" s="8" t="s">
        <v>152</v>
      </c>
      <c r="C23" s="8" t="s">
        <v>153</v>
      </c>
      <c r="D23" s="8" t="s">
        <v>907</v>
      </c>
      <c r="E23" s="15" t="n">
        <v>1500</v>
      </c>
      <c r="F23" s="15" t="n">
        <v>500</v>
      </c>
      <c r="G23" s="15" t="n">
        <v>250</v>
      </c>
      <c r="H23" s="15" t="n">
        <v>300</v>
      </c>
      <c r="I23" s="15" t="n">
        <v>100</v>
      </c>
      <c r="J23" s="15" t="n">
        <v>2000</v>
      </c>
      <c r="K23" s="8" t="s">
        <v>2297</v>
      </c>
      <c r="L23" s="10" t="n">
        <f aca="false">E23/2+F23+G23+H23+I23</f>
        <v>1900</v>
      </c>
    </row>
    <row r="24" customFormat="false" ht="23.85" hidden="false" customHeight="false" outlineLevel="0" collapsed="false">
      <c r="A24" s="8" t="str">
        <f aca="false">B24&amp;"|"&amp;D24</f>
        <v>KER|Mid-range</v>
      </c>
      <c r="B24" s="8" t="s">
        <v>152</v>
      </c>
      <c r="C24" s="8" t="s">
        <v>153</v>
      </c>
      <c r="D24" s="8" t="s">
        <v>921</v>
      </c>
      <c r="E24" s="15" t="n">
        <v>4500</v>
      </c>
      <c r="F24" s="15" t="n">
        <v>1200</v>
      </c>
      <c r="G24" s="15" t="n">
        <v>500</v>
      </c>
      <c r="H24" s="15" t="n">
        <v>600</v>
      </c>
      <c r="I24" s="15" t="n">
        <v>200</v>
      </c>
      <c r="J24" s="15" t="n">
        <v>4500</v>
      </c>
      <c r="K24" s="8" t="s">
        <v>2298</v>
      </c>
      <c r="L24" s="10" t="n">
        <f aca="false">E24/2+F24+G24+H24+I24</f>
        <v>4750</v>
      </c>
    </row>
    <row r="25" customFormat="false" ht="23.85" hidden="false" customHeight="false" outlineLevel="0" collapsed="false">
      <c r="A25" s="8" t="str">
        <f aca="false">B25&amp;"|"&amp;D25</f>
        <v>KER|Premium</v>
      </c>
      <c r="B25" s="8" t="s">
        <v>152</v>
      </c>
      <c r="C25" s="8" t="s">
        <v>153</v>
      </c>
      <c r="D25" s="8" t="s">
        <v>934</v>
      </c>
      <c r="E25" s="15" t="n">
        <v>12000</v>
      </c>
      <c r="F25" s="15" t="n">
        <v>3000</v>
      </c>
      <c r="G25" s="15" t="n">
        <v>1200</v>
      </c>
      <c r="H25" s="15" t="n">
        <v>1200</v>
      </c>
      <c r="I25" s="15" t="n">
        <v>600</v>
      </c>
      <c r="J25" s="15" t="n">
        <v>9000</v>
      </c>
      <c r="K25" s="8" t="s">
        <v>2299</v>
      </c>
      <c r="L25" s="10" t="n">
        <f aca="false">E25/2+F25+G25+H25+I25</f>
        <v>12000</v>
      </c>
    </row>
    <row r="26" customFormat="false" ht="15" hidden="false" customHeight="false" outlineLevel="0" collapsed="false">
      <c r="A26" s="8" t="str">
        <f aca="false">B26&amp;"|"&amp;D26</f>
        <v>AND|Budget</v>
      </c>
      <c r="B26" s="8" t="s">
        <v>163</v>
      </c>
      <c r="C26" s="8" t="s">
        <v>164</v>
      </c>
      <c r="D26" s="8" t="s">
        <v>907</v>
      </c>
      <c r="E26" s="15" t="n">
        <v>2500</v>
      </c>
      <c r="F26" s="15" t="n">
        <v>600</v>
      </c>
      <c r="G26" s="15" t="n">
        <v>400</v>
      </c>
      <c r="H26" s="15" t="n">
        <v>600</v>
      </c>
      <c r="I26" s="15" t="n">
        <v>150</v>
      </c>
      <c r="J26" s="15" t="n">
        <v>3000</v>
      </c>
      <c r="K26" s="8" t="s">
        <v>2300</v>
      </c>
      <c r="L26" s="10" t="n">
        <f aca="false">E26/2+F26+G26+H26+I26</f>
        <v>3000</v>
      </c>
    </row>
    <row r="27" customFormat="false" ht="15" hidden="false" customHeight="false" outlineLevel="0" collapsed="false">
      <c r="A27" s="8" t="str">
        <f aca="false">B27&amp;"|"&amp;D27</f>
        <v>AND|Mid-range</v>
      </c>
      <c r="B27" s="8" t="s">
        <v>163</v>
      </c>
      <c r="C27" s="8" t="s">
        <v>164</v>
      </c>
      <c r="D27" s="8" t="s">
        <v>921</v>
      </c>
      <c r="E27" s="15" t="n">
        <v>6000</v>
      </c>
      <c r="F27" s="15" t="n">
        <v>1400</v>
      </c>
      <c r="G27" s="15" t="n">
        <v>800</v>
      </c>
      <c r="H27" s="15" t="n">
        <v>1200</v>
      </c>
      <c r="I27" s="15" t="n">
        <v>300</v>
      </c>
      <c r="J27" s="15" t="n">
        <v>4500</v>
      </c>
      <c r="K27" s="8" t="s">
        <v>2301</v>
      </c>
      <c r="L27" s="10" t="n">
        <f aca="false">E27/2+F27+G27+H27+I27</f>
        <v>6700</v>
      </c>
    </row>
    <row r="28" customFormat="false" ht="15" hidden="false" customHeight="false" outlineLevel="0" collapsed="false">
      <c r="A28" s="8" t="str">
        <f aca="false">B28&amp;"|"&amp;D28</f>
        <v>AND|Premium</v>
      </c>
      <c r="B28" s="8" t="s">
        <v>163</v>
      </c>
      <c r="C28" s="8" t="s">
        <v>164</v>
      </c>
      <c r="D28" s="8" t="s">
        <v>934</v>
      </c>
      <c r="E28" s="15" t="n">
        <v>15000</v>
      </c>
      <c r="F28" s="15" t="n">
        <v>3200</v>
      </c>
      <c r="G28" s="15" t="n">
        <v>1800</v>
      </c>
      <c r="H28" s="15" t="n">
        <v>2500</v>
      </c>
      <c r="I28" s="15" t="n">
        <v>700</v>
      </c>
      <c r="J28" s="15" t="n">
        <v>6500</v>
      </c>
      <c r="K28" s="8" t="s">
        <v>2302</v>
      </c>
      <c r="L28" s="10" t="n">
        <f aca="false">E28/2+F28+G28+H28+I28</f>
        <v>15700</v>
      </c>
    </row>
    <row r="29" customFormat="false" ht="15" hidden="false" customHeight="false" outlineLevel="0" collapsed="false">
      <c r="A29" s="8" t="str">
        <f aca="false">B29&amp;"|"&amp;D29</f>
        <v>PON|Budget</v>
      </c>
      <c r="B29" s="8" t="s">
        <v>175</v>
      </c>
      <c r="C29" s="8" t="s">
        <v>176</v>
      </c>
      <c r="D29" s="8" t="s">
        <v>907</v>
      </c>
      <c r="E29" s="15" t="n">
        <v>1300</v>
      </c>
      <c r="F29" s="15" t="n">
        <v>500</v>
      </c>
      <c r="G29" s="15" t="n">
        <v>250</v>
      </c>
      <c r="H29" s="15" t="n">
        <v>150</v>
      </c>
      <c r="I29" s="15" t="n">
        <v>100</v>
      </c>
      <c r="J29" s="15" t="n">
        <v>0</v>
      </c>
      <c r="K29" s="8" t="s">
        <v>2289</v>
      </c>
      <c r="L29" s="10" t="n">
        <f aca="false">E29/2+F29+G29+H29+I29</f>
        <v>1650</v>
      </c>
    </row>
    <row r="30" customFormat="false" ht="15" hidden="false" customHeight="false" outlineLevel="0" collapsed="false">
      <c r="A30" s="8" t="str">
        <f aca="false">B30&amp;"|"&amp;D30</f>
        <v>PON|Mid-range</v>
      </c>
      <c r="B30" s="8" t="s">
        <v>175</v>
      </c>
      <c r="C30" s="8" t="s">
        <v>176</v>
      </c>
      <c r="D30" s="8" t="s">
        <v>921</v>
      </c>
      <c r="E30" s="15" t="n">
        <v>4500</v>
      </c>
      <c r="F30" s="15" t="n">
        <v>1300</v>
      </c>
      <c r="G30" s="15" t="n">
        <v>500</v>
      </c>
      <c r="H30" s="15" t="n">
        <v>300</v>
      </c>
      <c r="I30" s="15" t="n">
        <v>200</v>
      </c>
      <c r="J30" s="15" t="n">
        <v>0</v>
      </c>
      <c r="K30" s="8" t="s">
        <v>2289</v>
      </c>
      <c r="L30" s="10" t="n">
        <f aca="false">E30/2+F30+G30+H30+I30</f>
        <v>4550</v>
      </c>
    </row>
    <row r="31" customFormat="false" ht="15" hidden="false" customHeight="false" outlineLevel="0" collapsed="false">
      <c r="A31" s="8" t="str">
        <f aca="false">B31&amp;"|"&amp;D31</f>
        <v>PON|Premium</v>
      </c>
      <c r="B31" s="8" t="s">
        <v>175</v>
      </c>
      <c r="C31" s="8" t="s">
        <v>176</v>
      </c>
      <c r="D31" s="8" t="s">
        <v>934</v>
      </c>
      <c r="E31" s="15" t="n">
        <v>10000</v>
      </c>
      <c r="F31" s="15" t="n">
        <v>3000</v>
      </c>
      <c r="G31" s="15" t="n">
        <v>1200</v>
      </c>
      <c r="H31" s="15" t="n">
        <v>700</v>
      </c>
      <c r="I31" s="15" t="n">
        <v>500</v>
      </c>
      <c r="J31" s="15" t="n">
        <v>0</v>
      </c>
      <c r="K31" s="8" t="s">
        <v>2289</v>
      </c>
      <c r="L31" s="10" t="n">
        <f aca="false">E31/2+F31+G31+H31+I31</f>
        <v>10400</v>
      </c>
    </row>
    <row r="32" customFormat="false" ht="15" hidden="false" customHeight="false" outlineLevel="0" collapsed="false">
      <c r="A32" s="8" t="str">
        <f aca="false">B32&amp;"|"&amp;D32</f>
        <v>VNS|Budget</v>
      </c>
      <c r="B32" s="8" t="s">
        <v>185</v>
      </c>
      <c r="C32" s="8" t="s">
        <v>186</v>
      </c>
      <c r="D32" s="8" t="s">
        <v>907</v>
      </c>
      <c r="E32" s="15" t="n">
        <v>900</v>
      </c>
      <c r="F32" s="15" t="n">
        <v>350</v>
      </c>
      <c r="G32" s="15" t="n">
        <v>200</v>
      </c>
      <c r="H32" s="15" t="n">
        <v>200</v>
      </c>
      <c r="I32" s="15" t="n">
        <v>100</v>
      </c>
      <c r="J32" s="15" t="n">
        <v>0</v>
      </c>
      <c r="K32" s="8" t="s">
        <v>2289</v>
      </c>
      <c r="L32" s="10" t="n">
        <f aca="false">E32/2+F32+G32+H32+I32</f>
        <v>1300</v>
      </c>
    </row>
    <row r="33" customFormat="false" ht="15" hidden="false" customHeight="false" outlineLevel="0" collapsed="false">
      <c r="A33" s="8" t="str">
        <f aca="false">B33&amp;"|"&amp;D33</f>
        <v>VNS|Mid-range</v>
      </c>
      <c r="B33" s="8" t="s">
        <v>185</v>
      </c>
      <c r="C33" s="8" t="s">
        <v>186</v>
      </c>
      <c r="D33" s="8" t="s">
        <v>921</v>
      </c>
      <c r="E33" s="15" t="n">
        <v>3500</v>
      </c>
      <c r="F33" s="15" t="n">
        <v>900</v>
      </c>
      <c r="G33" s="15" t="n">
        <v>400</v>
      </c>
      <c r="H33" s="15" t="n">
        <v>300</v>
      </c>
      <c r="I33" s="15" t="n">
        <v>150</v>
      </c>
      <c r="J33" s="15" t="n">
        <v>0</v>
      </c>
      <c r="K33" s="8" t="s">
        <v>2289</v>
      </c>
      <c r="L33" s="10" t="n">
        <f aca="false">E33/2+F33+G33+H33+I33</f>
        <v>3500</v>
      </c>
    </row>
    <row r="34" customFormat="false" ht="15" hidden="false" customHeight="false" outlineLevel="0" collapsed="false">
      <c r="A34" s="8" t="str">
        <f aca="false">B34&amp;"|"&amp;D34</f>
        <v>VNS|Premium</v>
      </c>
      <c r="B34" s="8" t="s">
        <v>185</v>
      </c>
      <c r="C34" s="8" t="s">
        <v>186</v>
      </c>
      <c r="D34" s="8" t="s">
        <v>934</v>
      </c>
      <c r="E34" s="15" t="n">
        <v>10000</v>
      </c>
      <c r="F34" s="15" t="n">
        <v>2600</v>
      </c>
      <c r="G34" s="15" t="n">
        <v>1200</v>
      </c>
      <c r="H34" s="15" t="n">
        <v>700</v>
      </c>
      <c r="I34" s="15" t="n">
        <v>500</v>
      </c>
      <c r="J34" s="15" t="n">
        <v>0</v>
      </c>
      <c r="K34" s="8" t="s">
        <v>2289</v>
      </c>
      <c r="L34" s="10" t="n">
        <f aca="false">E34/2+F34+G34+H34+I34</f>
        <v>10000</v>
      </c>
    </row>
    <row r="35" customFormat="false" ht="15" hidden="false" customHeight="false" outlineLevel="0" collapsed="false">
      <c r="A35" s="8" t="str">
        <f aca="false">B35&amp;"|"&amp;D35</f>
        <v>AMR|Budget</v>
      </c>
      <c r="B35" s="8" t="s">
        <v>195</v>
      </c>
      <c r="C35" s="8" t="s">
        <v>196</v>
      </c>
      <c r="D35" s="8" t="s">
        <v>907</v>
      </c>
      <c r="E35" s="15" t="n">
        <v>800</v>
      </c>
      <c r="F35" s="15" t="n">
        <v>400</v>
      </c>
      <c r="G35" s="15" t="n">
        <v>200</v>
      </c>
      <c r="H35" s="15" t="n">
        <v>100</v>
      </c>
      <c r="I35" s="15" t="n">
        <v>100</v>
      </c>
      <c r="J35" s="15" t="n">
        <v>0</v>
      </c>
      <c r="K35" s="8" t="s">
        <v>2303</v>
      </c>
      <c r="L35" s="10" t="n">
        <f aca="false">E35/2+F35+G35+H35+I35</f>
        <v>1200</v>
      </c>
    </row>
    <row r="36" customFormat="false" ht="15" hidden="false" customHeight="false" outlineLevel="0" collapsed="false">
      <c r="A36" s="8" t="str">
        <f aca="false">B36&amp;"|"&amp;D36</f>
        <v>AMR|Mid-range</v>
      </c>
      <c r="B36" s="8" t="s">
        <v>195</v>
      </c>
      <c r="C36" s="8" t="s">
        <v>196</v>
      </c>
      <c r="D36" s="8" t="s">
        <v>921</v>
      </c>
      <c r="E36" s="15" t="n">
        <v>3200</v>
      </c>
      <c r="F36" s="15" t="n">
        <v>1000</v>
      </c>
      <c r="G36" s="15" t="n">
        <v>400</v>
      </c>
      <c r="H36" s="15" t="n">
        <v>250</v>
      </c>
      <c r="I36" s="15" t="n">
        <v>150</v>
      </c>
      <c r="J36" s="15" t="n">
        <v>0</v>
      </c>
      <c r="K36" s="8" t="s">
        <v>2289</v>
      </c>
      <c r="L36" s="10" t="n">
        <f aca="false">E36/2+F36+G36+H36+I36</f>
        <v>3400</v>
      </c>
    </row>
    <row r="37" customFormat="false" ht="15" hidden="false" customHeight="false" outlineLevel="0" collapsed="false">
      <c r="A37" s="8" t="str">
        <f aca="false">B37&amp;"|"&amp;D37</f>
        <v>AMR|Premium</v>
      </c>
      <c r="B37" s="8" t="s">
        <v>195</v>
      </c>
      <c r="C37" s="8" t="s">
        <v>196</v>
      </c>
      <c r="D37" s="8" t="s">
        <v>934</v>
      </c>
      <c r="E37" s="15" t="n">
        <v>8500</v>
      </c>
      <c r="F37" s="15" t="n">
        <v>2400</v>
      </c>
      <c r="G37" s="15" t="n">
        <v>1000</v>
      </c>
      <c r="H37" s="15" t="n">
        <v>600</v>
      </c>
      <c r="I37" s="15" t="n">
        <v>400</v>
      </c>
      <c r="J37" s="15" t="n">
        <v>0</v>
      </c>
      <c r="K37" s="8" t="s">
        <v>2289</v>
      </c>
      <c r="L37" s="10" t="n">
        <f aca="false">E37/2+F37+G37+H37+I37</f>
        <v>8650</v>
      </c>
    </row>
    <row r="38" customFormat="false" ht="15" hidden="false" customHeight="false" outlineLevel="0" collapsed="false">
      <c r="A38" s="8" t="str">
        <f aca="false">B38&amp;"|"&amp;D38</f>
        <v>MYS|Budget</v>
      </c>
      <c r="B38" s="8" t="s">
        <v>206</v>
      </c>
      <c r="C38" s="8" t="s">
        <v>207</v>
      </c>
      <c r="D38" s="8" t="s">
        <v>907</v>
      </c>
      <c r="E38" s="15" t="n">
        <v>1000</v>
      </c>
      <c r="F38" s="15" t="n">
        <v>400</v>
      </c>
      <c r="G38" s="15" t="n">
        <v>200</v>
      </c>
      <c r="H38" s="15" t="n">
        <v>200</v>
      </c>
      <c r="I38" s="15" t="n">
        <v>100</v>
      </c>
      <c r="J38" s="15" t="n">
        <v>0</v>
      </c>
      <c r="K38" s="8" t="s">
        <v>2289</v>
      </c>
      <c r="L38" s="10" t="n">
        <f aca="false">E38/2+F38+G38+H38+I38</f>
        <v>1400</v>
      </c>
    </row>
    <row r="39" customFormat="false" ht="15" hidden="false" customHeight="false" outlineLevel="0" collapsed="false">
      <c r="A39" s="8" t="str">
        <f aca="false">B39&amp;"|"&amp;D39</f>
        <v>MYS|Mid-range</v>
      </c>
      <c r="B39" s="8" t="s">
        <v>206</v>
      </c>
      <c r="C39" s="8" t="s">
        <v>207</v>
      </c>
      <c r="D39" s="8" t="s">
        <v>921</v>
      </c>
      <c r="E39" s="15" t="n">
        <v>3500</v>
      </c>
      <c r="F39" s="15" t="n">
        <v>1000</v>
      </c>
      <c r="G39" s="15" t="n">
        <v>400</v>
      </c>
      <c r="H39" s="15" t="n">
        <v>300</v>
      </c>
      <c r="I39" s="15" t="n">
        <v>150</v>
      </c>
      <c r="J39" s="15" t="n">
        <v>0</v>
      </c>
      <c r="K39" s="8" t="s">
        <v>2289</v>
      </c>
      <c r="L39" s="10" t="n">
        <f aca="false">E39/2+F39+G39+H39+I39</f>
        <v>3600</v>
      </c>
    </row>
    <row r="40" customFormat="false" ht="15" hidden="false" customHeight="false" outlineLevel="0" collapsed="false">
      <c r="A40" s="8" t="str">
        <f aca="false">B40&amp;"|"&amp;D40</f>
        <v>MYS|Premium</v>
      </c>
      <c r="B40" s="8" t="s">
        <v>206</v>
      </c>
      <c r="C40" s="8" t="s">
        <v>207</v>
      </c>
      <c r="D40" s="8" t="s">
        <v>934</v>
      </c>
      <c r="E40" s="15" t="n">
        <v>9000</v>
      </c>
      <c r="F40" s="15" t="n">
        <v>2400</v>
      </c>
      <c r="G40" s="15" t="n">
        <v>1000</v>
      </c>
      <c r="H40" s="15" t="n">
        <v>600</v>
      </c>
      <c r="I40" s="15" t="n">
        <v>400</v>
      </c>
      <c r="J40" s="15" t="n">
        <v>0</v>
      </c>
      <c r="K40" s="8" t="s">
        <v>2289</v>
      </c>
      <c r="L40" s="10" t="n">
        <f aca="false">E40/2+F40+G40+H40+I40</f>
        <v>8900</v>
      </c>
    </row>
    <row r="41" customFormat="false" ht="23.85" hidden="false" customHeight="false" outlineLevel="0" collapsed="false">
      <c r="A41" s="8" t="str">
        <f aca="false">B41&amp;"|"&amp;D41</f>
        <v>LEH|Budget</v>
      </c>
      <c r="B41" s="8" t="s">
        <v>216</v>
      </c>
      <c r="C41" s="8" t="s">
        <v>217</v>
      </c>
      <c r="D41" s="8" t="s">
        <v>907</v>
      </c>
      <c r="E41" s="15" t="n">
        <v>1500</v>
      </c>
      <c r="F41" s="15" t="n">
        <v>700</v>
      </c>
      <c r="G41" s="15" t="n">
        <v>600</v>
      </c>
      <c r="H41" s="15" t="n">
        <v>400</v>
      </c>
      <c r="I41" s="15" t="n">
        <v>200</v>
      </c>
      <c r="J41" s="15" t="n">
        <v>600</v>
      </c>
      <c r="K41" s="8" t="s">
        <v>2304</v>
      </c>
      <c r="L41" s="10" t="n">
        <f aca="false">E41/2+F41+G41+H41+I41</f>
        <v>2650</v>
      </c>
    </row>
    <row r="42" customFormat="false" ht="15" hidden="false" customHeight="false" outlineLevel="0" collapsed="false">
      <c r="A42" s="8" t="str">
        <f aca="false">B42&amp;"|"&amp;D42</f>
        <v>LEH|Mid-range</v>
      </c>
      <c r="B42" s="8" t="s">
        <v>216</v>
      </c>
      <c r="C42" s="8" t="s">
        <v>217</v>
      </c>
      <c r="D42" s="8" t="s">
        <v>921</v>
      </c>
      <c r="E42" s="15" t="n">
        <v>4000</v>
      </c>
      <c r="F42" s="15" t="n">
        <v>1400</v>
      </c>
      <c r="G42" s="15" t="n">
        <v>1500</v>
      </c>
      <c r="H42" s="15" t="n">
        <v>900</v>
      </c>
      <c r="I42" s="15" t="n">
        <v>300</v>
      </c>
      <c r="J42" s="15" t="n">
        <v>600</v>
      </c>
      <c r="K42" s="8" t="s">
        <v>2305</v>
      </c>
      <c r="L42" s="10" t="n">
        <f aca="false">E42/2+F42+G42+H42+I42</f>
        <v>6100</v>
      </c>
    </row>
    <row r="43" customFormat="false" ht="15" hidden="false" customHeight="false" outlineLevel="0" collapsed="false">
      <c r="A43" s="8" t="str">
        <f aca="false">B43&amp;"|"&amp;D43</f>
        <v>LEH|Premium</v>
      </c>
      <c r="B43" s="8" t="s">
        <v>216</v>
      </c>
      <c r="C43" s="8" t="s">
        <v>217</v>
      </c>
      <c r="D43" s="8" t="s">
        <v>934</v>
      </c>
      <c r="E43" s="15" t="n">
        <v>10000</v>
      </c>
      <c r="F43" s="15" t="n">
        <v>3200</v>
      </c>
      <c r="G43" s="15" t="n">
        <v>3000</v>
      </c>
      <c r="H43" s="15" t="n">
        <v>1800</v>
      </c>
      <c r="I43" s="15" t="n">
        <v>800</v>
      </c>
      <c r="J43" s="15" t="n">
        <v>600</v>
      </c>
      <c r="K43" s="8" t="s">
        <v>2306</v>
      </c>
      <c r="L43" s="10" t="n">
        <f aca="false">E43/2+F43+G43+H43+I43</f>
        <v>13800</v>
      </c>
    </row>
    <row r="44" customFormat="false" ht="15" hidden="false" customHeight="false" outlineLevel="0" collapsed="false">
      <c r="A44" s="8" t="str">
        <f aca="false">B44&amp;"|"&amp;D44</f>
        <v>DAR|Budget</v>
      </c>
      <c r="B44" s="8" t="s">
        <v>228</v>
      </c>
      <c r="C44" s="8" t="s">
        <v>229</v>
      </c>
      <c r="D44" s="8" t="s">
        <v>907</v>
      </c>
      <c r="E44" s="15" t="n">
        <v>1200</v>
      </c>
      <c r="F44" s="15" t="n">
        <v>450</v>
      </c>
      <c r="G44" s="15" t="n">
        <v>300</v>
      </c>
      <c r="H44" s="15" t="n">
        <v>300</v>
      </c>
      <c r="I44" s="15" t="n">
        <v>100</v>
      </c>
      <c r="J44" s="15" t="n">
        <v>0</v>
      </c>
      <c r="K44" s="8" t="s">
        <v>2289</v>
      </c>
      <c r="L44" s="10" t="n">
        <f aca="false">E44/2+F44+G44+H44+I44</f>
        <v>1750</v>
      </c>
    </row>
    <row r="45" customFormat="false" ht="15" hidden="false" customHeight="false" outlineLevel="0" collapsed="false">
      <c r="A45" s="8" t="str">
        <f aca="false">B45&amp;"|"&amp;D45</f>
        <v>DAR|Mid-range</v>
      </c>
      <c r="B45" s="8" t="s">
        <v>228</v>
      </c>
      <c r="C45" s="8" t="s">
        <v>229</v>
      </c>
      <c r="D45" s="8" t="s">
        <v>921</v>
      </c>
      <c r="E45" s="15" t="n">
        <v>3800</v>
      </c>
      <c r="F45" s="15" t="n">
        <v>1100</v>
      </c>
      <c r="G45" s="15" t="n">
        <v>700</v>
      </c>
      <c r="H45" s="15" t="n">
        <v>500</v>
      </c>
      <c r="I45" s="15" t="n">
        <v>200</v>
      </c>
      <c r="J45" s="15" t="n">
        <v>0</v>
      </c>
      <c r="K45" s="8" t="s">
        <v>2289</v>
      </c>
      <c r="L45" s="10" t="n">
        <f aca="false">E45/2+F45+G45+H45+I45</f>
        <v>4400</v>
      </c>
    </row>
    <row r="46" customFormat="false" ht="15" hidden="false" customHeight="false" outlineLevel="0" collapsed="false">
      <c r="A46" s="8" t="str">
        <f aca="false">B46&amp;"|"&amp;D46</f>
        <v>DAR|Premium</v>
      </c>
      <c r="B46" s="8" t="s">
        <v>228</v>
      </c>
      <c r="C46" s="8" t="s">
        <v>229</v>
      </c>
      <c r="D46" s="8" t="s">
        <v>934</v>
      </c>
      <c r="E46" s="15" t="n">
        <v>9500</v>
      </c>
      <c r="F46" s="15" t="n">
        <v>2800</v>
      </c>
      <c r="G46" s="15" t="n">
        <v>1600</v>
      </c>
      <c r="H46" s="15" t="n">
        <v>900</v>
      </c>
      <c r="I46" s="15" t="n">
        <v>500</v>
      </c>
      <c r="J46" s="15" t="n">
        <v>0</v>
      </c>
      <c r="K46" s="8" t="s">
        <v>2289</v>
      </c>
      <c r="L46" s="10" t="n">
        <f aca="false">E46/2+F46+G46+H46+I46</f>
        <v>10550</v>
      </c>
    </row>
    <row r="48" customFormat="false" ht="15" hidden="false" customHeight="false" outlineLevel="0" collapsed="false">
      <c r="A48" s="16" t="s">
        <v>2307</v>
      </c>
    </row>
    <row r="49" customFormat="false" ht="15" hidden="false" customHeight="false" outlineLevel="0" collapsed="false">
      <c r="A49" s="17" t="s">
        <v>2308</v>
      </c>
    </row>
    <row r="50" customFormat="false" ht="15" hidden="false" customHeight="false" outlineLevel="0" collapsed="false">
      <c r="A50" s="17" t="s">
        <v>2309</v>
      </c>
    </row>
    <row r="51" customFormat="false" ht="15" hidden="false" customHeight="false" outlineLevel="0" collapsed="false">
      <c r="A51" s="17" t="s">
        <v>2310</v>
      </c>
    </row>
    <row r="52" customFormat="false" ht="15" hidden="false" customHeight="false" outlineLevel="0" collapsed="false">
      <c r="A52" s="17" t="s">
        <v>2311</v>
      </c>
    </row>
    <row r="53" customFormat="false" ht="15" hidden="false" customHeight="false" outlineLevel="0" collapsed="false">
      <c r="A53" s="17" t="s">
        <v>2312</v>
      </c>
    </row>
  </sheetData>
  <autoFilter ref="A1:L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10" min="3" style="0" width="15"/>
  </cols>
  <sheetData>
    <row r="1" customFormat="false" ht="19.7" hidden="false" customHeight="false" outlineLevel="0" collapsed="false">
      <c r="A1" s="1" t="s">
        <v>2313</v>
      </c>
    </row>
    <row r="2" customFormat="false" ht="15" hidden="false" customHeight="false" outlineLevel="0" collapsed="false">
      <c r="A2" s="2" t="s">
        <v>2314</v>
      </c>
    </row>
    <row r="4" customFormat="false" ht="15" hidden="false" customHeight="false" outlineLevel="0" collapsed="false">
      <c r="A4" s="16" t="s">
        <v>53</v>
      </c>
      <c r="B4" s="18" t="s">
        <v>143</v>
      </c>
    </row>
    <row r="5" customFormat="false" ht="15" hidden="false" customHeight="false" outlineLevel="0" collapsed="false">
      <c r="A5" s="16" t="s">
        <v>2315</v>
      </c>
      <c r="B5" s="18" t="s">
        <v>921</v>
      </c>
    </row>
    <row r="6" customFormat="false" ht="15" hidden="false" customHeight="false" outlineLevel="0" collapsed="false">
      <c r="A6" s="16" t="s">
        <v>2316</v>
      </c>
      <c r="B6" s="18" t="n">
        <v>5</v>
      </c>
    </row>
    <row r="7" customFormat="false" ht="15" hidden="false" customHeight="false" outlineLevel="0" collapsed="false">
      <c r="A7" s="16" t="s">
        <v>2317</v>
      </c>
      <c r="B7" s="18" t="n">
        <v>2</v>
      </c>
    </row>
    <row r="8" customFormat="false" ht="15" hidden="false" customHeight="false" outlineLevel="0" collapsed="false">
      <c r="A8" s="16" t="s">
        <v>2318</v>
      </c>
      <c r="B8" s="19" t="n">
        <v>0.1</v>
      </c>
    </row>
    <row r="10" customFormat="false" ht="15" hidden="false" customHeight="false" outlineLevel="0" collapsed="false">
      <c r="A10" s="17" t="s">
        <v>2319</v>
      </c>
      <c r="B10" s="17" t="str">
        <f aca="false">INDEX(Destinations!$A$2:$A$16,MATCH(B4,Destinations!$B$2:$B$16,0))</f>
        <v>GOA</v>
      </c>
    </row>
    <row r="11" customFormat="false" ht="15" hidden="false" customHeight="false" outlineLevel="0" collapsed="false">
      <c r="A11" s="17" t="s">
        <v>2320</v>
      </c>
      <c r="B11" s="17" t="n">
        <f aca="false">MAX(B6-1,0)</f>
        <v>4</v>
      </c>
    </row>
    <row r="12" customFormat="false" ht="15" hidden="false" customHeight="false" outlineLevel="0" collapsed="false">
      <c r="A12" s="17" t="s">
        <v>2321</v>
      </c>
      <c r="B12" s="17" t="n">
        <f aca="false">ROUNDUP(B7/2,0)</f>
        <v>1</v>
      </c>
    </row>
    <row r="13" customFormat="false" ht="15" hidden="false" customHeight="false" outlineLevel="0" collapsed="false">
      <c r="A13" s="17" t="s">
        <v>2322</v>
      </c>
      <c r="B13" s="17" t="n">
        <f aca="false">MATCH(B10&amp;"|"&amp;B5,Budget_Tiers!$A$2:$A$46,0)</f>
        <v>20</v>
      </c>
    </row>
    <row r="15" customFormat="false" ht="15" hidden="false" customHeight="false" outlineLevel="0" collapsed="false">
      <c r="A15" s="20" t="s">
        <v>2323</v>
      </c>
    </row>
    <row r="16" customFormat="false" ht="15" hidden="false" customHeight="false" outlineLevel="0" collapsed="false">
      <c r="A16" s="17" t="s">
        <v>2324</v>
      </c>
      <c r="B16" s="21" t="n">
        <f aca="false">B11*B12*INDEX(Budget_Tiers!$E$2:$E$46,B13)</f>
        <v>18000</v>
      </c>
    </row>
    <row r="17" customFormat="false" ht="15" hidden="false" customHeight="false" outlineLevel="0" collapsed="false">
      <c r="A17" s="17" t="s">
        <v>2325</v>
      </c>
      <c r="B17" s="21" t="n">
        <f aca="false">B6*B7*INDEX(Budget_Tiers!$F$2:$F$46,B13)</f>
        <v>15000</v>
      </c>
    </row>
    <row r="18" customFormat="false" ht="15" hidden="false" customHeight="false" outlineLevel="0" collapsed="false">
      <c r="A18" s="17" t="s">
        <v>2326</v>
      </c>
      <c r="B18" s="21" t="n">
        <f aca="false">B6*B7*INDEX(Budget_Tiers!$G$2:$G$46,B13)</f>
        <v>7000</v>
      </c>
    </row>
    <row r="19" customFormat="false" ht="15" hidden="false" customHeight="false" outlineLevel="0" collapsed="false">
      <c r="A19" s="17" t="s">
        <v>2327</v>
      </c>
      <c r="B19" s="21" t="n">
        <f aca="false">B6*B7*INDEX(Budget_Tiers!$H$2:$H$46,B13)</f>
        <v>7000</v>
      </c>
    </row>
    <row r="20" customFormat="false" ht="15" hidden="false" customHeight="false" outlineLevel="0" collapsed="false">
      <c r="A20" s="17" t="s">
        <v>2328</v>
      </c>
      <c r="B20" s="21" t="n">
        <f aca="false">B6*B7*INDEX(Budget_Tiers!$I$2:$I$46,B13)</f>
        <v>3000</v>
      </c>
    </row>
    <row r="21" customFormat="false" ht="15" hidden="false" customHeight="false" outlineLevel="0" collapsed="false">
      <c r="A21" s="17" t="s">
        <v>2329</v>
      </c>
      <c r="B21" s="21" t="n">
        <f aca="false">B7*INDEX(Budget_Tiers!$J$2:$J$46,B13)</f>
        <v>0</v>
      </c>
    </row>
    <row r="22" customFormat="false" ht="15" hidden="false" customHeight="false" outlineLevel="0" collapsed="false">
      <c r="A22" s="16" t="s">
        <v>2330</v>
      </c>
      <c r="B22" s="22" t="n">
        <f aca="false">SUM(B16:B21)</f>
        <v>50000</v>
      </c>
    </row>
    <row r="23" customFormat="false" ht="15" hidden="false" customHeight="false" outlineLevel="0" collapsed="false">
      <c r="A23" s="17" t="s">
        <v>2331</v>
      </c>
      <c r="B23" s="21" t="n">
        <f aca="false">B22*B8</f>
        <v>5000</v>
      </c>
    </row>
    <row r="24" customFormat="false" ht="15" hidden="false" customHeight="false" outlineLevel="0" collapsed="false">
      <c r="A24" s="23" t="s">
        <v>2332</v>
      </c>
      <c r="B24" s="24" t="n">
        <f aca="false">B22+B23</f>
        <v>55000</v>
      </c>
    </row>
    <row r="25" customFormat="false" ht="15" hidden="false" customHeight="false" outlineLevel="0" collapsed="false">
      <c r="A25" s="17" t="s">
        <v>2333</v>
      </c>
      <c r="B25" s="21" t="n">
        <f aca="false">B24/B7</f>
        <v>27500</v>
      </c>
    </row>
    <row r="26" customFormat="false" ht="15" hidden="false" customHeight="false" outlineLevel="0" collapsed="false">
      <c r="A26" s="17" t="s">
        <v>2334</v>
      </c>
      <c r="B26" s="21" t="n">
        <f aca="false">B25/B6</f>
        <v>5500</v>
      </c>
    </row>
    <row r="27" customFormat="false" ht="15" hidden="false" customHeight="false" outlineLevel="0" collapsed="false">
      <c r="A27" s="17" t="s">
        <v>2287</v>
      </c>
      <c r="B27" s="17" t="str">
        <f aca="false">INDEX(Budget_Tiers!$K$2:$K$46,B13)</f>
        <v>No fixed extras</v>
      </c>
    </row>
    <row r="30" customFormat="false" ht="15" hidden="false" customHeight="false" outlineLevel="0" collapsed="false">
      <c r="A30" s="20" t="s">
        <v>2335</v>
      </c>
    </row>
    <row r="31" customFormat="false" ht="23.85" hidden="false" customHeight="false" outlineLevel="0" collapsed="false">
      <c r="A31" s="25" t="s">
        <v>897</v>
      </c>
      <c r="B31" s="25" t="s">
        <v>2336</v>
      </c>
      <c r="C31" s="25" t="s">
        <v>2324</v>
      </c>
      <c r="D31" s="25" t="s">
        <v>2325</v>
      </c>
      <c r="E31" s="25" t="s">
        <v>2326</v>
      </c>
      <c r="F31" s="25" t="s">
        <v>2337</v>
      </c>
      <c r="G31" s="25" t="s">
        <v>2338</v>
      </c>
      <c r="H31" s="25" t="s">
        <v>2339</v>
      </c>
      <c r="I31" s="25" t="s">
        <v>2340</v>
      </c>
      <c r="J31" s="25" t="s">
        <v>2333</v>
      </c>
    </row>
    <row r="32" customFormat="false" ht="15" hidden="false" customHeight="false" outlineLevel="0" collapsed="false">
      <c r="A32" s="26" t="s">
        <v>907</v>
      </c>
      <c r="B32" s="26" t="n">
        <f aca="false">MATCH($B$10&amp;"|"&amp;A32,Budget_Tiers!$A$2:$A$46,0)</f>
        <v>19</v>
      </c>
      <c r="C32" s="27" t="n">
        <f aca="false">$B$11*$B$12*INDEX(Budget_Tiers!$E$2:$E$46,B32)</f>
        <v>4000</v>
      </c>
      <c r="D32" s="27" t="n">
        <f aca="false">$B$6*$B$7*INDEX(Budget_Tiers!$F$2:$F$46,B32)</f>
        <v>6000</v>
      </c>
      <c r="E32" s="27" t="n">
        <f aca="false">$B$6*$B$7*INDEX(Budget_Tiers!$G$2:$G$46,B32)</f>
        <v>3500</v>
      </c>
      <c r="F32" s="27" t="n">
        <f aca="false">$B$6*$B$7*INDEX(Budget_Tiers!$H$2:$H$46,B32)</f>
        <v>3000</v>
      </c>
      <c r="G32" s="27" t="n">
        <f aca="false">$B$6*$B$7*INDEX(Budget_Tiers!$I$2:$I$46,B32)</f>
        <v>1500</v>
      </c>
      <c r="H32" s="27" t="n">
        <f aca="false">$B$7*INDEX(Budget_Tiers!$J$2:$J$46,B32)</f>
        <v>0</v>
      </c>
      <c r="I32" s="27" t="n">
        <f aca="false">SUM(C32:H32)*(1+$B$8)</f>
        <v>19800</v>
      </c>
      <c r="J32" s="27" t="n">
        <f aca="false">I32/$B$7</f>
        <v>9900</v>
      </c>
    </row>
    <row r="33" customFormat="false" ht="15" hidden="false" customHeight="false" outlineLevel="0" collapsed="false">
      <c r="A33" s="26" t="s">
        <v>921</v>
      </c>
      <c r="B33" s="26" t="n">
        <f aca="false">MATCH($B$10&amp;"|"&amp;A33,Budget_Tiers!$A$2:$A$46,0)</f>
        <v>20</v>
      </c>
      <c r="C33" s="27" t="n">
        <f aca="false">$B$11*$B$12*INDEX(Budget_Tiers!$E$2:$E$46,B33)</f>
        <v>18000</v>
      </c>
      <c r="D33" s="27" t="n">
        <f aca="false">$B$6*$B$7*INDEX(Budget_Tiers!$F$2:$F$46,B33)</f>
        <v>15000</v>
      </c>
      <c r="E33" s="27" t="n">
        <f aca="false">$B$6*$B$7*INDEX(Budget_Tiers!$G$2:$G$46,B33)</f>
        <v>7000</v>
      </c>
      <c r="F33" s="27" t="n">
        <f aca="false">$B$6*$B$7*INDEX(Budget_Tiers!$H$2:$H$46,B33)</f>
        <v>7000</v>
      </c>
      <c r="G33" s="27" t="n">
        <f aca="false">$B$6*$B$7*INDEX(Budget_Tiers!$I$2:$I$46,B33)</f>
        <v>3000</v>
      </c>
      <c r="H33" s="27" t="n">
        <f aca="false">$B$7*INDEX(Budget_Tiers!$J$2:$J$46,B33)</f>
        <v>0</v>
      </c>
      <c r="I33" s="27" t="n">
        <f aca="false">SUM(C33:H33)*(1+$B$8)</f>
        <v>55000</v>
      </c>
      <c r="J33" s="27" t="n">
        <f aca="false">I33/$B$7</f>
        <v>27500</v>
      </c>
    </row>
    <row r="34" customFormat="false" ht="15" hidden="false" customHeight="false" outlineLevel="0" collapsed="false">
      <c r="A34" s="26" t="s">
        <v>934</v>
      </c>
      <c r="B34" s="26" t="n">
        <f aca="false">MATCH($B$10&amp;"|"&amp;A34,Budget_Tiers!$A$2:$A$46,0)</f>
        <v>21</v>
      </c>
      <c r="C34" s="27" t="n">
        <f aca="false">$B$11*$B$12*INDEX(Budget_Tiers!$E$2:$E$46,B34)</f>
        <v>60000</v>
      </c>
      <c r="D34" s="27" t="n">
        <f aca="false">$B$6*$B$7*INDEX(Budget_Tiers!$F$2:$F$46,B34)</f>
        <v>35000</v>
      </c>
      <c r="E34" s="27" t="n">
        <f aca="false">$B$6*$B$7*INDEX(Budget_Tiers!$G$2:$G$46,B34)</f>
        <v>18000</v>
      </c>
      <c r="F34" s="27" t="n">
        <f aca="false">$B$6*$B$7*INDEX(Budget_Tiers!$H$2:$H$46,B34)</f>
        <v>15000</v>
      </c>
      <c r="G34" s="27" t="n">
        <f aca="false">$B$6*$B$7*INDEX(Budget_Tiers!$I$2:$I$46,B34)</f>
        <v>7000</v>
      </c>
      <c r="H34" s="27" t="n">
        <f aca="false">$B$7*INDEX(Budget_Tiers!$J$2:$J$46,B34)</f>
        <v>0</v>
      </c>
      <c r="I34" s="27" t="n">
        <f aca="false">SUM(C34:H34)*(1+$B$8)</f>
        <v>148500</v>
      </c>
      <c r="J34" s="27" t="n">
        <f aca="false">I34/$B$7</f>
        <v>74250</v>
      </c>
    </row>
    <row r="36" customFormat="false" ht="15" hidden="false" customHeight="false" outlineLevel="0" collapsed="false">
      <c r="A36" s="14" t="s">
        <v>2341</v>
      </c>
    </row>
  </sheetData>
  <dataValidations count="5">
    <dataValidation allowBlank="false" errorStyle="stop" operator="between" showDropDown="false" showErrorMessage="false" showInputMessage="false" sqref="B4" type="list">
      <formula1>Destinations!$B$2:$B$16</formula1>
      <formula2>0</formula2>
    </dataValidation>
    <dataValidation allowBlank="false" errorStyle="stop" operator="between" showDropDown="false" showErrorMessage="false" showInputMessage="false" sqref="B5" type="list">
      <formula1>"Budget,Mid-range,Premium"</formula1>
      <formula2>0</formula2>
    </dataValidation>
    <dataValidation allowBlank="false" errorStyle="stop" operator="between" showDropDown="false" showErrorMessage="false" showInputMessage="false" sqref="B6" type="whole">
      <formula1>1</formula1>
      <formula2>60</formula2>
    </dataValidation>
    <dataValidation allowBlank="false" errorStyle="stop" operator="between" showDropDown="false" showErrorMessage="false" showInputMessage="false" sqref="B7" type="whole">
      <formula1>1</formula1>
      <formula2>30</formula2>
    </dataValidation>
    <dataValidation allowBlank="false" errorStyle="stop" operator="between" showDropDown="false" showErrorMessage="false" showInputMessage="false" sqref="B8" type="decimal">
      <formula1>0</formula1>
      <formula2>0.5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7" t="s">
        <v>52</v>
      </c>
      <c r="B1" s="7" t="s">
        <v>53</v>
      </c>
      <c r="C1" s="7" t="s">
        <v>2342</v>
      </c>
      <c r="D1" s="7" t="s">
        <v>2343</v>
      </c>
      <c r="E1" s="7" t="s">
        <v>903</v>
      </c>
    </row>
    <row r="2" customFormat="false" ht="15" hidden="false" customHeight="false" outlineLevel="0" collapsed="false">
      <c r="A2" s="11" t="s">
        <v>74</v>
      </c>
      <c r="B2" s="8" t="s">
        <v>75</v>
      </c>
      <c r="C2" s="8" t="s">
        <v>2344</v>
      </c>
      <c r="D2" s="8" t="s">
        <v>2345</v>
      </c>
      <c r="E2" s="8" t="s">
        <v>2346</v>
      </c>
    </row>
    <row r="3" customFormat="false" ht="15" hidden="false" customHeight="false" outlineLevel="0" collapsed="false">
      <c r="A3" s="11" t="s">
        <v>74</v>
      </c>
      <c r="B3" s="8" t="s">
        <v>75</v>
      </c>
      <c r="C3" s="8" t="s">
        <v>2347</v>
      </c>
      <c r="D3" s="8" t="s">
        <v>2348</v>
      </c>
      <c r="E3" s="8" t="s">
        <v>2349</v>
      </c>
    </row>
    <row r="4" customFormat="false" ht="15" hidden="false" customHeight="false" outlineLevel="0" collapsed="false">
      <c r="A4" s="11" t="s">
        <v>86</v>
      </c>
      <c r="B4" s="8" t="s">
        <v>87</v>
      </c>
      <c r="C4" s="8" t="s">
        <v>2350</v>
      </c>
      <c r="D4" s="8" t="s">
        <v>2351</v>
      </c>
      <c r="E4" s="8" t="s">
        <v>2352</v>
      </c>
    </row>
    <row r="5" customFormat="false" ht="15" hidden="false" customHeight="false" outlineLevel="0" collapsed="false">
      <c r="A5" s="11" t="s">
        <v>97</v>
      </c>
      <c r="B5" s="8" t="s">
        <v>98</v>
      </c>
      <c r="C5" s="8" t="s">
        <v>2353</v>
      </c>
      <c r="D5" s="8" t="s">
        <v>2354</v>
      </c>
      <c r="E5" s="8" t="s">
        <v>2355</v>
      </c>
    </row>
    <row r="6" customFormat="false" ht="15" hidden="false" customHeight="false" outlineLevel="0" collapsed="false">
      <c r="A6" s="11" t="s">
        <v>97</v>
      </c>
      <c r="B6" s="8" t="s">
        <v>98</v>
      </c>
      <c r="C6" s="8" t="s">
        <v>2356</v>
      </c>
      <c r="D6" s="8" t="s">
        <v>2357</v>
      </c>
      <c r="E6" s="8" t="s">
        <v>2358</v>
      </c>
    </row>
    <row r="7" customFormat="false" ht="15" hidden="false" customHeight="false" outlineLevel="0" collapsed="false">
      <c r="A7" s="11" t="s">
        <v>108</v>
      </c>
      <c r="B7" s="8" t="s">
        <v>109</v>
      </c>
      <c r="C7" s="8" t="s">
        <v>2359</v>
      </c>
      <c r="D7" s="8" t="s">
        <v>2360</v>
      </c>
      <c r="E7" s="8" t="s">
        <v>2361</v>
      </c>
    </row>
    <row r="8" customFormat="false" ht="15" hidden="false" customHeight="false" outlineLevel="0" collapsed="false">
      <c r="A8" s="11" t="s">
        <v>118</v>
      </c>
      <c r="B8" s="8" t="s">
        <v>119</v>
      </c>
      <c r="C8" s="8" t="s">
        <v>2362</v>
      </c>
      <c r="D8" s="8" t="s">
        <v>2363</v>
      </c>
      <c r="E8" s="8" t="s">
        <v>2364</v>
      </c>
    </row>
    <row r="9" customFormat="false" ht="15" hidden="false" customHeight="false" outlineLevel="0" collapsed="false">
      <c r="A9" s="11" t="s">
        <v>130</v>
      </c>
      <c r="B9" s="8" t="s">
        <v>131</v>
      </c>
      <c r="C9" s="8" t="s">
        <v>2365</v>
      </c>
      <c r="D9" s="8" t="s">
        <v>2366</v>
      </c>
      <c r="E9" s="8" t="s">
        <v>2367</v>
      </c>
    </row>
    <row r="10" customFormat="false" ht="15" hidden="false" customHeight="false" outlineLevel="0" collapsed="false">
      <c r="A10" s="11" t="s">
        <v>142</v>
      </c>
      <c r="B10" s="8" t="s">
        <v>143</v>
      </c>
      <c r="C10" s="8" t="s">
        <v>2368</v>
      </c>
      <c r="D10" s="8" t="s">
        <v>2369</v>
      </c>
      <c r="E10" s="8" t="s">
        <v>2370</v>
      </c>
    </row>
    <row r="11" customFormat="false" ht="15" hidden="false" customHeight="false" outlineLevel="0" collapsed="false">
      <c r="A11" s="11" t="s">
        <v>142</v>
      </c>
      <c r="B11" s="8" t="s">
        <v>143</v>
      </c>
      <c r="C11" s="8" t="s">
        <v>2371</v>
      </c>
      <c r="D11" s="8" t="s">
        <v>2372</v>
      </c>
      <c r="E11" s="8" t="s">
        <v>2373</v>
      </c>
    </row>
    <row r="12" customFormat="false" ht="15" hidden="false" customHeight="false" outlineLevel="0" collapsed="false">
      <c r="A12" s="11" t="s">
        <v>142</v>
      </c>
      <c r="B12" s="8" t="s">
        <v>143</v>
      </c>
      <c r="C12" s="8" t="s">
        <v>2374</v>
      </c>
      <c r="D12" s="8" t="s">
        <v>2375</v>
      </c>
      <c r="E12" s="8" t="s">
        <v>2376</v>
      </c>
    </row>
    <row r="13" customFormat="false" ht="23.85" hidden="false" customHeight="false" outlineLevel="0" collapsed="false">
      <c r="A13" s="11" t="s">
        <v>152</v>
      </c>
      <c r="B13" s="8" t="s">
        <v>153</v>
      </c>
      <c r="C13" s="8" t="s">
        <v>2377</v>
      </c>
      <c r="D13" s="8" t="s">
        <v>2378</v>
      </c>
      <c r="E13" s="8" t="s">
        <v>2379</v>
      </c>
    </row>
    <row r="14" customFormat="false" ht="23.85" hidden="false" customHeight="false" outlineLevel="0" collapsed="false">
      <c r="A14" s="11" t="s">
        <v>152</v>
      </c>
      <c r="B14" s="8" t="s">
        <v>153</v>
      </c>
      <c r="C14" s="8" t="s">
        <v>2380</v>
      </c>
      <c r="D14" s="8" t="s">
        <v>2381</v>
      </c>
      <c r="E14" s="8" t="s">
        <v>2382</v>
      </c>
    </row>
    <row r="15" customFormat="false" ht="15" hidden="false" customHeight="false" outlineLevel="0" collapsed="false">
      <c r="A15" s="11" t="s">
        <v>163</v>
      </c>
      <c r="B15" s="8" t="s">
        <v>164</v>
      </c>
      <c r="C15" s="8" t="s">
        <v>2383</v>
      </c>
      <c r="D15" s="8" t="s">
        <v>2269</v>
      </c>
      <c r="E15" s="8" t="s">
        <v>2384</v>
      </c>
    </row>
    <row r="16" customFormat="false" ht="15" hidden="false" customHeight="false" outlineLevel="0" collapsed="false">
      <c r="A16" s="11" t="s">
        <v>175</v>
      </c>
      <c r="B16" s="8" t="s">
        <v>176</v>
      </c>
      <c r="C16" s="8" t="s">
        <v>2385</v>
      </c>
      <c r="D16" s="8" t="s">
        <v>2386</v>
      </c>
      <c r="E16" s="8" t="s">
        <v>2387</v>
      </c>
    </row>
    <row r="17" customFormat="false" ht="15" hidden="false" customHeight="false" outlineLevel="0" collapsed="false">
      <c r="A17" s="11" t="s">
        <v>175</v>
      </c>
      <c r="B17" s="8" t="s">
        <v>176</v>
      </c>
      <c r="C17" s="8" t="s">
        <v>2388</v>
      </c>
      <c r="D17" s="8" t="s">
        <v>2389</v>
      </c>
      <c r="E17" s="8" t="s">
        <v>2390</v>
      </c>
    </row>
    <row r="18" customFormat="false" ht="15" hidden="false" customHeight="false" outlineLevel="0" collapsed="false">
      <c r="A18" s="11" t="s">
        <v>185</v>
      </c>
      <c r="B18" s="8" t="s">
        <v>186</v>
      </c>
      <c r="C18" s="8" t="s">
        <v>2391</v>
      </c>
      <c r="D18" s="8" t="s">
        <v>2392</v>
      </c>
      <c r="E18" s="8" t="s">
        <v>2393</v>
      </c>
    </row>
    <row r="19" customFormat="false" ht="15" hidden="false" customHeight="false" outlineLevel="0" collapsed="false">
      <c r="A19" s="11" t="s">
        <v>185</v>
      </c>
      <c r="B19" s="8" t="s">
        <v>186</v>
      </c>
      <c r="C19" s="8" t="s">
        <v>2394</v>
      </c>
      <c r="D19" s="8" t="s">
        <v>2369</v>
      </c>
      <c r="E19" s="8" t="s">
        <v>2395</v>
      </c>
    </row>
    <row r="20" customFormat="false" ht="15" hidden="false" customHeight="false" outlineLevel="0" collapsed="false">
      <c r="A20" s="11" t="s">
        <v>195</v>
      </c>
      <c r="B20" s="8" t="s">
        <v>196</v>
      </c>
      <c r="C20" s="8" t="s">
        <v>2396</v>
      </c>
      <c r="D20" s="8" t="s">
        <v>2397</v>
      </c>
      <c r="E20" s="8" t="s">
        <v>2398</v>
      </c>
    </row>
    <row r="21" customFormat="false" ht="15" hidden="false" customHeight="false" outlineLevel="0" collapsed="false">
      <c r="A21" s="11" t="s">
        <v>195</v>
      </c>
      <c r="B21" s="8" t="s">
        <v>196</v>
      </c>
      <c r="C21" s="8" t="s">
        <v>2399</v>
      </c>
      <c r="D21" s="8" t="s">
        <v>2277</v>
      </c>
      <c r="E21" s="8" t="s">
        <v>2400</v>
      </c>
    </row>
    <row r="22" customFormat="false" ht="15" hidden="false" customHeight="false" outlineLevel="0" collapsed="false">
      <c r="A22" s="11" t="s">
        <v>206</v>
      </c>
      <c r="B22" s="8" t="s">
        <v>207</v>
      </c>
      <c r="C22" s="8" t="s">
        <v>2401</v>
      </c>
      <c r="D22" s="8" t="s">
        <v>2402</v>
      </c>
      <c r="E22" s="8" t="s">
        <v>2403</v>
      </c>
    </row>
    <row r="23" customFormat="false" ht="15" hidden="false" customHeight="false" outlineLevel="0" collapsed="false">
      <c r="A23" s="11" t="s">
        <v>216</v>
      </c>
      <c r="B23" s="8" t="s">
        <v>217</v>
      </c>
      <c r="C23" s="8" t="s">
        <v>2404</v>
      </c>
      <c r="D23" s="8" t="s">
        <v>2405</v>
      </c>
      <c r="E23" s="8" t="s">
        <v>2406</v>
      </c>
    </row>
    <row r="24" customFormat="false" ht="15" hidden="false" customHeight="false" outlineLevel="0" collapsed="false">
      <c r="A24" s="11" t="s">
        <v>216</v>
      </c>
      <c r="B24" s="8" t="s">
        <v>217</v>
      </c>
      <c r="C24" s="8" t="s">
        <v>2407</v>
      </c>
      <c r="D24" s="8" t="s">
        <v>2408</v>
      </c>
      <c r="E24" s="8" t="s">
        <v>2409</v>
      </c>
    </row>
    <row r="25" customFormat="false" ht="15" hidden="false" customHeight="false" outlineLevel="0" collapsed="false">
      <c r="A25" s="11" t="s">
        <v>228</v>
      </c>
      <c r="B25" s="8" t="s">
        <v>229</v>
      </c>
      <c r="C25" s="8" t="s">
        <v>2410</v>
      </c>
      <c r="D25" s="8" t="s">
        <v>2411</v>
      </c>
      <c r="E25" s="8" t="s">
        <v>2412</v>
      </c>
    </row>
    <row r="26" customFormat="false" ht="15" hidden="false" customHeight="false" outlineLevel="0" collapsed="false">
      <c r="A26" s="11" t="s">
        <v>228</v>
      </c>
      <c r="B26" s="8" t="s">
        <v>229</v>
      </c>
      <c r="C26" s="8" t="s">
        <v>2413</v>
      </c>
      <c r="D26" s="8" t="s">
        <v>2277</v>
      </c>
      <c r="E26" s="8" t="s">
        <v>2414</v>
      </c>
    </row>
  </sheetData>
  <autoFilter ref="A1:E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6"/>
    <col collapsed="false" customWidth="true" hidden="false" outlineLevel="0" max="5" min="4" style="0" width="4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44"/>
  </cols>
  <sheetData>
    <row r="1" customFormat="false" ht="31.5" hidden="false" customHeight="true" outlineLevel="0" collapsed="false">
      <c r="A1" s="7" t="s">
        <v>52</v>
      </c>
      <c r="B1" s="7" t="s">
        <v>53</v>
      </c>
      <c r="C1" s="7" t="s">
        <v>2415</v>
      </c>
      <c r="D1" s="7" t="s">
        <v>2416</v>
      </c>
      <c r="E1" s="7" t="s">
        <v>2417</v>
      </c>
      <c r="F1" s="7" t="s">
        <v>2418</v>
      </c>
      <c r="G1" s="7" t="s">
        <v>2419</v>
      </c>
      <c r="H1" s="7" t="s">
        <v>2420</v>
      </c>
    </row>
    <row r="2" customFormat="false" ht="23.85" hidden="false" customHeight="false" outlineLevel="0" collapsed="false">
      <c r="A2" s="11" t="s">
        <v>74</v>
      </c>
      <c r="B2" s="8" t="s">
        <v>75</v>
      </c>
      <c r="C2" s="8" t="s">
        <v>2421</v>
      </c>
      <c r="D2" s="8" t="s">
        <v>2422</v>
      </c>
      <c r="E2" s="8" t="s">
        <v>2423</v>
      </c>
      <c r="F2" s="8" t="s">
        <v>2424</v>
      </c>
      <c r="G2" s="8" t="s">
        <v>2425</v>
      </c>
      <c r="H2" s="8" t="s">
        <v>2426</v>
      </c>
    </row>
    <row r="3" customFormat="false" ht="23.85" hidden="false" customHeight="false" outlineLevel="0" collapsed="false">
      <c r="A3" s="11" t="s">
        <v>86</v>
      </c>
      <c r="B3" s="8" t="s">
        <v>87</v>
      </c>
      <c r="C3" s="8" t="s">
        <v>2427</v>
      </c>
      <c r="D3" s="8" t="s">
        <v>2428</v>
      </c>
      <c r="E3" s="8" t="s">
        <v>2429</v>
      </c>
      <c r="F3" s="8" t="s">
        <v>2430</v>
      </c>
      <c r="G3" s="8" t="s">
        <v>2431</v>
      </c>
      <c r="H3" s="8" t="s">
        <v>2432</v>
      </c>
    </row>
    <row r="4" customFormat="false" ht="15" hidden="false" customHeight="false" outlineLevel="0" collapsed="false">
      <c r="A4" s="11" t="s">
        <v>97</v>
      </c>
      <c r="B4" s="8" t="s">
        <v>98</v>
      </c>
      <c r="C4" s="8" t="s">
        <v>2433</v>
      </c>
      <c r="D4" s="8" t="s">
        <v>2434</v>
      </c>
      <c r="E4" s="8" t="s">
        <v>2435</v>
      </c>
      <c r="F4" s="8" t="s">
        <v>2436</v>
      </c>
      <c r="G4" s="8" t="s">
        <v>2437</v>
      </c>
      <c r="H4" s="8" t="s">
        <v>2438</v>
      </c>
    </row>
    <row r="5" customFormat="false" ht="15" hidden="false" customHeight="false" outlineLevel="0" collapsed="false">
      <c r="A5" s="11" t="s">
        <v>108</v>
      </c>
      <c r="B5" s="8" t="s">
        <v>109</v>
      </c>
      <c r="C5" s="8" t="s">
        <v>2433</v>
      </c>
      <c r="D5" s="8" t="s">
        <v>2439</v>
      </c>
      <c r="E5" s="8" t="s">
        <v>2440</v>
      </c>
      <c r="F5" s="8" t="s">
        <v>2436</v>
      </c>
      <c r="G5" s="8" t="s">
        <v>2441</v>
      </c>
      <c r="H5" s="8" t="s">
        <v>2442</v>
      </c>
    </row>
    <row r="6" customFormat="false" ht="23.85" hidden="false" customHeight="false" outlineLevel="0" collapsed="false">
      <c r="A6" s="11" t="s">
        <v>118</v>
      </c>
      <c r="B6" s="8" t="s">
        <v>119</v>
      </c>
      <c r="C6" s="8" t="s">
        <v>2433</v>
      </c>
      <c r="D6" s="8" t="s">
        <v>2443</v>
      </c>
      <c r="E6" s="8" t="s">
        <v>2444</v>
      </c>
      <c r="F6" s="8" t="s">
        <v>2445</v>
      </c>
      <c r="G6" s="8" t="s">
        <v>2446</v>
      </c>
      <c r="H6" s="8" t="s">
        <v>2447</v>
      </c>
    </row>
    <row r="7" customFormat="false" ht="15" hidden="false" customHeight="false" outlineLevel="0" collapsed="false">
      <c r="A7" s="11" t="s">
        <v>130</v>
      </c>
      <c r="B7" s="8" t="s">
        <v>131</v>
      </c>
      <c r="C7" s="8" t="s">
        <v>2433</v>
      </c>
      <c r="D7" s="8" t="s">
        <v>2448</v>
      </c>
      <c r="E7" s="8" t="s">
        <v>2449</v>
      </c>
      <c r="F7" s="8" t="s">
        <v>2450</v>
      </c>
      <c r="G7" s="8" t="s">
        <v>2451</v>
      </c>
      <c r="H7" s="8" t="s">
        <v>2452</v>
      </c>
    </row>
    <row r="8" customFormat="false" ht="23.85" hidden="false" customHeight="false" outlineLevel="0" collapsed="false">
      <c r="A8" s="11" t="s">
        <v>142</v>
      </c>
      <c r="B8" s="8" t="s">
        <v>143</v>
      </c>
      <c r="C8" s="8" t="s">
        <v>2433</v>
      </c>
      <c r="D8" s="8" t="s">
        <v>2453</v>
      </c>
      <c r="E8" s="8" t="s">
        <v>2454</v>
      </c>
      <c r="F8" s="8" t="s">
        <v>2455</v>
      </c>
      <c r="G8" s="8" t="s">
        <v>2456</v>
      </c>
      <c r="H8" s="8" t="s">
        <v>2457</v>
      </c>
    </row>
    <row r="9" customFormat="false" ht="23.85" hidden="false" customHeight="false" outlineLevel="0" collapsed="false">
      <c r="A9" s="11" t="s">
        <v>152</v>
      </c>
      <c r="B9" s="8" t="s">
        <v>153</v>
      </c>
      <c r="C9" s="8" t="s">
        <v>2433</v>
      </c>
      <c r="D9" s="8" t="s">
        <v>2458</v>
      </c>
      <c r="E9" s="8" t="s">
        <v>2459</v>
      </c>
      <c r="F9" s="8" t="s">
        <v>2436</v>
      </c>
      <c r="G9" s="8" t="s">
        <v>2460</v>
      </c>
      <c r="H9" s="8" t="s">
        <v>2461</v>
      </c>
    </row>
    <row r="10" customFormat="false" ht="23.85" hidden="false" customHeight="false" outlineLevel="0" collapsed="false">
      <c r="A10" s="11" t="s">
        <v>163</v>
      </c>
      <c r="B10" s="8" t="s">
        <v>164</v>
      </c>
      <c r="C10" s="8" t="s">
        <v>2433</v>
      </c>
      <c r="D10" s="8" t="s">
        <v>2462</v>
      </c>
      <c r="E10" s="8" t="s">
        <v>2463</v>
      </c>
      <c r="F10" s="8" t="s">
        <v>2464</v>
      </c>
      <c r="G10" s="8" t="s">
        <v>2465</v>
      </c>
      <c r="H10" s="8" t="s">
        <v>2466</v>
      </c>
    </row>
    <row r="11" customFormat="false" ht="15" hidden="false" customHeight="false" outlineLevel="0" collapsed="false">
      <c r="A11" s="11" t="s">
        <v>175</v>
      </c>
      <c r="B11" s="8" t="s">
        <v>176</v>
      </c>
      <c r="C11" s="8" t="s">
        <v>2433</v>
      </c>
      <c r="D11" s="8" t="s">
        <v>2467</v>
      </c>
      <c r="E11" s="8" t="s">
        <v>2440</v>
      </c>
      <c r="F11" s="8" t="s">
        <v>2468</v>
      </c>
      <c r="G11" s="8" t="s">
        <v>2469</v>
      </c>
      <c r="H11" s="8" t="s">
        <v>2470</v>
      </c>
    </row>
    <row r="12" customFormat="false" ht="23.85" hidden="false" customHeight="false" outlineLevel="0" collapsed="false">
      <c r="A12" s="11" t="s">
        <v>185</v>
      </c>
      <c r="B12" s="8" t="s">
        <v>186</v>
      </c>
      <c r="C12" s="8" t="s">
        <v>2433</v>
      </c>
      <c r="D12" s="8" t="s">
        <v>2471</v>
      </c>
      <c r="E12" s="8" t="s">
        <v>2472</v>
      </c>
      <c r="F12" s="8" t="s">
        <v>2473</v>
      </c>
      <c r="G12" s="8" t="s">
        <v>2456</v>
      </c>
      <c r="H12" s="8" t="s">
        <v>2474</v>
      </c>
    </row>
    <row r="13" customFormat="false" ht="23.85" hidden="false" customHeight="false" outlineLevel="0" collapsed="false">
      <c r="A13" s="11" t="s">
        <v>195</v>
      </c>
      <c r="B13" s="8" t="s">
        <v>196</v>
      </c>
      <c r="C13" s="8" t="s">
        <v>2433</v>
      </c>
      <c r="D13" s="8" t="s">
        <v>2475</v>
      </c>
      <c r="E13" s="8" t="s">
        <v>2440</v>
      </c>
      <c r="F13" s="8" t="s">
        <v>2476</v>
      </c>
      <c r="G13" s="8" t="s">
        <v>2456</v>
      </c>
      <c r="H13" s="8" t="s">
        <v>2477</v>
      </c>
    </row>
    <row r="14" customFormat="false" ht="15" hidden="false" customHeight="false" outlineLevel="0" collapsed="false">
      <c r="A14" s="11" t="s">
        <v>206</v>
      </c>
      <c r="B14" s="8" t="s">
        <v>207</v>
      </c>
      <c r="C14" s="8" t="s">
        <v>2433</v>
      </c>
      <c r="D14" s="8" t="s">
        <v>2478</v>
      </c>
      <c r="E14" s="8" t="s">
        <v>2440</v>
      </c>
      <c r="F14" s="8" t="s">
        <v>2436</v>
      </c>
      <c r="G14" s="8" t="s">
        <v>2456</v>
      </c>
      <c r="H14" s="8" t="s">
        <v>2479</v>
      </c>
    </row>
    <row r="15" customFormat="false" ht="46.25" hidden="false" customHeight="false" outlineLevel="0" collapsed="false">
      <c r="A15" s="11" t="s">
        <v>216</v>
      </c>
      <c r="B15" s="8" t="s">
        <v>217</v>
      </c>
      <c r="C15" s="8" t="s">
        <v>2480</v>
      </c>
      <c r="D15" s="8" t="s">
        <v>2481</v>
      </c>
      <c r="E15" s="8" t="s">
        <v>2482</v>
      </c>
      <c r="F15" s="8" t="s">
        <v>2483</v>
      </c>
      <c r="G15" s="8" t="s">
        <v>2484</v>
      </c>
      <c r="H15" s="8" t="s">
        <v>2485</v>
      </c>
    </row>
    <row r="16" customFormat="false" ht="23.85" hidden="false" customHeight="false" outlineLevel="0" collapsed="false">
      <c r="A16" s="11" t="s">
        <v>228</v>
      </c>
      <c r="B16" s="8" t="s">
        <v>229</v>
      </c>
      <c r="C16" s="8" t="s">
        <v>2433</v>
      </c>
      <c r="D16" s="8" t="s">
        <v>2486</v>
      </c>
      <c r="E16" s="8" t="s">
        <v>2487</v>
      </c>
      <c r="F16" s="8" t="s">
        <v>2488</v>
      </c>
      <c r="G16" s="8" t="s">
        <v>2489</v>
      </c>
      <c r="H16" s="8" t="s">
        <v>2490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80"/>
  </cols>
  <sheetData>
    <row r="1" customFormat="false" ht="31.5" hidden="false" customHeight="true" outlineLevel="0" collapsed="false">
      <c r="A1" s="7" t="s">
        <v>2491</v>
      </c>
      <c r="B1" s="7" t="s">
        <v>8</v>
      </c>
      <c r="C1" s="7" t="s">
        <v>64</v>
      </c>
      <c r="D1" s="7" t="s">
        <v>62</v>
      </c>
      <c r="E1" s="7" t="s">
        <v>2492</v>
      </c>
    </row>
    <row r="2" customFormat="false" ht="23.85" hidden="false" customHeight="false" outlineLevel="0" collapsed="false">
      <c r="A2" s="8" t="s">
        <v>2493</v>
      </c>
      <c r="B2" s="8" t="s">
        <v>2494</v>
      </c>
      <c r="C2" s="8" t="s">
        <v>2495</v>
      </c>
      <c r="D2" s="8" t="s">
        <v>92</v>
      </c>
      <c r="E2" s="8" t="s">
        <v>2496</v>
      </c>
    </row>
    <row r="3" customFormat="false" ht="15" hidden="false" customHeight="false" outlineLevel="0" collapsed="false">
      <c r="A3" s="8" t="s">
        <v>2497</v>
      </c>
      <c r="B3" s="8" t="s">
        <v>2498</v>
      </c>
      <c r="C3" s="8" t="s">
        <v>2499</v>
      </c>
      <c r="D3" s="8" t="s">
        <v>92</v>
      </c>
      <c r="E3" s="8" t="s">
        <v>2500</v>
      </c>
    </row>
    <row r="4" customFormat="false" ht="15" hidden="false" customHeight="false" outlineLevel="0" collapsed="false">
      <c r="A4" s="8" t="s">
        <v>2501</v>
      </c>
      <c r="B4" s="8" t="s">
        <v>2502</v>
      </c>
      <c r="C4" s="8" t="s">
        <v>2503</v>
      </c>
      <c r="D4" s="8" t="s">
        <v>92</v>
      </c>
      <c r="E4" s="8" t="s">
        <v>2504</v>
      </c>
    </row>
    <row r="5" customFormat="false" ht="15" hidden="false" customHeight="false" outlineLevel="0" collapsed="false">
      <c r="A5" s="8" t="s">
        <v>2505</v>
      </c>
      <c r="B5" s="8" t="s">
        <v>2506</v>
      </c>
      <c r="C5" s="8" t="s">
        <v>2495</v>
      </c>
      <c r="D5" s="8" t="s">
        <v>125</v>
      </c>
      <c r="E5" s="8" t="s">
        <v>2507</v>
      </c>
    </row>
    <row r="6" customFormat="false" ht="15" hidden="false" customHeight="false" outlineLevel="0" collapsed="false">
      <c r="A6" s="8" t="s">
        <v>2508</v>
      </c>
      <c r="B6" s="8" t="s">
        <v>2509</v>
      </c>
      <c r="C6" s="8" t="s">
        <v>2499</v>
      </c>
      <c r="D6" s="8" t="s">
        <v>2170</v>
      </c>
      <c r="E6" s="8" t="s">
        <v>2510</v>
      </c>
    </row>
    <row r="7" customFormat="false" ht="15" hidden="false" customHeight="false" outlineLevel="0" collapsed="false">
      <c r="A7" s="8" t="s">
        <v>2511</v>
      </c>
      <c r="B7" s="8" t="s">
        <v>2512</v>
      </c>
      <c r="C7" s="8" t="s">
        <v>2513</v>
      </c>
      <c r="D7" s="8" t="s">
        <v>92</v>
      </c>
      <c r="E7" s="8" t="s">
        <v>2514</v>
      </c>
    </row>
    <row r="8" customFormat="false" ht="15" hidden="false" customHeight="false" outlineLevel="0" collapsed="false">
      <c r="A8" s="8" t="s">
        <v>2515</v>
      </c>
      <c r="B8" s="8" t="s">
        <v>2516</v>
      </c>
      <c r="C8" s="8" t="s">
        <v>2499</v>
      </c>
      <c r="D8" s="8" t="s">
        <v>2517</v>
      </c>
      <c r="E8" s="8" t="s">
        <v>2518</v>
      </c>
    </row>
    <row r="9" customFormat="false" ht="15" hidden="false" customHeight="false" outlineLevel="0" collapsed="false">
      <c r="A9" s="8" t="s">
        <v>2519</v>
      </c>
      <c r="B9" s="8" t="s">
        <v>2520</v>
      </c>
      <c r="C9" s="8" t="s">
        <v>2521</v>
      </c>
      <c r="D9" s="8" t="s">
        <v>847</v>
      </c>
      <c r="E9" s="8" t="s">
        <v>2522</v>
      </c>
    </row>
    <row r="10" customFormat="false" ht="15" hidden="false" customHeight="false" outlineLevel="0" collapsed="false">
      <c r="A10" s="8" t="s">
        <v>2523</v>
      </c>
      <c r="B10" s="8" t="s">
        <v>2524</v>
      </c>
      <c r="C10" s="8" t="s">
        <v>2525</v>
      </c>
      <c r="D10" s="8" t="s">
        <v>2526</v>
      </c>
      <c r="E10" s="8" t="s">
        <v>2527</v>
      </c>
    </row>
    <row r="11" customFormat="false" ht="23.85" hidden="false" customHeight="false" outlineLevel="0" collapsed="false">
      <c r="A11" s="8" t="s">
        <v>2528</v>
      </c>
      <c r="B11" s="8" t="s">
        <v>2529</v>
      </c>
      <c r="C11" s="8" t="s">
        <v>308</v>
      </c>
      <c r="D11" s="8" t="s">
        <v>92</v>
      </c>
      <c r="E11" s="8" t="s">
        <v>2451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2026-09-20T11:23:42Z</dcterms:created>
  <dc:creator>openpyxl</dc:creator>
  <dc:description/>
  <dc:language>en-US</dc:language>
  <cp:lastModifiedBy/>
  <dcterms:modified xsi:type="dcterms:W3CDTF">2026-09-20T11:23:42Z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