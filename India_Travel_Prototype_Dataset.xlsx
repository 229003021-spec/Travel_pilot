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stination" sheetId="2" state="visible" r:id="rId4"/>
    <sheet name="Place" sheetId="3" state="visible" r:id="rId5"/>
    <sheet name="OpeningHours" sheetId="4" state="visible" r:id="rId6"/>
    <sheet name="Activity" sheetId="5" state="visible" r:id="rId7"/>
    <sheet name="Hotel" sheetId="6" state="visible" r:id="rId8"/>
    <sheet name="Restaurant" sheetId="7" state="visible" r:id="rId9"/>
    <sheet name="TransportRoute" sheetId="8" state="visible" r:id="rId10"/>
    <sheet name="Event" sheetId="9" state="visible" r:id="rId11"/>
    <sheet name="Booking" sheetId="10" state="visible" r:id="rId12"/>
    <sheet name="Trip" sheetId="11" state="visible" r:id="rId13"/>
    <sheet name="Assumptions" sheetId="12" state="visible" r:id="rId14"/>
  </sheets>
  <definedNames>
    <definedName function="false" hidden="true" localSheetId="4" name="_xlnm._FilterDatabase" vbProcedure="false">Activity!$A$1:$H$21</definedName>
    <definedName function="false" hidden="true" localSheetId="9" name="_xlnm._FilterDatabase" vbProcedure="false">Booking!$A$1:$J$2</definedName>
    <definedName function="false" hidden="true" localSheetId="1" name="_xlnm._FilterDatabase" vbProcedure="false">Destination!$A$1:$L$501</definedName>
    <definedName function="false" hidden="true" localSheetId="8" name="_xlnm._FilterDatabase" vbProcedure="false">Event!$A$1:$M$30</definedName>
    <definedName function="false" hidden="true" localSheetId="5" name="_xlnm._FilterDatabase" vbProcedure="false">Hotel!$A$1:$K$12</definedName>
    <definedName function="false" hidden="true" localSheetId="3" name="_xlnm._FilterDatabase" vbProcedure="false">OpeningHours!$A$1:$H$7</definedName>
    <definedName function="false" hidden="true" localSheetId="2" name="_xlnm._FilterDatabase" vbProcedure="false">Place!$A$1:$I$57</definedName>
    <definedName function="false" hidden="true" localSheetId="6" name="_xlnm._FilterDatabase" vbProcedure="false">Restaurant!$A$1:$J$2</definedName>
    <definedName function="false" hidden="true" localSheetId="7" name="_xlnm._FilterDatabase" vbProcedure="false">TransportRoute!$A$1:$N$825</definedName>
    <definedName function="false" hidden="true" localSheetId="10" name="_xlnm._FilterDatabase" vbProcedure="false">Trip!$A$1:$K$2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<sst xmlns="http://schemas.openxmlformats.org/spreadsheetml/2006/main" count="8719" uniqueCount="2336">
  <si>
    <t xml:space="preserve">India Travel Prototype Dataset</t>
  </si>
  <si>
    <t xml:space="preserve">Built from India_Top_500_Tourist_Destinations.xlsx. Only what could be filled reliably is filled – everything else is a ready-to-fill (yellow) column so nothing unverified is presented as fact.</t>
  </si>
  <si>
    <t xml:space="preserve">Sheet</t>
  </si>
  <si>
    <t xml:space="preserve">Rows with data</t>
  </si>
  <si>
    <t xml:space="preserve">What is filled</t>
  </si>
  <si>
    <t xml:space="preserve">What still needs to be collected (and where from)</t>
  </si>
  <si>
    <t xml:space="preserve">Destination</t>
  </si>
  <si>
    <t xml:space="preserve">435 named cities/areas with state, region, latitude/longitude (approx., 2 decimals), source flag.</t>
  </si>
  <si>
    <t xml:space="preserve">65 slots are unnamed placeholders in your input – they need real destination names. Refine coordinates with OpenStreetMap Nominatim or Google Geocoding.</t>
  </si>
  <si>
    <t xml:space="preserve">Place</t>
  </si>
  <si>
    <t xml:space="preserve">Names + categories for the 10 destinations that had detail in your input file.</t>
  </si>
  <si>
    <t xml:space="preserve">Places for the other 425 destinations; exact coordinates. Sources: OpenStreetMap Overpass, Wikidata, Google Places API.</t>
  </si>
  <si>
    <t xml:space="preserve">OpeningHours</t>
  </si>
  <si>
    <t xml:space="preserve">Structure only (one row per place per day).</t>
  </si>
  <si>
    <t xml:space="preserve">Real timings. Sources: Google Places API (opening_hours), official site of each attraction, ASI/state tourism pages for monuments.</t>
  </si>
  <si>
    <t xml:space="preserve">Activity</t>
  </si>
  <si>
    <t xml:space="preserve">Activity names from your input for 10 destinations; interests auto-tagged by keyword (review).</t>
  </si>
  <si>
    <t xml:space="preserve">Duration and cost for every activity; activities for the other destinations.</t>
  </si>
  <si>
    <t xml:space="preserve">Hotel</t>
  </si>
  <si>
    <t xml:space="preserve">Named properties/brands from your input only.</t>
  </si>
  <si>
    <t xml:space="preserve">Price, area, coordinates, check-in/out times. Sources: hotel websites, Booking/Agoda/MakeMyTrip partner APIs, Google Places.</t>
  </si>
  <si>
    <t xml:space="preserve">Restaurant</t>
  </si>
  <si>
    <t xml:space="preserve">Structure only – your input lists dishes/cuisines, not restaurants.</t>
  </si>
  <si>
    <t xml:space="preserve">Restaurant names, cuisine, price, location. Sources: Google Places API, Zomato/Swiggy data partners, OpenStreetMap.</t>
  </si>
  <si>
    <t xml:space="preserve">TransportRoute</t>
  </si>
  <si>
    <t xml:space="preserve">~3 nearest road-connected neighbours per destination; distance and duration are formulas (estimates).</t>
  </si>
  <si>
    <t xml:space="preserve">Real road distance/time and rail/air/bus options. Sources: OSRM or Google Distance Matrix (road), IRCTC/Indian Railways (rail), airline schedules.</t>
  </si>
  <si>
    <t xml:space="preserve">Event</t>
  </si>
  <si>
    <t xml:space="preserve">29 well-known recurring events with typical month and approximate duration.</t>
  </si>
  <si>
    <t xml:space="preserve">Exact dates for the year you need. Sources: state tourism department calendars, official event sites.</t>
  </si>
  <si>
    <t xml:space="preserve">Booking</t>
  </si>
  <si>
    <t xml:space="preserve">Structure + status dropdowns. Runtime data created by your app.</t>
  </si>
  <si>
    <t xml:space="preserve">Generated by the prototype, not collected.</t>
  </si>
  <si>
    <t xml:space="preserve">Trip</t>
  </si>
  <si>
    <t xml:space="preserve">Structure + budget-style dropdown. Runtime data created by your app.</t>
  </si>
  <si>
    <t xml:space="preserve">Legend</t>
  </si>
  <si>
    <t xml:space="preserve">Yellow cell</t>
  </si>
  <si>
    <t xml:space="preserve">Empty on purpose – needs verified data</t>
  </si>
  <si>
    <t xml:space="preserve">Grey italic row</t>
  </si>
  <si>
    <t xml:space="preserve">EXAMPLE row showing the expected format – delete before importing</t>
  </si>
  <si>
    <t xml:space="preserve">Blue on yellow</t>
  </si>
  <si>
    <t xml:space="preserve">Editable assumption (Assumptions sheet)</t>
  </si>
  <si>
    <t xml:space="preserve">Data quality notes</t>
  </si>
  <si>
    <t xml:space="preserve">1. State and region were not in your input for 490 of 500 rows (they read 'India'); they were added here. Region follows the input file's own convention (e.g. Rajasthan = West).</t>
  </si>
  <si>
    <t xml:space="preserve">2. Coordinates were assigned from general geographic knowledge to 2 decimals (~1 km). About half were cross-checked against the GeoNames dataset (flag in coord_source); the rest are marked 'Approximate – verify'.</t>
  </si>
  <si>
    <t xml:space="preserve">3. Some destination entries overlap (e.g. Kashi/Varanasi, Delhi landmarks, 'Heritage' variants) – see the notes column in Destination.</t>
  </si>
  <si>
    <t xml:space="preserve">4. TransportRoute distances are estimates from straight-line distance and the assumptions on the Assumptions sheet; they are not real road distances.</t>
  </si>
  <si>
    <t xml:space="preserve">5. Event months are typical timings; festival dates shift every year, so exact dates are left blank.</t>
  </si>
  <si>
    <t xml:space="preserve">dest_id</t>
  </si>
  <si>
    <t xml:space="preserve">city</t>
  </si>
  <si>
    <t xml:space="preserve">state</t>
  </si>
  <si>
    <t xml:space="preserve">region</t>
  </si>
  <si>
    <t xml:space="preserve">type</t>
  </si>
  <si>
    <t xml:space="preserve">latitude</t>
  </si>
  <si>
    <t xml:space="preserve">longitude</t>
  </si>
  <si>
    <t xml:space="preserve">coord_source</t>
  </si>
  <si>
    <t xml:space="preserve">best_season</t>
  </si>
  <si>
    <t xml:space="preserve">ideal_stay_days</t>
  </si>
  <si>
    <t xml:space="preserve">data_status</t>
  </si>
  <si>
    <t xml:space="preserve">notes</t>
  </si>
  <si>
    <t xml:space="preserve">D001</t>
  </si>
  <si>
    <t xml:space="preserve">Agra</t>
  </si>
  <si>
    <t xml:space="preserve">Uttar Pradesh</t>
  </si>
  <si>
    <t xml:space="preserve">North</t>
  </si>
  <si>
    <t xml:space="preserve">Heritage</t>
  </si>
  <si>
    <t xml:space="preserve">Cross-checked (GeoNames, &lt;40 km)</t>
  </si>
  <si>
    <t xml:space="preserve">Oct–Mar</t>
  </si>
  <si>
    <t xml:space="preserve">Seeded (details in source)</t>
  </si>
  <si>
    <t xml:space="preserve">D002</t>
  </si>
  <si>
    <t xml:space="preserve">Jaipur</t>
  </si>
  <si>
    <t xml:space="preserve">Rajasthan</t>
  </si>
  <si>
    <t xml:space="preserve">West</t>
  </si>
  <si>
    <t xml:space="preserve">D003</t>
  </si>
  <si>
    <t xml:space="preserve">Varanasi</t>
  </si>
  <si>
    <t xml:space="preserve">Spiritual</t>
  </si>
  <si>
    <t xml:space="preserve">D004</t>
  </si>
  <si>
    <t xml:space="preserve">Mysuru</t>
  </si>
  <si>
    <t xml:space="preserve">Karnataka</t>
  </si>
  <si>
    <t xml:space="preserve">South</t>
  </si>
  <si>
    <t xml:space="preserve">Oct–Feb</t>
  </si>
  <si>
    <t xml:space="preserve">D005</t>
  </si>
  <si>
    <t xml:space="preserve">Kochi</t>
  </si>
  <si>
    <t xml:space="preserve">Kerala</t>
  </si>
  <si>
    <t xml:space="preserve">Coastal/Culture</t>
  </si>
  <si>
    <t xml:space="preserve">D006</t>
  </si>
  <si>
    <t xml:space="preserve">Hampi</t>
  </si>
  <si>
    <t xml:space="preserve">Heritage/Archaeology</t>
  </si>
  <si>
    <t xml:space="preserve">Approximate – verify</t>
  </si>
  <si>
    <t xml:space="preserve">D007</t>
  </si>
  <si>
    <t xml:space="preserve">Munnar</t>
  </si>
  <si>
    <t xml:space="preserve">Hill Station</t>
  </si>
  <si>
    <t xml:space="preserve">Sep–Mar</t>
  </si>
  <si>
    <t xml:space="preserve">D008</t>
  </si>
  <si>
    <t xml:space="preserve">Rameswaram</t>
  </si>
  <si>
    <t xml:space="preserve">Tamil Nadu</t>
  </si>
  <si>
    <t xml:space="preserve">Pilgrimage/Coastal</t>
  </si>
  <si>
    <t xml:space="preserve">D009</t>
  </si>
  <si>
    <t xml:space="preserve">Goa</t>
  </si>
  <si>
    <t xml:space="preserve">Beach/Leisure</t>
  </si>
  <si>
    <t xml:space="preserve">Nov–Feb</t>
  </si>
  <si>
    <t xml:space="preserve">State-level entry; coordinates approximate centre</t>
  </si>
  <si>
    <t xml:space="preserve">D010</t>
  </si>
  <si>
    <t xml:space="preserve">Leh</t>
  </si>
  <si>
    <t xml:space="preserve">Ladakh</t>
  </si>
  <si>
    <t xml:space="preserve">Mountain/Adventure</t>
  </si>
  <si>
    <t xml:space="preserve">May–Sep</t>
  </si>
  <si>
    <t xml:space="preserve">D011</t>
  </si>
  <si>
    <t xml:space="preserve">Delhi</t>
  </si>
  <si>
    <t xml:space="preserve">Tourism Destination</t>
  </si>
  <si>
    <t xml:space="preserve">Season varies</t>
  </si>
  <si>
    <t xml:space="preserve">Named only</t>
  </si>
  <si>
    <t xml:space="preserve">D012</t>
  </si>
  <si>
    <t xml:space="preserve">Mathura</t>
  </si>
  <si>
    <t xml:space="preserve">D013</t>
  </si>
  <si>
    <t xml:space="preserve">Vrindavan</t>
  </si>
  <si>
    <t xml:space="preserve">D014</t>
  </si>
  <si>
    <t xml:space="preserve">Lucknow</t>
  </si>
  <si>
    <t xml:space="preserve">D015</t>
  </si>
  <si>
    <t xml:space="preserve">Prayagraj</t>
  </si>
  <si>
    <t xml:space="preserve">D016</t>
  </si>
  <si>
    <t xml:space="preserve">Sarnath</t>
  </si>
  <si>
    <t xml:space="preserve">Adjacent to Varanasi (about 10 km)</t>
  </si>
  <si>
    <t xml:space="preserve">D017</t>
  </si>
  <si>
    <t xml:space="preserve">Jhansi</t>
  </si>
  <si>
    <t xml:space="preserve">D018</t>
  </si>
  <si>
    <t xml:space="preserve">Khajuraho</t>
  </si>
  <si>
    <t xml:space="preserve">Madhya Pradesh</t>
  </si>
  <si>
    <t xml:space="preserve">Central</t>
  </si>
  <si>
    <t xml:space="preserve">D019</t>
  </si>
  <si>
    <t xml:space="preserve">Orchha</t>
  </si>
  <si>
    <t xml:space="preserve">D020</t>
  </si>
  <si>
    <t xml:space="preserve">Gwalior</t>
  </si>
  <si>
    <t xml:space="preserve">D021</t>
  </si>
  <si>
    <t xml:space="preserve">Amritsar</t>
  </si>
  <si>
    <t xml:space="preserve">Punjab</t>
  </si>
  <si>
    <t xml:space="preserve">D022</t>
  </si>
  <si>
    <t xml:space="preserve">Chandigarh</t>
  </si>
  <si>
    <t xml:space="preserve">D023</t>
  </si>
  <si>
    <t xml:space="preserve">Shimla</t>
  </si>
  <si>
    <t xml:space="preserve">Himachal Pradesh</t>
  </si>
  <si>
    <t xml:space="preserve">D024</t>
  </si>
  <si>
    <t xml:space="preserve">Manali</t>
  </si>
  <si>
    <t xml:space="preserve">D025</t>
  </si>
  <si>
    <t xml:space="preserve">Dharamshala</t>
  </si>
  <si>
    <t xml:space="preserve">D026</t>
  </si>
  <si>
    <t xml:space="preserve">Dalhousie</t>
  </si>
  <si>
    <t xml:space="preserve">D027</t>
  </si>
  <si>
    <t xml:space="preserve">Rishikesh</t>
  </si>
  <si>
    <t xml:space="preserve">Uttarakhand</t>
  </si>
  <si>
    <t xml:space="preserve">D028</t>
  </si>
  <si>
    <t xml:space="preserve">Haridwar</t>
  </si>
  <si>
    <t xml:space="preserve">D029</t>
  </si>
  <si>
    <t xml:space="preserve">Mussoorie</t>
  </si>
  <si>
    <t xml:space="preserve">D030</t>
  </si>
  <si>
    <t xml:space="preserve">Nainital</t>
  </si>
  <si>
    <t xml:space="preserve">D031</t>
  </si>
  <si>
    <t xml:space="preserve">Jim Corbett</t>
  </si>
  <si>
    <t xml:space="preserve">D032</t>
  </si>
  <si>
    <t xml:space="preserve">Dehradun</t>
  </si>
  <si>
    <t xml:space="preserve">D033</t>
  </si>
  <si>
    <t xml:space="preserve">Nubra Valley</t>
  </si>
  <si>
    <t xml:space="preserve">D034</t>
  </si>
  <si>
    <t xml:space="preserve">Pangong Lake</t>
  </si>
  <si>
    <t xml:space="preserve">D035</t>
  </si>
  <si>
    <t xml:space="preserve">Srinagar</t>
  </si>
  <si>
    <t xml:space="preserve">Jammu &amp; Kashmir</t>
  </si>
  <si>
    <t xml:space="preserve">D036</t>
  </si>
  <si>
    <t xml:space="preserve">Gulmarg</t>
  </si>
  <si>
    <t xml:space="preserve">D037</t>
  </si>
  <si>
    <t xml:space="preserve">Pahalgam</t>
  </si>
  <si>
    <t xml:space="preserve">D038</t>
  </si>
  <si>
    <t xml:space="preserve">Sonamarg</t>
  </si>
  <si>
    <t xml:space="preserve">D039</t>
  </si>
  <si>
    <t xml:space="preserve">Jammu</t>
  </si>
  <si>
    <t xml:space="preserve">D040</t>
  </si>
  <si>
    <t xml:space="preserve">Patnitop</t>
  </si>
  <si>
    <t xml:space="preserve">D041</t>
  </si>
  <si>
    <t xml:space="preserve">Katra</t>
  </si>
  <si>
    <t xml:space="preserve">D042</t>
  </si>
  <si>
    <t xml:space="preserve">Badrinath</t>
  </si>
  <si>
    <t xml:space="preserve">D043</t>
  </si>
  <si>
    <t xml:space="preserve">Kedarnath</t>
  </si>
  <si>
    <t xml:space="preserve">D044</t>
  </si>
  <si>
    <t xml:space="preserve">Gangotri</t>
  </si>
  <si>
    <t xml:space="preserve">D045</t>
  </si>
  <si>
    <t xml:space="preserve">Yamunotri</t>
  </si>
  <si>
    <t xml:space="preserve">D046</t>
  </si>
  <si>
    <t xml:space="preserve">Valley of Flowers</t>
  </si>
  <si>
    <t xml:space="preserve">D047</t>
  </si>
  <si>
    <t xml:space="preserve">Jodhpur</t>
  </si>
  <si>
    <t xml:space="preserve">D048</t>
  </si>
  <si>
    <t xml:space="preserve">Udaipur</t>
  </si>
  <si>
    <t xml:space="preserve">D049</t>
  </si>
  <si>
    <t xml:space="preserve">Jaisalmer</t>
  </si>
  <si>
    <t xml:space="preserve">D050</t>
  </si>
  <si>
    <t xml:space="preserve">Pushkar</t>
  </si>
  <si>
    <t xml:space="preserve">D051</t>
  </si>
  <si>
    <t xml:space="preserve">Ajmer</t>
  </si>
  <si>
    <t xml:space="preserve">D052</t>
  </si>
  <si>
    <t xml:space="preserve">Bikaner</t>
  </si>
  <si>
    <t xml:space="preserve">D053</t>
  </si>
  <si>
    <t xml:space="preserve">Mount Abu</t>
  </si>
  <si>
    <t xml:space="preserve">D054</t>
  </si>
  <si>
    <t xml:space="preserve">Chittorgarh</t>
  </si>
  <si>
    <t xml:space="preserve">D055</t>
  </si>
  <si>
    <t xml:space="preserve">Ranthambore</t>
  </si>
  <si>
    <t xml:space="preserve">D056</t>
  </si>
  <si>
    <t xml:space="preserve">Sawai Madhopur</t>
  </si>
  <si>
    <t xml:space="preserve">D057</t>
  </si>
  <si>
    <t xml:space="preserve">Bundi</t>
  </si>
  <si>
    <t xml:space="preserve">D058</t>
  </si>
  <si>
    <t xml:space="preserve">Kota</t>
  </si>
  <si>
    <t xml:space="preserve">D059</t>
  </si>
  <si>
    <t xml:space="preserve">Alwar</t>
  </si>
  <si>
    <t xml:space="preserve">D060</t>
  </si>
  <si>
    <t xml:space="preserve">Bharatpur</t>
  </si>
  <si>
    <t xml:space="preserve">D061</t>
  </si>
  <si>
    <t xml:space="preserve">Dausa</t>
  </si>
  <si>
    <t xml:space="preserve">D062</t>
  </si>
  <si>
    <t xml:space="preserve">Shekhawati</t>
  </si>
  <si>
    <t xml:space="preserve">Region; coordinates approximate centre</t>
  </si>
  <si>
    <t xml:space="preserve">D063</t>
  </si>
  <si>
    <t xml:space="preserve">Mandawa</t>
  </si>
  <si>
    <t xml:space="preserve">D064</t>
  </si>
  <si>
    <t xml:space="preserve">Nawalgarh</t>
  </si>
  <si>
    <t xml:space="preserve">D065</t>
  </si>
  <si>
    <t xml:space="preserve">Barmer</t>
  </si>
  <si>
    <t xml:space="preserve">D066</t>
  </si>
  <si>
    <t xml:space="preserve">Nagaur</t>
  </si>
  <si>
    <t xml:space="preserve">D067</t>
  </si>
  <si>
    <t xml:space="preserve">Kumbhalgarh</t>
  </si>
  <si>
    <t xml:space="preserve">D068</t>
  </si>
  <si>
    <t xml:space="preserve">Ranakpur</t>
  </si>
  <si>
    <t xml:space="preserve">D069</t>
  </si>
  <si>
    <t xml:space="preserve">Nathdwara</t>
  </si>
  <si>
    <t xml:space="preserve">D070</t>
  </si>
  <si>
    <t xml:space="preserve">Neemrana</t>
  </si>
  <si>
    <t xml:space="preserve">D071</t>
  </si>
  <si>
    <t xml:space="preserve">Osian</t>
  </si>
  <si>
    <t xml:space="preserve">D072</t>
  </si>
  <si>
    <t xml:space="preserve">Dholpur</t>
  </si>
  <si>
    <t xml:space="preserve">D073</t>
  </si>
  <si>
    <t xml:space="preserve">Karauli</t>
  </si>
  <si>
    <t xml:space="preserve">D074</t>
  </si>
  <si>
    <t xml:space="preserve">Tonk</t>
  </si>
  <si>
    <t xml:space="preserve">D075</t>
  </si>
  <si>
    <t xml:space="preserve">Banswara</t>
  </si>
  <si>
    <t xml:space="preserve">D076</t>
  </si>
  <si>
    <t xml:space="preserve">Ahmedabad</t>
  </si>
  <si>
    <t xml:space="preserve">Gujarat</t>
  </si>
  <si>
    <t xml:space="preserve">D077</t>
  </si>
  <si>
    <t xml:space="preserve">Vadodara</t>
  </si>
  <si>
    <t xml:space="preserve">D078</t>
  </si>
  <si>
    <t xml:space="preserve">Surat</t>
  </si>
  <si>
    <t xml:space="preserve">D079</t>
  </si>
  <si>
    <t xml:space="preserve">Rajkot</t>
  </si>
  <si>
    <t xml:space="preserve">D080</t>
  </si>
  <si>
    <t xml:space="preserve">Dwarka</t>
  </si>
  <si>
    <t xml:space="preserve">D081</t>
  </si>
  <si>
    <t xml:space="preserve">Somnath</t>
  </si>
  <si>
    <t xml:space="preserve">D082</t>
  </si>
  <si>
    <t xml:space="preserve">Gir</t>
  </si>
  <si>
    <t xml:space="preserve">D083</t>
  </si>
  <si>
    <t xml:space="preserve">Kutch</t>
  </si>
  <si>
    <t xml:space="preserve">D084</t>
  </si>
  <si>
    <t xml:space="preserve">Bhuj</t>
  </si>
  <si>
    <t xml:space="preserve">D085</t>
  </si>
  <si>
    <t xml:space="preserve">Mandvi</t>
  </si>
  <si>
    <t xml:space="preserve">D086</t>
  </si>
  <si>
    <t xml:space="preserve">Dholavira</t>
  </si>
  <si>
    <t xml:space="preserve">D087</t>
  </si>
  <si>
    <t xml:space="preserve">Modhera</t>
  </si>
  <si>
    <t xml:space="preserve">D088</t>
  </si>
  <si>
    <t xml:space="preserve">Patan</t>
  </si>
  <si>
    <t xml:space="preserve">D089</t>
  </si>
  <si>
    <t xml:space="preserve">Champaner</t>
  </si>
  <si>
    <t xml:space="preserve">D090</t>
  </si>
  <si>
    <t xml:space="preserve">Saputara</t>
  </si>
  <si>
    <t xml:space="preserve">D091</t>
  </si>
  <si>
    <t xml:space="preserve">Junagadh</t>
  </si>
  <si>
    <t xml:space="preserve">D092</t>
  </si>
  <si>
    <t xml:space="preserve">Palitana</t>
  </si>
  <si>
    <t xml:space="preserve">D093</t>
  </si>
  <si>
    <t xml:space="preserve">Porbandar</t>
  </si>
  <si>
    <t xml:space="preserve">D094</t>
  </si>
  <si>
    <t xml:space="preserve">Gandhinagar</t>
  </si>
  <si>
    <t xml:space="preserve">D095</t>
  </si>
  <si>
    <t xml:space="preserve">Siddhpur</t>
  </si>
  <si>
    <t xml:space="preserve">D096</t>
  </si>
  <si>
    <t xml:space="preserve">Mumbai</t>
  </si>
  <si>
    <t xml:space="preserve">Maharashtra</t>
  </si>
  <si>
    <t xml:space="preserve">D097</t>
  </si>
  <si>
    <t xml:space="preserve">Pune</t>
  </si>
  <si>
    <t xml:space="preserve">D098</t>
  </si>
  <si>
    <t xml:space="preserve">Lonavala</t>
  </si>
  <si>
    <t xml:space="preserve">D099</t>
  </si>
  <si>
    <t xml:space="preserve">Khandala</t>
  </si>
  <si>
    <t xml:space="preserve">D100</t>
  </si>
  <si>
    <t xml:space="preserve">Mahabaleshwar</t>
  </si>
  <si>
    <t xml:space="preserve">D101</t>
  </si>
  <si>
    <t xml:space="preserve">Panchgani</t>
  </si>
  <si>
    <t xml:space="preserve">D102</t>
  </si>
  <si>
    <t xml:space="preserve">Nashik</t>
  </si>
  <si>
    <t xml:space="preserve">D103</t>
  </si>
  <si>
    <t xml:space="preserve">Shirdi</t>
  </si>
  <si>
    <t xml:space="preserve">D104</t>
  </si>
  <si>
    <t xml:space="preserve">Chhatrapati Sambhajinagar</t>
  </si>
  <si>
    <t xml:space="preserve">D105</t>
  </si>
  <si>
    <t xml:space="preserve">Ajanta</t>
  </si>
  <si>
    <t xml:space="preserve">D106</t>
  </si>
  <si>
    <t xml:space="preserve">Ellora</t>
  </si>
  <si>
    <t xml:space="preserve">D107</t>
  </si>
  <si>
    <t xml:space="preserve">Alibaug</t>
  </si>
  <si>
    <t xml:space="preserve">D108</t>
  </si>
  <si>
    <t xml:space="preserve">Matheran</t>
  </si>
  <si>
    <t xml:space="preserve">D109</t>
  </si>
  <si>
    <t xml:space="preserve">Kolhapur</t>
  </si>
  <si>
    <t xml:space="preserve">D110</t>
  </si>
  <si>
    <t xml:space="preserve">Ratnagiri</t>
  </si>
  <si>
    <t xml:space="preserve">D111</t>
  </si>
  <si>
    <t xml:space="preserve">Ganpatipule</t>
  </si>
  <si>
    <t xml:space="preserve">D112</t>
  </si>
  <si>
    <t xml:space="preserve">Tarkarli</t>
  </si>
  <si>
    <t xml:space="preserve">D113</t>
  </si>
  <si>
    <t xml:space="preserve">Nagpur</t>
  </si>
  <si>
    <t xml:space="preserve">D114</t>
  </si>
  <si>
    <t xml:space="preserve">Lonar</t>
  </si>
  <si>
    <t xml:space="preserve">D115</t>
  </si>
  <si>
    <t xml:space="preserve">Bhandardara</t>
  </si>
  <si>
    <t xml:space="preserve">D116</t>
  </si>
  <si>
    <t xml:space="preserve">Igatpuri</t>
  </si>
  <si>
    <t xml:space="preserve">D117</t>
  </si>
  <si>
    <t xml:space="preserve">Murud-Janjira</t>
  </si>
  <si>
    <t xml:space="preserve">D118</t>
  </si>
  <si>
    <t xml:space="preserve">Elephanta Island</t>
  </si>
  <si>
    <t xml:space="preserve">D119</t>
  </si>
  <si>
    <t xml:space="preserve">Satara</t>
  </si>
  <si>
    <t xml:space="preserve">D120</t>
  </si>
  <si>
    <t xml:space="preserve">Amboli</t>
  </si>
  <si>
    <t xml:space="preserve">D121</t>
  </si>
  <si>
    <t xml:space="preserve">Panaji</t>
  </si>
  <si>
    <t xml:space="preserve">D122</t>
  </si>
  <si>
    <t xml:space="preserve">North Goa</t>
  </si>
  <si>
    <t xml:space="preserve">District; coordinates approximate centre</t>
  </si>
  <si>
    <t xml:space="preserve">D123</t>
  </si>
  <si>
    <t xml:space="preserve">South Goa</t>
  </si>
  <si>
    <t xml:space="preserve">D124</t>
  </si>
  <si>
    <t xml:space="preserve">Calangute</t>
  </si>
  <si>
    <t xml:space="preserve">D125</t>
  </si>
  <si>
    <t xml:space="preserve">Baga</t>
  </si>
  <si>
    <t xml:space="preserve">D126</t>
  </si>
  <si>
    <t xml:space="preserve">Anjuna</t>
  </si>
  <si>
    <t xml:space="preserve">D127</t>
  </si>
  <si>
    <t xml:space="preserve">Vagator</t>
  </si>
  <si>
    <t xml:space="preserve">D128</t>
  </si>
  <si>
    <t xml:space="preserve">Candolim</t>
  </si>
  <si>
    <t xml:space="preserve">D129</t>
  </si>
  <si>
    <t xml:space="preserve">Palolem</t>
  </si>
  <si>
    <t xml:space="preserve">D130</t>
  </si>
  <si>
    <t xml:space="preserve">Colva</t>
  </si>
  <si>
    <t xml:space="preserve">D131</t>
  </si>
  <si>
    <t xml:space="preserve">Old Goa</t>
  </si>
  <si>
    <t xml:space="preserve">D132</t>
  </si>
  <si>
    <t xml:space="preserve">Dudhsagar</t>
  </si>
  <si>
    <t xml:space="preserve">D133</t>
  </si>
  <si>
    <t xml:space="preserve">Morjim</t>
  </si>
  <si>
    <t xml:space="preserve">D134</t>
  </si>
  <si>
    <t xml:space="preserve">Arambol</t>
  </si>
  <si>
    <t xml:space="preserve">D135</t>
  </si>
  <si>
    <t xml:space="preserve">Agonda</t>
  </si>
  <si>
    <t xml:space="preserve">D136</t>
  </si>
  <si>
    <t xml:space="preserve">Bengaluru</t>
  </si>
  <si>
    <t xml:space="preserve">D137</t>
  </si>
  <si>
    <t xml:space="preserve">Coorg</t>
  </si>
  <si>
    <t xml:space="preserve">Region; coordinates are for Madikeri</t>
  </si>
  <si>
    <t xml:space="preserve">D138</t>
  </si>
  <si>
    <t xml:space="preserve">Chikmagalur</t>
  </si>
  <si>
    <t xml:space="preserve">D139</t>
  </si>
  <si>
    <t xml:space="preserve">Gokarna</t>
  </si>
  <si>
    <t xml:space="preserve">D140</t>
  </si>
  <si>
    <t xml:space="preserve">Udupi</t>
  </si>
  <si>
    <t xml:space="preserve">D141</t>
  </si>
  <si>
    <t xml:space="preserve">Mangaluru</t>
  </si>
  <si>
    <t xml:space="preserve">D142</t>
  </si>
  <si>
    <t xml:space="preserve">Badami</t>
  </si>
  <si>
    <t xml:space="preserve">D143</t>
  </si>
  <si>
    <t xml:space="preserve">Aihole</t>
  </si>
  <si>
    <t xml:space="preserve">D144</t>
  </si>
  <si>
    <t xml:space="preserve">Pattadakal</t>
  </si>
  <si>
    <t xml:space="preserve">D145</t>
  </si>
  <si>
    <t xml:space="preserve">Belur</t>
  </si>
  <si>
    <t xml:space="preserve">D146</t>
  </si>
  <si>
    <t xml:space="preserve">Halebidu</t>
  </si>
  <si>
    <t xml:space="preserve">D147</t>
  </si>
  <si>
    <t xml:space="preserve">Shivamogga</t>
  </si>
  <si>
    <t xml:space="preserve">D148</t>
  </si>
  <si>
    <t xml:space="preserve">Jog Falls</t>
  </si>
  <si>
    <t xml:space="preserve">D149</t>
  </si>
  <si>
    <t xml:space="preserve">Kabini</t>
  </si>
  <si>
    <t xml:space="preserve">D150</t>
  </si>
  <si>
    <t xml:space="preserve">Bandipur</t>
  </si>
  <si>
    <t xml:space="preserve">D151</t>
  </si>
  <si>
    <t xml:space="preserve">Dandeli</t>
  </si>
  <si>
    <t xml:space="preserve">D152</t>
  </si>
  <si>
    <t xml:space="preserve">Sakleshpur</t>
  </si>
  <si>
    <t xml:space="preserve">D153</t>
  </si>
  <si>
    <t xml:space="preserve">Murudeshwar</t>
  </si>
  <si>
    <t xml:space="preserve">D154</t>
  </si>
  <si>
    <t xml:space="preserve">Sringeri</t>
  </si>
  <si>
    <t xml:space="preserve">D155</t>
  </si>
  <si>
    <t xml:space="preserve">Dharmasthala</t>
  </si>
  <si>
    <t xml:space="preserve">D156</t>
  </si>
  <si>
    <t xml:space="preserve">Chitradurga</t>
  </si>
  <si>
    <t xml:space="preserve">D157</t>
  </si>
  <si>
    <t xml:space="preserve">Vijayapura</t>
  </si>
  <si>
    <t xml:space="preserve">D158</t>
  </si>
  <si>
    <t xml:space="preserve">Bidar</t>
  </si>
  <si>
    <t xml:space="preserve">D159</t>
  </si>
  <si>
    <t xml:space="preserve">Anegundi</t>
  </si>
  <si>
    <t xml:space="preserve">D160</t>
  </si>
  <si>
    <t xml:space="preserve">Kudremukh</t>
  </si>
  <si>
    <t xml:space="preserve">D161</t>
  </si>
  <si>
    <t xml:space="preserve">Agumbe</t>
  </si>
  <si>
    <t xml:space="preserve">D162</t>
  </si>
  <si>
    <t xml:space="preserve">Yana</t>
  </si>
  <si>
    <t xml:space="preserve">D163</t>
  </si>
  <si>
    <t xml:space="preserve">Nagarhole</t>
  </si>
  <si>
    <t xml:space="preserve">D164</t>
  </si>
  <si>
    <t xml:space="preserve">Chennai</t>
  </si>
  <si>
    <t xml:space="preserve">D165</t>
  </si>
  <si>
    <t xml:space="preserve">Mahabalipuram</t>
  </si>
  <si>
    <t xml:space="preserve">D166</t>
  </si>
  <si>
    <t xml:space="preserve">Kanchipuram</t>
  </si>
  <si>
    <t xml:space="preserve">D167</t>
  </si>
  <si>
    <t xml:space="preserve">Madurai</t>
  </si>
  <si>
    <t xml:space="preserve">D168</t>
  </si>
  <si>
    <t xml:space="preserve">Thanjavur</t>
  </si>
  <si>
    <t xml:space="preserve">D169</t>
  </si>
  <si>
    <t xml:space="preserve">Trichy</t>
  </si>
  <si>
    <t xml:space="preserve">D170</t>
  </si>
  <si>
    <t xml:space="preserve">Kanyakumari</t>
  </si>
  <si>
    <t xml:space="preserve">D171</t>
  </si>
  <si>
    <t xml:space="preserve">Ooty</t>
  </si>
  <si>
    <t xml:space="preserve">D172</t>
  </si>
  <si>
    <t xml:space="preserve">Coonoor</t>
  </si>
  <si>
    <t xml:space="preserve">D173</t>
  </si>
  <si>
    <t xml:space="preserve">Kodaikanal</t>
  </si>
  <si>
    <t xml:space="preserve">D174</t>
  </si>
  <si>
    <t xml:space="preserve">Yercaud</t>
  </si>
  <si>
    <t xml:space="preserve">D175</t>
  </si>
  <si>
    <t xml:space="preserve">Coimbatore</t>
  </si>
  <si>
    <t xml:space="preserve">D176</t>
  </si>
  <si>
    <t xml:space="preserve">Tirunelveli</t>
  </si>
  <si>
    <t xml:space="preserve">D177</t>
  </si>
  <si>
    <t xml:space="preserve">Kumbakonam</t>
  </si>
  <si>
    <t xml:space="preserve">D178</t>
  </si>
  <si>
    <t xml:space="preserve">Chidambaram</t>
  </si>
  <si>
    <t xml:space="preserve">D179</t>
  </si>
  <si>
    <t xml:space="preserve">Srirangam</t>
  </si>
  <si>
    <t xml:space="preserve">D180</t>
  </si>
  <si>
    <t xml:space="preserve">Velankanni</t>
  </si>
  <si>
    <t xml:space="preserve">D181</t>
  </si>
  <si>
    <t xml:space="preserve">Tiruvannamalai</t>
  </si>
  <si>
    <t xml:space="preserve">D182</t>
  </si>
  <si>
    <t xml:space="preserve">Courtallam</t>
  </si>
  <si>
    <t xml:space="preserve">D183</t>
  </si>
  <si>
    <t xml:space="preserve">Dhanushkodi</t>
  </si>
  <si>
    <t xml:space="preserve">D184</t>
  </si>
  <si>
    <t xml:space="preserve">Chettinad</t>
  </si>
  <si>
    <t xml:space="preserve">Region; coordinates are for Karaikudi</t>
  </si>
  <si>
    <t xml:space="preserve">D185</t>
  </si>
  <si>
    <t xml:space="preserve">Karaikudi</t>
  </si>
  <si>
    <t xml:space="preserve">D186</t>
  </si>
  <si>
    <t xml:space="preserve">Nagapattinam</t>
  </si>
  <si>
    <t xml:space="preserve">D187</t>
  </si>
  <si>
    <t xml:space="preserve">Pichavaram</t>
  </si>
  <si>
    <t xml:space="preserve">D188</t>
  </si>
  <si>
    <t xml:space="preserve">Mudumalai</t>
  </si>
  <si>
    <t xml:space="preserve">D189</t>
  </si>
  <si>
    <t xml:space="preserve">Valparai</t>
  </si>
  <si>
    <t xml:space="preserve">D190</t>
  </si>
  <si>
    <t xml:space="preserve">Pollachi</t>
  </si>
  <si>
    <t xml:space="preserve">D191</t>
  </si>
  <si>
    <t xml:space="preserve">Vellore</t>
  </si>
  <si>
    <t xml:space="preserve">D192</t>
  </si>
  <si>
    <t xml:space="preserve">Gingee</t>
  </si>
  <si>
    <t xml:space="preserve">D193</t>
  </si>
  <si>
    <t xml:space="preserve">Tiruchendur</t>
  </si>
  <si>
    <t xml:space="preserve">D194</t>
  </si>
  <si>
    <t xml:space="preserve">Palani</t>
  </si>
  <si>
    <t xml:space="preserve">D195</t>
  </si>
  <si>
    <t xml:space="preserve">Sathanur</t>
  </si>
  <si>
    <t xml:space="preserve">D196</t>
  </si>
  <si>
    <t xml:space="preserve">Yelagiri</t>
  </si>
  <si>
    <t xml:space="preserve">D197</t>
  </si>
  <si>
    <t xml:space="preserve">Poompuhar</t>
  </si>
  <si>
    <t xml:space="preserve">D198</t>
  </si>
  <si>
    <t xml:space="preserve">Alleppey</t>
  </si>
  <si>
    <t xml:space="preserve">D199</t>
  </si>
  <si>
    <t xml:space="preserve">Kumarakom</t>
  </si>
  <si>
    <t xml:space="preserve">D200</t>
  </si>
  <si>
    <t xml:space="preserve">Thekkady</t>
  </si>
  <si>
    <t xml:space="preserve">D201</t>
  </si>
  <si>
    <t xml:space="preserve">Wayanad</t>
  </si>
  <si>
    <t xml:space="preserve">D202</t>
  </si>
  <si>
    <t xml:space="preserve">Kovalam</t>
  </si>
  <si>
    <t xml:space="preserve">D203</t>
  </si>
  <si>
    <t xml:space="preserve">Varkala</t>
  </si>
  <si>
    <t xml:space="preserve">D204</t>
  </si>
  <si>
    <t xml:space="preserve">Thiruvananthapuram</t>
  </si>
  <si>
    <t xml:space="preserve">D205</t>
  </si>
  <si>
    <t xml:space="preserve">Kozhikode</t>
  </si>
  <si>
    <t xml:space="preserve">D206</t>
  </si>
  <si>
    <t xml:space="preserve">Kannur</t>
  </si>
  <si>
    <t xml:space="preserve">D207</t>
  </si>
  <si>
    <t xml:space="preserve">Bekal</t>
  </si>
  <si>
    <t xml:space="preserve">D208</t>
  </si>
  <si>
    <t xml:space="preserve">Vagamon</t>
  </si>
  <si>
    <t xml:space="preserve">D209</t>
  </si>
  <si>
    <t xml:space="preserve">Ponmudi</t>
  </si>
  <si>
    <t xml:space="preserve">D210</t>
  </si>
  <si>
    <t xml:space="preserve">Athirappilly</t>
  </si>
  <si>
    <t xml:space="preserve">D211</t>
  </si>
  <si>
    <t xml:space="preserve">Marari</t>
  </si>
  <si>
    <t xml:space="preserve">D212</t>
  </si>
  <si>
    <t xml:space="preserve">Fort Kochi</t>
  </si>
  <si>
    <t xml:space="preserve">Part of Kochi</t>
  </si>
  <si>
    <t xml:space="preserve">D213</t>
  </si>
  <si>
    <t xml:space="preserve">Kollam</t>
  </si>
  <si>
    <t xml:space="preserve">D214</t>
  </si>
  <si>
    <t xml:space="preserve">Poovar</t>
  </si>
  <si>
    <t xml:space="preserve">D215</t>
  </si>
  <si>
    <t xml:space="preserve">Idukki</t>
  </si>
  <si>
    <t xml:space="preserve">D216</t>
  </si>
  <si>
    <t xml:space="preserve">Silent Valley</t>
  </si>
  <si>
    <t xml:space="preserve">D217</t>
  </si>
  <si>
    <t xml:space="preserve">Periyar</t>
  </si>
  <si>
    <t xml:space="preserve">Tiger reserve (adjacent to Thekkady)</t>
  </si>
  <si>
    <t xml:space="preserve">D218</t>
  </si>
  <si>
    <t xml:space="preserve">Guruvayur</t>
  </si>
  <si>
    <t xml:space="preserve">D219</t>
  </si>
  <si>
    <t xml:space="preserve">Sabarimala</t>
  </si>
  <si>
    <t xml:space="preserve">D220</t>
  </si>
  <si>
    <t xml:space="preserve">Thrissur</t>
  </si>
  <si>
    <t xml:space="preserve">D221</t>
  </si>
  <si>
    <t xml:space="preserve">Visakhapatnam</t>
  </si>
  <si>
    <t xml:space="preserve">Andhra Pradesh</t>
  </si>
  <si>
    <t xml:space="preserve">D222</t>
  </si>
  <si>
    <t xml:space="preserve">Tirupati</t>
  </si>
  <si>
    <t xml:space="preserve">D223</t>
  </si>
  <si>
    <t xml:space="preserve">Vijayawada</t>
  </si>
  <si>
    <t xml:space="preserve">D224</t>
  </si>
  <si>
    <t xml:space="preserve">Araku Valley</t>
  </si>
  <si>
    <t xml:space="preserve">D225</t>
  </si>
  <si>
    <t xml:space="preserve">Amaravati</t>
  </si>
  <si>
    <t xml:space="preserve">D226</t>
  </si>
  <si>
    <t xml:space="preserve">Srisailam</t>
  </si>
  <si>
    <t xml:space="preserve">D227</t>
  </si>
  <si>
    <t xml:space="preserve">Rajahmundry</t>
  </si>
  <si>
    <t xml:space="preserve">D228</t>
  </si>
  <si>
    <t xml:space="preserve">Gandikota</t>
  </si>
  <si>
    <t xml:space="preserve">D229</t>
  </si>
  <si>
    <t xml:space="preserve">Lepakshi</t>
  </si>
  <si>
    <t xml:space="preserve">D230</t>
  </si>
  <si>
    <t xml:space="preserve">Kurnool</t>
  </si>
  <si>
    <t xml:space="preserve">D231</t>
  </si>
  <si>
    <t xml:space="preserve">Horsley Hills</t>
  </si>
  <si>
    <t xml:space="preserve">D232</t>
  </si>
  <si>
    <t xml:space="preserve">Nellore</t>
  </si>
  <si>
    <t xml:space="preserve">D233</t>
  </si>
  <si>
    <t xml:space="preserve">Konaseema</t>
  </si>
  <si>
    <t xml:space="preserve">Region; coordinates are for Amalapuram</t>
  </si>
  <si>
    <t xml:space="preserve">D234</t>
  </si>
  <si>
    <t xml:space="preserve">Papikondalu</t>
  </si>
  <si>
    <t xml:space="preserve">Hill range/river cruise area; coordinates approximate</t>
  </si>
  <si>
    <t xml:space="preserve">D235</t>
  </si>
  <si>
    <t xml:space="preserve">Simhachalam</t>
  </si>
  <si>
    <t xml:space="preserve">D236</t>
  </si>
  <si>
    <t xml:space="preserve">Ahobilam</t>
  </si>
  <si>
    <t xml:space="preserve">D237</t>
  </si>
  <si>
    <t xml:space="preserve">Mangalagiri</t>
  </si>
  <si>
    <t xml:space="preserve">D238</t>
  </si>
  <si>
    <t xml:space="preserve">Machilipatnam</t>
  </si>
  <si>
    <t xml:space="preserve">D239</t>
  </si>
  <si>
    <t xml:space="preserve">Borra Caves</t>
  </si>
  <si>
    <t xml:space="preserve">D240</t>
  </si>
  <si>
    <t xml:space="preserve">Talakona</t>
  </si>
  <si>
    <t xml:space="preserve">D241</t>
  </si>
  <si>
    <t xml:space="preserve">Hyderabad</t>
  </si>
  <si>
    <t xml:space="preserve">Telangana</t>
  </si>
  <si>
    <t xml:space="preserve">D242</t>
  </si>
  <si>
    <t xml:space="preserve">Warangal</t>
  </si>
  <si>
    <t xml:space="preserve">D243</t>
  </si>
  <si>
    <t xml:space="preserve">Ramappa</t>
  </si>
  <si>
    <t xml:space="preserve">D244</t>
  </si>
  <si>
    <t xml:space="preserve">Bhadrachalam</t>
  </si>
  <si>
    <t xml:space="preserve">D245</t>
  </si>
  <si>
    <t xml:space="preserve">Yadadri</t>
  </si>
  <si>
    <t xml:space="preserve">D246</t>
  </si>
  <si>
    <t xml:space="preserve">Nagarjuna Sagar</t>
  </si>
  <si>
    <t xml:space="preserve">D247</t>
  </si>
  <si>
    <t xml:space="preserve">Basara</t>
  </si>
  <si>
    <t xml:space="preserve">D248</t>
  </si>
  <si>
    <t xml:space="preserve">Vemulawada</t>
  </si>
  <si>
    <t xml:space="preserve">D249</t>
  </si>
  <si>
    <t xml:space="preserve">Medak</t>
  </si>
  <si>
    <t xml:space="preserve">D250</t>
  </si>
  <si>
    <t xml:space="preserve">Adilabad</t>
  </si>
  <si>
    <t xml:space="preserve">D251</t>
  </si>
  <si>
    <t xml:space="preserve">Kuntala Falls</t>
  </si>
  <si>
    <t xml:space="preserve">D252</t>
  </si>
  <si>
    <t xml:space="preserve">Laknavaram</t>
  </si>
  <si>
    <t xml:space="preserve">D253</t>
  </si>
  <si>
    <t xml:space="preserve">Ananthagiri Hills</t>
  </si>
  <si>
    <t xml:space="preserve">D254</t>
  </si>
  <si>
    <t xml:space="preserve">Pocharam</t>
  </si>
  <si>
    <t xml:space="preserve">D255</t>
  </si>
  <si>
    <t xml:space="preserve">Thousand Pillar Temple</t>
  </si>
  <si>
    <t xml:space="preserve">Single monument (Hanamkonda/Warangal) – better modelled as a Place</t>
  </si>
  <si>
    <t xml:space="preserve">D256</t>
  </si>
  <si>
    <t xml:space="preserve">Bhubaneswar</t>
  </si>
  <si>
    <t xml:space="preserve">Odisha</t>
  </si>
  <si>
    <t xml:space="preserve">East</t>
  </si>
  <si>
    <t xml:space="preserve">D257</t>
  </si>
  <si>
    <t xml:space="preserve">Puri</t>
  </si>
  <si>
    <t xml:space="preserve">D258</t>
  </si>
  <si>
    <t xml:space="preserve">Konark</t>
  </si>
  <si>
    <t xml:space="preserve">D259</t>
  </si>
  <si>
    <t xml:space="preserve">Chilika Lake</t>
  </si>
  <si>
    <t xml:space="preserve">D260</t>
  </si>
  <si>
    <t xml:space="preserve">Cuttack</t>
  </si>
  <si>
    <t xml:space="preserve">D261</t>
  </si>
  <si>
    <t xml:space="preserve">Sambalpur</t>
  </si>
  <si>
    <t xml:space="preserve">D262</t>
  </si>
  <si>
    <t xml:space="preserve">Gopalpur</t>
  </si>
  <si>
    <t xml:space="preserve">D263</t>
  </si>
  <si>
    <t xml:space="preserve">Baripada</t>
  </si>
  <si>
    <t xml:space="preserve">D264</t>
  </si>
  <si>
    <t xml:space="preserve">Simlipal</t>
  </si>
  <si>
    <t xml:space="preserve">National park; coordinates approximate</t>
  </si>
  <si>
    <t xml:space="preserve">D265</t>
  </si>
  <si>
    <t xml:space="preserve">Daringbadi</t>
  </si>
  <si>
    <t xml:space="preserve">D266</t>
  </si>
  <si>
    <t xml:space="preserve">Dhauli</t>
  </si>
  <si>
    <t xml:space="preserve">D267</t>
  </si>
  <si>
    <t xml:space="preserve">Raghurajpur</t>
  </si>
  <si>
    <t xml:space="preserve">D268</t>
  </si>
  <si>
    <t xml:space="preserve">Chandipur</t>
  </si>
  <si>
    <t xml:space="preserve">D269</t>
  </si>
  <si>
    <t xml:space="preserve">Bhitarkanika</t>
  </si>
  <si>
    <t xml:space="preserve">D270</t>
  </si>
  <si>
    <t xml:space="preserve">Jeypore</t>
  </si>
  <si>
    <t xml:space="preserve">D271</t>
  </si>
  <si>
    <t xml:space="preserve">Kolkata</t>
  </si>
  <si>
    <t xml:space="preserve">West Bengal</t>
  </si>
  <si>
    <t xml:space="preserve">D272</t>
  </si>
  <si>
    <t xml:space="preserve">Darjeeling</t>
  </si>
  <si>
    <t xml:space="preserve">D273</t>
  </si>
  <si>
    <t xml:space="preserve">Kalimpong</t>
  </si>
  <si>
    <t xml:space="preserve">D274</t>
  </si>
  <si>
    <t xml:space="preserve">Siliguri</t>
  </si>
  <si>
    <t xml:space="preserve">D275</t>
  </si>
  <si>
    <t xml:space="preserve">Sundarbans</t>
  </si>
  <si>
    <t xml:space="preserve">Delta region; coordinates approximate centre</t>
  </si>
  <si>
    <t xml:space="preserve">D276</t>
  </si>
  <si>
    <t xml:space="preserve">Digha</t>
  </si>
  <si>
    <t xml:space="preserve">D277</t>
  </si>
  <si>
    <t xml:space="preserve">Shantiniketan</t>
  </si>
  <si>
    <t xml:space="preserve">D278</t>
  </si>
  <si>
    <t xml:space="preserve">Murshidabad</t>
  </si>
  <si>
    <t xml:space="preserve">D279</t>
  </si>
  <si>
    <t xml:space="preserve">Bishnupur</t>
  </si>
  <si>
    <t xml:space="preserve">D280</t>
  </si>
  <si>
    <t xml:space="preserve">Jalpaiguri</t>
  </si>
  <si>
    <t xml:space="preserve">D281</t>
  </si>
  <si>
    <t xml:space="preserve">Dooars</t>
  </si>
  <si>
    <t xml:space="preserve">D282</t>
  </si>
  <si>
    <t xml:space="preserve">Mirik</t>
  </si>
  <si>
    <t xml:space="preserve">D283</t>
  </si>
  <si>
    <t xml:space="preserve">Kurseong</t>
  </si>
  <si>
    <t xml:space="preserve">D284</t>
  </si>
  <si>
    <t xml:space="preserve">Mayapur</t>
  </si>
  <si>
    <t xml:space="preserve">D285</t>
  </si>
  <si>
    <t xml:space="preserve">Gangasagar</t>
  </si>
  <si>
    <t xml:space="preserve">D286</t>
  </si>
  <si>
    <t xml:space="preserve">Bodh Gaya</t>
  </si>
  <si>
    <t xml:space="preserve">Bihar</t>
  </si>
  <si>
    <t xml:space="preserve">D287</t>
  </si>
  <si>
    <t xml:space="preserve">Patna</t>
  </si>
  <si>
    <t xml:space="preserve">D288</t>
  </si>
  <si>
    <t xml:space="preserve">Nalanda</t>
  </si>
  <si>
    <t xml:space="preserve">D289</t>
  </si>
  <si>
    <t xml:space="preserve">Rajgir</t>
  </si>
  <si>
    <t xml:space="preserve">D290</t>
  </si>
  <si>
    <t xml:space="preserve">Vaishali</t>
  </si>
  <si>
    <t xml:space="preserve">D291</t>
  </si>
  <si>
    <t xml:space="preserve">Pawapuri</t>
  </si>
  <si>
    <t xml:space="preserve">D292</t>
  </si>
  <si>
    <t xml:space="preserve">Gaya</t>
  </si>
  <si>
    <t xml:space="preserve">D293</t>
  </si>
  <si>
    <t xml:space="preserve">Valmiki Nagar</t>
  </si>
  <si>
    <t xml:space="preserve">D294</t>
  </si>
  <si>
    <t xml:space="preserve">Vikramshila</t>
  </si>
  <si>
    <t xml:space="preserve">D295</t>
  </si>
  <si>
    <t xml:space="preserve">Kesaria</t>
  </si>
  <si>
    <t xml:space="preserve">D296</t>
  </si>
  <si>
    <t xml:space="preserve">Ranchi</t>
  </si>
  <si>
    <t xml:space="preserve">Jharkhand</t>
  </si>
  <si>
    <t xml:space="preserve">D297</t>
  </si>
  <si>
    <t xml:space="preserve">Deoghar</t>
  </si>
  <si>
    <t xml:space="preserve">D298</t>
  </si>
  <si>
    <t xml:space="preserve">Netarhat</t>
  </si>
  <si>
    <t xml:space="preserve">D299</t>
  </si>
  <si>
    <t xml:space="preserve">Jamshedpur</t>
  </si>
  <si>
    <t xml:space="preserve">D300</t>
  </si>
  <si>
    <t xml:space="preserve">Hazaribagh</t>
  </si>
  <si>
    <t xml:space="preserve">D301</t>
  </si>
  <si>
    <t xml:space="preserve">Betla</t>
  </si>
  <si>
    <t xml:space="preserve">D302</t>
  </si>
  <si>
    <t xml:space="preserve">Dassam Falls</t>
  </si>
  <si>
    <t xml:space="preserve">D303</t>
  </si>
  <si>
    <t xml:space="preserve">Hundru Falls</t>
  </si>
  <si>
    <t xml:space="preserve">D304</t>
  </si>
  <si>
    <t xml:space="preserve">Patratu</t>
  </si>
  <si>
    <t xml:space="preserve">D305</t>
  </si>
  <si>
    <t xml:space="preserve">Parasnath</t>
  </si>
  <si>
    <t xml:space="preserve">D306</t>
  </si>
  <si>
    <t xml:space="preserve">Raipur</t>
  </si>
  <si>
    <t xml:space="preserve">Chhattisgarh</t>
  </si>
  <si>
    <t xml:space="preserve">D307</t>
  </si>
  <si>
    <t xml:space="preserve">Jagdalpur</t>
  </si>
  <si>
    <t xml:space="preserve">D308</t>
  </si>
  <si>
    <t xml:space="preserve">Chitrakote Falls</t>
  </si>
  <si>
    <t xml:space="preserve">D309</t>
  </si>
  <si>
    <t xml:space="preserve">Tirathgarh Falls</t>
  </si>
  <si>
    <t xml:space="preserve">D310</t>
  </si>
  <si>
    <t xml:space="preserve">Bastar</t>
  </si>
  <si>
    <t xml:space="preserve">D311</t>
  </si>
  <si>
    <t xml:space="preserve">Sirpur</t>
  </si>
  <si>
    <t xml:space="preserve">D312</t>
  </si>
  <si>
    <t xml:space="preserve">Mainpat</t>
  </si>
  <si>
    <t xml:space="preserve">D313</t>
  </si>
  <si>
    <t xml:space="preserve">Barnawapara</t>
  </si>
  <si>
    <t xml:space="preserve">D314</t>
  </si>
  <si>
    <t xml:space="preserve">Kanger Valley</t>
  </si>
  <si>
    <t xml:space="preserve">D315</t>
  </si>
  <si>
    <t xml:space="preserve">Bhoramdeo</t>
  </si>
  <si>
    <t xml:space="preserve">D316</t>
  </si>
  <si>
    <t xml:space="preserve">Bhopal</t>
  </si>
  <si>
    <t xml:space="preserve">D317</t>
  </si>
  <si>
    <t xml:space="preserve">Indore</t>
  </si>
  <si>
    <t xml:space="preserve">D318</t>
  </si>
  <si>
    <t xml:space="preserve">Ujjain</t>
  </si>
  <si>
    <t xml:space="preserve">D319</t>
  </si>
  <si>
    <t xml:space="preserve">Pachmarhi</t>
  </si>
  <si>
    <t xml:space="preserve">D320</t>
  </si>
  <si>
    <t xml:space="preserve">Mandu</t>
  </si>
  <si>
    <t xml:space="preserve">D321</t>
  </si>
  <si>
    <t xml:space="preserve">Sanchi</t>
  </si>
  <si>
    <t xml:space="preserve">D322</t>
  </si>
  <si>
    <t xml:space="preserve">Bhimbetka</t>
  </si>
  <si>
    <t xml:space="preserve">D323</t>
  </si>
  <si>
    <t xml:space="preserve">Omkareshwar</t>
  </si>
  <si>
    <t xml:space="preserve">D324</t>
  </si>
  <si>
    <t xml:space="preserve">Maheshwar</t>
  </si>
  <si>
    <t xml:space="preserve">D325</t>
  </si>
  <si>
    <t xml:space="preserve">Amarkantak</t>
  </si>
  <si>
    <t xml:space="preserve">D326</t>
  </si>
  <si>
    <t xml:space="preserve">Kanha</t>
  </si>
  <si>
    <t xml:space="preserve">D327</t>
  </si>
  <si>
    <t xml:space="preserve">Bandhavgarh</t>
  </si>
  <si>
    <t xml:space="preserve">D328</t>
  </si>
  <si>
    <t xml:space="preserve">Pench</t>
  </si>
  <si>
    <t xml:space="preserve">D329</t>
  </si>
  <si>
    <t xml:space="preserve">Satpura</t>
  </si>
  <si>
    <t xml:space="preserve">D330</t>
  </si>
  <si>
    <t xml:space="preserve">Chanderi</t>
  </si>
  <si>
    <t xml:space="preserve">D331</t>
  </si>
  <si>
    <t xml:space="preserve">Burhanpur</t>
  </si>
  <si>
    <t xml:space="preserve">D332</t>
  </si>
  <si>
    <t xml:space="preserve">Shivpuri</t>
  </si>
  <si>
    <t xml:space="preserve">D333</t>
  </si>
  <si>
    <t xml:space="preserve">Guwahati</t>
  </si>
  <si>
    <t xml:space="preserve">Assam</t>
  </si>
  <si>
    <t xml:space="preserve">North-East</t>
  </si>
  <si>
    <t xml:space="preserve">D334</t>
  </si>
  <si>
    <t xml:space="preserve">Kaziranga</t>
  </si>
  <si>
    <t xml:space="preserve">D335</t>
  </si>
  <si>
    <t xml:space="preserve">Manas</t>
  </si>
  <si>
    <t xml:space="preserve">D336</t>
  </si>
  <si>
    <t xml:space="preserve">Majuli</t>
  </si>
  <si>
    <t xml:space="preserve">D337</t>
  </si>
  <si>
    <t xml:space="preserve">Sivasagar</t>
  </si>
  <si>
    <t xml:space="preserve">D338</t>
  </si>
  <si>
    <t xml:space="preserve">Jorhat</t>
  </si>
  <si>
    <t xml:space="preserve">D339</t>
  </si>
  <si>
    <t xml:space="preserve">Haflong</t>
  </si>
  <si>
    <t xml:space="preserve">D340</t>
  </si>
  <si>
    <t xml:space="preserve">Tezpur</t>
  </si>
  <si>
    <t xml:space="preserve">D341</t>
  </si>
  <si>
    <t xml:space="preserve">Dibrugarh</t>
  </si>
  <si>
    <t xml:space="preserve">D342</t>
  </si>
  <si>
    <t xml:space="preserve">Hajo</t>
  </si>
  <si>
    <t xml:space="preserve">D343</t>
  </si>
  <si>
    <t xml:space="preserve">Tawang</t>
  </si>
  <si>
    <t xml:space="preserve">Arunachal Pradesh</t>
  </si>
  <si>
    <t xml:space="preserve">D344</t>
  </si>
  <si>
    <t xml:space="preserve">Ziro</t>
  </si>
  <si>
    <t xml:space="preserve">D345</t>
  </si>
  <si>
    <t xml:space="preserve">Bomdila</t>
  </si>
  <si>
    <t xml:space="preserve">D346</t>
  </si>
  <si>
    <t xml:space="preserve">Dirang</t>
  </si>
  <si>
    <t xml:space="preserve">D347</t>
  </si>
  <si>
    <t xml:space="preserve">Itanagar</t>
  </si>
  <si>
    <t xml:space="preserve">D348</t>
  </si>
  <si>
    <t xml:space="preserve">Shillong</t>
  </si>
  <si>
    <t xml:space="preserve">Meghalaya</t>
  </si>
  <si>
    <t xml:space="preserve">D349</t>
  </si>
  <si>
    <t xml:space="preserve">Cherrapunji/Sohra</t>
  </si>
  <si>
    <t xml:space="preserve">Two spellings of one place</t>
  </si>
  <si>
    <t xml:space="preserve">D350</t>
  </si>
  <si>
    <t xml:space="preserve">Mawlynnong</t>
  </si>
  <si>
    <t xml:space="preserve">D351</t>
  </si>
  <si>
    <t xml:space="preserve">Dawki</t>
  </si>
  <si>
    <t xml:space="preserve">D352</t>
  </si>
  <si>
    <t xml:space="preserve">Aizawl</t>
  </si>
  <si>
    <t xml:space="preserve">Mizoram</t>
  </si>
  <si>
    <t xml:space="preserve">D353</t>
  </si>
  <si>
    <t xml:space="preserve">Champhai</t>
  </si>
  <si>
    <t xml:space="preserve">D354</t>
  </si>
  <si>
    <t xml:space="preserve">Kohima</t>
  </si>
  <si>
    <t xml:space="preserve">Nagaland</t>
  </si>
  <si>
    <t xml:space="preserve">D355</t>
  </si>
  <si>
    <t xml:space="preserve">Dzukou Valley</t>
  </si>
  <si>
    <t xml:space="preserve">D356</t>
  </si>
  <si>
    <t xml:space="preserve">Imphal</t>
  </si>
  <si>
    <t xml:space="preserve">Manipur</t>
  </si>
  <si>
    <t xml:space="preserve">D357</t>
  </si>
  <si>
    <t xml:space="preserve">Loktak Lake</t>
  </si>
  <si>
    <t xml:space="preserve">D358</t>
  </si>
  <si>
    <t xml:space="preserve">Ukhrul</t>
  </si>
  <si>
    <t xml:space="preserve">D359</t>
  </si>
  <si>
    <t xml:space="preserve">Agartala</t>
  </si>
  <si>
    <t xml:space="preserve">Tripura</t>
  </si>
  <si>
    <t xml:space="preserve">D360</t>
  </si>
  <si>
    <t xml:space="preserve">Unakoti</t>
  </si>
  <si>
    <t xml:space="preserve">D361</t>
  </si>
  <si>
    <t xml:space="preserve">Gangtok</t>
  </si>
  <si>
    <t xml:space="preserve">Sikkim</t>
  </si>
  <si>
    <t xml:space="preserve">D362</t>
  </si>
  <si>
    <t xml:space="preserve">Pelling</t>
  </si>
  <si>
    <t xml:space="preserve">D363</t>
  </si>
  <si>
    <t xml:space="preserve">Lachung</t>
  </si>
  <si>
    <t xml:space="preserve">D364</t>
  </si>
  <si>
    <t xml:space="preserve">Yumthang Valley</t>
  </si>
  <si>
    <t xml:space="preserve">D365</t>
  </si>
  <si>
    <t xml:space="preserve">Nathula</t>
  </si>
  <si>
    <t xml:space="preserve">D366</t>
  </si>
  <si>
    <t xml:space="preserve">Ravangla</t>
  </si>
  <si>
    <t xml:space="preserve">D367</t>
  </si>
  <si>
    <t xml:space="preserve">Namchi</t>
  </si>
  <si>
    <t xml:space="preserve">D368</t>
  </si>
  <si>
    <t xml:space="preserve">Auli</t>
  </si>
  <si>
    <t xml:space="preserve">D369</t>
  </si>
  <si>
    <t xml:space="preserve">Chopta</t>
  </si>
  <si>
    <t xml:space="preserve">D370</t>
  </si>
  <si>
    <t xml:space="preserve">Lansdowne</t>
  </si>
  <si>
    <t xml:space="preserve">D371</t>
  </si>
  <si>
    <t xml:space="preserve">Ranikhet</t>
  </si>
  <si>
    <t xml:space="preserve">D372</t>
  </si>
  <si>
    <t xml:space="preserve">Almora</t>
  </si>
  <si>
    <t xml:space="preserve">D373</t>
  </si>
  <si>
    <t xml:space="preserve">Mukteshwar</t>
  </si>
  <si>
    <t xml:space="preserve">D374</t>
  </si>
  <si>
    <t xml:space="preserve">Kausani</t>
  </si>
  <si>
    <t xml:space="preserve">D375</t>
  </si>
  <si>
    <t xml:space="preserve">Dhanaulti</t>
  </si>
  <si>
    <t xml:space="preserve">D376</t>
  </si>
  <si>
    <t xml:space="preserve">Chakrata</t>
  </si>
  <si>
    <t xml:space="preserve">D377</t>
  </si>
  <si>
    <t xml:space="preserve">McLeod Ganj</t>
  </si>
  <si>
    <t xml:space="preserve">D378</t>
  </si>
  <si>
    <t xml:space="preserve">Kasol</t>
  </si>
  <si>
    <t xml:space="preserve">D379</t>
  </si>
  <si>
    <t xml:space="preserve">Spiti Valley</t>
  </si>
  <si>
    <t xml:space="preserve">Valley; coordinates are for Kaza</t>
  </si>
  <si>
    <t xml:space="preserve">D380</t>
  </si>
  <si>
    <t xml:space="preserve">Kinnaur</t>
  </si>
  <si>
    <t xml:space="preserve">District; coordinates are for Reckong Peo/Kalpa</t>
  </si>
  <si>
    <t xml:space="preserve">D381</t>
  </si>
  <si>
    <t xml:space="preserve">Kullu</t>
  </si>
  <si>
    <t xml:space="preserve">D382</t>
  </si>
  <si>
    <t xml:space="preserve">Chamba</t>
  </si>
  <si>
    <t xml:space="preserve">D383</t>
  </si>
  <si>
    <t xml:space="preserve">Khajjiar</t>
  </si>
  <si>
    <t xml:space="preserve">D384</t>
  </si>
  <si>
    <t xml:space="preserve">Bir Billing</t>
  </si>
  <si>
    <t xml:space="preserve">D385</t>
  </si>
  <si>
    <t xml:space="preserve">Tirthan Valley</t>
  </si>
  <si>
    <t xml:space="preserve">D386</t>
  </si>
  <si>
    <t xml:space="preserve">Manikaran</t>
  </si>
  <si>
    <t xml:space="preserve">D387</t>
  </si>
  <si>
    <t xml:space="preserve">Kalpa</t>
  </si>
  <si>
    <t xml:space="preserve">D388</t>
  </si>
  <si>
    <t xml:space="preserve">Narkanda</t>
  </si>
  <si>
    <t xml:space="preserve">D389</t>
  </si>
  <si>
    <t xml:space="preserve">Kasauli</t>
  </si>
  <si>
    <t xml:space="preserve">D390</t>
  </si>
  <si>
    <t xml:space="preserve">Solang Valley</t>
  </si>
  <si>
    <t xml:space="preserve">D391</t>
  </si>
  <si>
    <t xml:space="preserve">Rohtang Pass</t>
  </si>
  <si>
    <t xml:space="preserve">D392</t>
  </si>
  <si>
    <t xml:space="preserve">Great Himalayan National Park</t>
  </si>
  <si>
    <t xml:space="preserve">D393</t>
  </si>
  <si>
    <t xml:space="preserve">Tso Moriri</t>
  </si>
  <si>
    <t xml:space="preserve">D394</t>
  </si>
  <si>
    <t xml:space="preserve">Zanskar</t>
  </si>
  <si>
    <t xml:space="preserve">D395</t>
  </si>
  <si>
    <t xml:space="preserve">Kargil</t>
  </si>
  <si>
    <t xml:space="preserve">D396</t>
  </si>
  <si>
    <t xml:space="preserve">Alchi</t>
  </si>
  <si>
    <t xml:space="preserve">D397</t>
  </si>
  <si>
    <t xml:space="preserve">Lamayuru</t>
  </si>
  <si>
    <t xml:space="preserve">D398</t>
  </si>
  <si>
    <t xml:space="preserve">Hemis</t>
  </si>
  <si>
    <t xml:space="preserve">D399</t>
  </si>
  <si>
    <t xml:space="preserve">Khardung La</t>
  </si>
  <si>
    <t xml:space="preserve">D400</t>
  </si>
  <si>
    <t xml:space="preserve">Magnetic Hill</t>
  </si>
  <si>
    <t xml:space="preserve">D401</t>
  </si>
  <si>
    <t xml:space="preserve">New Delhi</t>
  </si>
  <si>
    <t xml:space="preserve">Overlaps with Delhi – consider merging or treating as a sub-area</t>
  </si>
  <si>
    <t xml:space="preserve">D402</t>
  </si>
  <si>
    <t xml:space="preserve">Old Delhi</t>
  </si>
  <si>
    <t xml:space="preserve">Sub-area of Delhi</t>
  </si>
  <si>
    <t xml:space="preserve">D403</t>
  </si>
  <si>
    <t xml:space="preserve">Mehrauli</t>
  </si>
  <si>
    <t xml:space="preserve">D404</t>
  </si>
  <si>
    <t xml:space="preserve">Hauz Khas</t>
  </si>
  <si>
    <t xml:space="preserve">D405</t>
  </si>
  <si>
    <t xml:space="preserve">Nizamuddin</t>
  </si>
  <si>
    <t xml:space="preserve">D406</t>
  </si>
  <si>
    <t xml:space="preserve">Akshardham</t>
  </si>
  <si>
    <t xml:space="preserve">Single landmark in Delhi – better modelled as a Place</t>
  </si>
  <si>
    <t xml:space="preserve">D407</t>
  </si>
  <si>
    <t xml:space="preserve">Lotus Temple</t>
  </si>
  <si>
    <t xml:space="preserve">D408</t>
  </si>
  <si>
    <t xml:space="preserve">India Gate</t>
  </si>
  <si>
    <t xml:space="preserve">D409</t>
  </si>
  <si>
    <t xml:space="preserve">Red Fort</t>
  </si>
  <si>
    <t xml:space="preserve">D410</t>
  </si>
  <si>
    <t xml:space="preserve">Qutub Minar</t>
  </si>
  <si>
    <t xml:space="preserve">D411</t>
  </si>
  <si>
    <t xml:space="preserve">Humayun's Tomb</t>
  </si>
  <si>
    <t xml:space="preserve">D412</t>
  </si>
  <si>
    <t xml:space="preserve">Lodhi Garden</t>
  </si>
  <si>
    <t xml:space="preserve">D413</t>
  </si>
  <si>
    <t xml:space="preserve">National Museum</t>
  </si>
  <si>
    <t xml:space="preserve">D414</t>
  </si>
  <si>
    <t xml:space="preserve">Rashtrapati Bhavan</t>
  </si>
  <si>
    <t xml:space="preserve">D415</t>
  </si>
  <si>
    <t xml:space="preserve">Gurugram</t>
  </si>
  <si>
    <t xml:space="preserve">Haryana</t>
  </si>
  <si>
    <t xml:space="preserve">D416</t>
  </si>
  <si>
    <t xml:space="preserve">Port Blair</t>
  </si>
  <si>
    <t xml:space="preserve">Andaman &amp; Nicobar Islands</t>
  </si>
  <si>
    <t xml:space="preserve">D417</t>
  </si>
  <si>
    <t xml:space="preserve">Swaraj Dweep</t>
  </si>
  <si>
    <t xml:space="preserve">D418</t>
  </si>
  <si>
    <t xml:space="preserve">Shaheed Dweep</t>
  </si>
  <si>
    <t xml:space="preserve">D419</t>
  </si>
  <si>
    <t xml:space="preserve">Ross Island</t>
  </si>
  <si>
    <t xml:space="preserve">D420</t>
  </si>
  <si>
    <t xml:space="preserve">Baratang</t>
  </si>
  <si>
    <t xml:space="preserve">D421</t>
  </si>
  <si>
    <t xml:space="preserve">Lakshadweep</t>
  </si>
  <si>
    <t xml:space="preserve">Island group; coordinates are for Kavaratti (capital)</t>
  </si>
  <si>
    <t xml:space="preserve">D422</t>
  </si>
  <si>
    <t xml:space="preserve">Agatti</t>
  </si>
  <si>
    <t xml:space="preserve">D423</t>
  </si>
  <si>
    <t xml:space="preserve">Bangaram</t>
  </si>
  <si>
    <t xml:space="preserve">D424</t>
  </si>
  <si>
    <t xml:space="preserve">Kavaratti</t>
  </si>
  <si>
    <t xml:space="preserve">D425</t>
  </si>
  <si>
    <t xml:space="preserve">Minicoy</t>
  </si>
  <si>
    <t xml:space="preserve">D426</t>
  </si>
  <si>
    <t xml:space="preserve">Diu</t>
  </si>
  <si>
    <t xml:space="preserve">Dadra &amp; Nagar Haveli and Daman &amp; Diu</t>
  </si>
  <si>
    <t xml:space="preserve">D427</t>
  </si>
  <si>
    <t xml:space="preserve">Silvassa</t>
  </si>
  <si>
    <t xml:space="preserve">D428</t>
  </si>
  <si>
    <t xml:space="preserve">Daman</t>
  </si>
  <si>
    <t xml:space="preserve">D429</t>
  </si>
  <si>
    <t xml:space="preserve">Ayodhya</t>
  </si>
  <si>
    <t xml:space="preserve">D430</t>
  </si>
  <si>
    <t xml:space="preserve">Kashi</t>
  </si>
  <si>
    <t xml:space="preserve">Same city as Varanasi (alternate name) – consider merging</t>
  </si>
  <si>
    <t xml:space="preserve">D431</t>
  </si>
  <si>
    <t xml:space="preserve">Fatehpur Sikri</t>
  </si>
  <si>
    <t xml:space="preserve">D432</t>
  </si>
  <si>
    <t xml:space="preserve">Ahmedabad Heritage City</t>
  </si>
  <si>
    <t xml:space="preserve">Overlaps with Ahmedabad</t>
  </si>
  <si>
    <t xml:space="preserve">D433</t>
  </si>
  <si>
    <t xml:space="preserve">Mumbai Heritage District</t>
  </si>
  <si>
    <t xml:space="preserve">Overlaps with Mumbai</t>
  </si>
  <si>
    <t xml:space="preserve">D434</t>
  </si>
  <si>
    <t xml:space="preserve">Kolkata Heritage</t>
  </si>
  <si>
    <t xml:space="preserve">Overlaps with Kolkata</t>
  </si>
  <si>
    <t xml:space="preserve">D435</t>
  </si>
  <si>
    <t xml:space="preserve">Hyderabad Heritage</t>
  </si>
  <si>
    <t xml:space="preserve">Overlaps with Hyderabad</t>
  </si>
  <si>
    <t xml:space="preserve">D436</t>
  </si>
  <si>
    <t xml:space="preserve">Additional Destination 1</t>
  </si>
  <si>
    <t xml:space="preserve">Placeholder – name needed</t>
  </si>
  <si>
    <t xml:space="preserve">Source file has no real name for this slot</t>
  </si>
  <si>
    <t xml:space="preserve">D437</t>
  </si>
  <si>
    <t xml:space="preserve">Additional Destination 2</t>
  </si>
  <si>
    <t xml:space="preserve">D438</t>
  </si>
  <si>
    <t xml:space="preserve">Additional Destination 3</t>
  </si>
  <si>
    <t xml:space="preserve">D439</t>
  </si>
  <si>
    <t xml:space="preserve">Additional Destination 4</t>
  </si>
  <si>
    <t xml:space="preserve">D440</t>
  </si>
  <si>
    <t xml:space="preserve">Additional Destination 5</t>
  </si>
  <si>
    <t xml:space="preserve">D441</t>
  </si>
  <si>
    <t xml:space="preserve">Additional Destination 6</t>
  </si>
  <si>
    <t xml:space="preserve">D442</t>
  </si>
  <si>
    <t xml:space="preserve">Additional Destination 7</t>
  </si>
  <si>
    <t xml:space="preserve">D443</t>
  </si>
  <si>
    <t xml:space="preserve">Additional Destination 8</t>
  </si>
  <si>
    <t xml:space="preserve">D444</t>
  </si>
  <si>
    <t xml:space="preserve">Additional Destination 9</t>
  </si>
  <si>
    <t xml:space="preserve">D445</t>
  </si>
  <si>
    <t xml:space="preserve">Additional Destination 10</t>
  </si>
  <si>
    <t xml:space="preserve">D446</t>
  </si>
  <si>
    <t xml:space="preserve">Additional Destination 11</t>
  </si>
  <si>
    <t xml:space="preserve">D447</t>
  </si>
  <si>
    <t xml:space="preserve">Additional Destination 12</t>
  </si>
  <si>
    <t xml:space="preserve">D448</t>
  </si>
  <si>
    <t xml:space="preserve">Additional Destination 13</t>
  </si>
  <si>
    <t xml:space="preserve">D449</t>
  </si>
  <si>
    <t xml:space="preserve">Additional Destination 14</t>
  </si>
  <si>
    <t xml:space="preserve">D450</t>
  </si>
  <si>
    <t xml:space="preserve">Additional Destination 15</t>
  </si>
  <si>
    <t xml:space="preserve">D451</t>
  </si>
  <si>
    <t xml:space="preserve">Additional Destination 16</t>
  </si>
  <si>
    <t xml:space="preserve">D452</t>
  </si>
  <si>
    <t xml:space="preserve">Additional Destination 17</t>
  </si>
  <si>
    <t xml:space="preserve">D453</t>
  </si>
  <si>
    <t xml:space="preserve">Additional Destination 18</t>
  </si>
  <si>
    <t xml:space="preserve">D454</t>
  </si>
  <si>
    <t xml:space="preserve">Additional Destination 19</t>
  </si>
  <si>
    <t xml:space="preserve">D455</t>
  </si>
  <si>
    <t xml:space="preserve">Additional Destination 20</t>
  </si>
  <si>
    <t xml:space="preserve">D456</t>
  </si>
  <si>
    <t xml:space="preserve">Additional Destination 21</t>
  </si>
  <si>
    <t xml:space="preserve">D457</t>
  </si>
  <si>
    <t xml:space="preserve">Additional Destination 22</t>
  </si>
  <si>
    <t xml:space="preserve">D458</t>
  </si>
  <si>
    <t xml:space="preserve">Additional Destination 23</t>
  </si>
  <si>
    <t xml:space="preserve">D459</t>
  </si>
  <si>
    <t xml:space="preserve">Additional Destination 24</t>
  </si>
  <si>
    <t xml:space="preserve">D460</t>
  </si>
  <si>
    <t xml:space="preserve">Additional Destination 25</t>
  </si>
  <si>
    <t xml:space="preserve">D461</t>
  </si>
  <si>
    <t xml:space="preserve">Additional Destination 26</t>
  </si>
  <si>
    <t xml:space="preserve">D462</t>
  </si>
  <si>
    <t xml:space="preserve">Additional Destination 27</t>
  </si>
  <si>
    <t xml:space="preserve">D463</t>
  </si>
  <si>
    <t xml:space="preserve">Additional Destination 28</t>
  </si>
  <si>
    <t xml:space="preserve">D464</t>
  </si>
  <si>
    <t xml:space="preserve">Additional Destination 29</t>
  </si>
  <si>
    <t xml:space="preserve">D465</t>
  </si>
  <si>
    <t xml:space="preserve">Additional Destination 30</t>
  </si>
  <si>
    <t xml:space="preserve">D466</t>
  </si>
  <si>
    <t xml:space="preserve">Additional Destination 31</t>
  </si>
  <si>
    <t xml:space="preserve">D467</t>
  </si>
  <si>
    <t xml:space="preserve">Additional Destination 32</t>
  </si>
  <si>
    <t xml:space="preserve">D468</t>
  </si>
  <si>
    <t xml:space="preserve">Additional Destination 33</t>
  </si>
  <si>
    <t xml:space="preserve">D469</t>
  </si>
  <si>
    <t xml:space="preserve">Additional Destination 34</t>
  </si>
  <si>
    <t xml:space="preserve">D470</t>
  </si>
  <si>
    <t xml:space="preserve">Additional Destination 35</t>
  </si>
  <si>
    <t xml:space="preserve">D471</t>
  </si>
  <si>
    <t xml:space="preserve">Additional Destination 36</t>
  </si>
  <si>
    <t xml:space="preserve">D472</t>
  </si>
  <si>
    <t xml:space="preserve">Additional Destination 37</t>
  </si>
  <si>
    <t xml:space="preserve">D473</t>
  </si>
  <si>
    <t xml:space="preserve">Additional Destination 38</t>
  </si>
  <si>
    <t xml:space="preserve">D474</t>
  </si>
  <si>
    <t xml:space="preserve">Additional Destination 39</t>
  </si>
  <si>
    <t xml:space="preserve">D475</t>
  </si>
  <si>
    <t xml:space="preserve">Additional Destination 40</t>
  </si>
  <si>
    <t xml:space="preserve">D476</t>
  </si>
  <si>
    <t xml:space="preserve">Additional Destination 41</t>
  </si>
  <si>
    <t xml:space="preserve">D477</t>
  </si>
  <si>
    <t xml:space="preserve">Additional Destination 42</t>
  </si>
  <si>
    <t xml:space="preserve">D478</t>
  </si>
  <si>
    <t xml:space="preserve">Additional Destination 43</t>
  </si>
  <si>
    <t xml:space="preserve">D479</t>
  </si>
  <si>
    <t xml:space="preserve">Additional Destination 44</t>
  </si>
  <si>
    <t xml:space="preserve">D480</t>
  </si>
  <si>
    <t xml:space="preserve">Additional Destination 45</t>
  </si>
  <si>
    <t xml:space="preserve">D481</t>
  </si>
  <si>
    <t xml:space="preserve">Additional Destination 46</t>
  </si>
  <si>
    <t xml:space="preserve">D482</t>
  </si>
  <si>
    <t xml:space="preserve">Additional Destination 47</t>
  </si>
  <si>
    <t xml:space="preserve">D483</t>
  </si>
  <si>
    <t xml:space="preserve">Additional Destination 48</t>
  </si>
  <si>
    <t xml:space="preserve">D484</t>
  </si>
  <si>
    <t xml:space="preserve">Additional Destination 49</t>
  </si>
  <si>
    <t xml:space="preserve">D485</t>
  </si>
  <si>
    <t xml:space="preserve">Additional Destination 50</t>
  </si>
  <si>
    <t xml:space="preserve">D486</t>
  </si>
  <si>
    <t xml:space="preserve">Additional Destination 51</t>
  </si>
  <si>
    <t xml:space="preserve">D487</t>
  </si>
  <si>
    <t xml:space="preserve">Additional Destination 52</t>
  </si>
  <si>
    <t xml:space="preserve">D488</t>
  </si>
  <si>
    <t xml:space="preserve">Additional Destination 53</t>
  </si>
  <si>
    <t xml:space="preserve">D489</t>
  </si>
  <si>
    <t xml:space="preserve">Additional Destination 54</t>
  </si>
  <si>
    <t xml:space="preserve">D490</t>
  </si>
  <si>
    <t xml:space="preserve">Additional Destination 55</t>
  </si>
  <si>
    <t xml:space="preserve">D491</t>
  </si>
  <si>
    <t xml:space="preserve">Additional Destination 56</t>
  </si>
  <si>
    <t xml:space="preserve">D492</t>
  </si>
  <si>
    <t xml:space="preserve">Additional Destination 57</t>
  </si>
  <si>
    <t xml:space="preserve">D493</t>
  </si>
  <si>
    <t xml:space="preserve">Additional Destination 58</t>
  </si>
  <si>
    <t xml:space="preserve">D494</t>
  </si>
  <si>
    <t xml:space="preserve">Additional Destination 59</t>
  </si>
  <si>
    <t xml:space="preserve">D495</t>
  </si>
  <si>
    <t xml:space="preserve">Additional Destination 60</t>
  </si>
  <si>
    <t xml:space="preserve">D496</t>
  </si>
  <si>
    <t xml:space="preserve">Additional Destination 61</t>
  </si>
  <si>
    <t xml:space="preserve">D497</t>
  </si>
  <si>
    <t xml:space="preserve">Additional Destination 62</t>
  </si>
  <si>
    <t xml:space="preserve">D498</t>
  </si>
  <si>
    <t xml:space="preserve">Additional Destination 63</t>
  </si>
  <si>
    <t xml:space="preserve">D499</t>
  </si>
  <si>
    <t xml:space="preserve">Additional Destination 64</t>
  </si>
  <si>
    <t xml:space="preserve">D500</t>
  </si>
  <si>
    <t xml:space="preserve">Additional Destination 65</t>
  </si>
  <si>
    <t xml:space="preserve">place_id</t>
  </si>
  <si>
    <t xml:space="preserve">name</t>
  </si>
  <si>
    <t xml:space="preserve">category</t>
  </si>
  <si>
    <t xml:space="preserve">source</t>
  </si>
  <si>
    <t xml:space="preserve">verified</t>
  </si>
  <si>
    <t xml:space="preserve">P0001</t>
  </si>
  <si>
    <t xml:space="preserve">Mankameshwar Temple</t>
  </si>
  <si>
    <t xml:space="preserve">Religious</t>
  </si>
  <si>
    <t xml:space="preserve">Input file: Temples / Religious</t>
  </si>
  <si>
    <t xml:space="preserve">P0002</t>
  </si>
  <si>
    <t xml:space="preserve">Agra Fort</t>
  </si>
  <si>
    <t xml:space="preserve">Input file: Monuments / Heritage</t>
  </si>
  <si>
    <t xml:space="preserve">P0003</t>
  </si>
  <si>
    <t xml:space="preserve">Itmad-ud-Daulah</t>
  </si>
  <si>
    <t xml:space="preserve">P0004</t>
  </si>
  <si>
    <t xml:space="preserve">Yamuna riverfront</t>
  </si>
  <si>
    <t xml:space="preserve">Nature</t>
  </si>
  <si>
    <t xml:space="preserve">Input file: Nature</t>
  </si>
  <si>
    <t xml:space="preserve">P0005</t>
  </si>
  <si>
    <t xml:space="preserve">Taj Mahal</t>
  </si>
  <si>
    <t xml:space="preserve">Attraction</t>
  </si>
  <si>
    <t xml:space="preserve">Input file: Famous Attractions</t>
  </si>
  <si>
    <t xml:space="preserve">P0006</t>
  </si>
  <si>
    <t xml:space="preserve">Mehtab Bagh</t>
  </si>
  <si>
    <t xml:space="preserve">P0007</t>
  </si>
  <si>
    <t xml:space="preserve">Govind Dev Ji</t>
  </si>
  <si>
    <t xml:space="preserve">P0008</t>
  </si>
  <si>
    <t xml:space="preserve">Birla Mandir</t>
  </si>
  <si>
    <t xml:space="preserve">P0009</t>
  </si>
  <si>
    <t xml:space="preserve">Jantar Mantar</t>
  </si>
  <si>
    <t xml:space="preserve">P0010</t>
  </si>
  <si>
    <t xml:space="preserve">City Palace</t>
  </si>
  <si>
    <t xml:space="preserve">P0011</t>
  </si>
  <si>
    <t xml:space="preserve">Amber Fort</t>
  </si>
  <si>
    <t xml:space="preserve">P0012</t>
  </si>
  <si>
    <t xml:space="preserve">Hawa Mahal</t>
  </si>
  <si>
    <t xml:space="preserve">P0013</t>
  </si>
  <si>
    <t xml:space="preserve">Kashi Vishwanath</t>
  </si>
  <si>
    <t xml:space="preserve">P0014</t>
  </si>
  <si>
    <t xml:space="preserve">Sankat Mochan</t>
  </si>
  <si>
    <t xml:space="preserve">P0015</t>
  </si>
  <si>
    <t xml:space="preserve">Ramnagar Fort</t>
  </si>
  <si>
    <t xml:space="preserve">P0016</t>
  </si>
  <si>
    <t xml:space="preserve">Ganges River</t>
  </si>
  <si>
    <t xml:space="preserve">P0017</t>
  </si>
  <si>
    <t xml:space="preserve">Ghats</t>
  </si>
  <si>
    <t xml:space="preserve">P0018</t>
  </si>
  <si>
    <t xml:space="preserve">P0019</t>
  </si>
  <si>
    <t xml:space="preserve">Chamundeshwari Temple</t>
  </si>
  <si>
    <t xml:space="preserve">P0020</t>
  </si>
  <si>
    <t xml:space="preserve">Mysuru Palace</t>
  </si>
  <si>
    <t xml:space="preserve">P0021</t>
  </si>
  <si>
    <t xml:space="preserve">Jaganmohan Palace</t>
  </si>
  <si>
    <t xml:space="preserve">P0022</t>
  </si>
  <si>
    <t xml:space="preserve">Kukkarahalli Lake</t>
  </si>
  <si>
    <t xml:space="preserve">P0023</t>
  </si>
  <si>
    <t xml:space="preserve">Brindavan Gardens</t>
  </si>
  <si>
    <t xml:space="preserve">P0024</t>
  </si>
  <si>
    <t xml:space="preserve">Chottanikkara Temple</t>
  </si>
  <si>
    <t xml:space="preserve">P0025</t>
  </si>
  <si>
    <t xml:space="preserve">Mattancherry Palace</t>
  </si>
  <si>
    <t xml:space="preserve">P0026</t>
  </si>
  <si>
    <t xml:space="preserve">St. Francis Church</t>
  </si>
  <si>
    <t xml:space="preserve">P0027</t>
  </si>
  <si>
    <t xml:space="preserve">Backwaters</t>
  </si>
  <si>
    <t xml:space="preserve">P0028</t>
  </si>
  <si>
    <t xml:space="preserve">P0029</t>
  </si>
  <si>
    <t xml:space="preserve">Marine Drive</t>
  </si>
  <si>
    <t xml:space="preserve">P0030</t>
  </si>
  <si>
    <t xml:space="preserve">Virupaksha Temple</t>
  </si>
  <si>
    <t xml:space="preserve">P0031</t>
  </si>
  <si>
    <t xml:space="preserve">Stone Chariot</t>
  </si>
  <si>
    <t xml:space="preserve">P0032</t>
  </si>
  <si>
    <t xml:space="preserve">Royal Enclosure</t>
  </si>
  <si>
    <t xml:space="preserve">P0033</t>
  </si>
  <si>
    <t xml:space="preserve">Tungabhadra River</t>
  </si>
  <si>
    <t xml:space="preserve">P0034</t>
  </si>
  <si>
    <t xml:space="preserve">Vittala Temple</t>
  </si>
  <si>
    <t xml:space="preserve">P0035</t>
  </si>
  <si>
    <t xml:space="preserve">Tea Museum</t>
  </si>
  <si>
    <t xml:space="preserve">P0036</t>
  </si>
  <si>
    <t xml:space="preserve">Western Ghats</t>
  </si>
  <si>
    <t xml:space="preserve">P0037</t>
  </si>
  <si>
    <t xml:space="preserve">Tea gardens</t>
  </si>
  <si>
    <t xml:space="preserve">P0038</t>
  </si>
  <si>
    <t xml:space="preserve">Top Station</t>
  </si>
  <si>
    <t xml:space="preserve">P0039</t>
  </si>
  <si>
    <t xml:space="preserve">Ramanathaswamy Temple</t>
  </si>
  <si>
    <t xml:space="preserve">P0040</t>
  </si>
  <si>
    <t xml:space="preserve">Gulf of Mannar</t>
  </si>
  <si>
    <t xml:space="preserve">P0041</t>
  </si>
  <si>
    <t xml:space="preserve">P0042</t>
  </si>
  <si>
    <t xml:space="preserve">Pamban Bridge</t>
  </si>
  <si>
    <t xml:space="preserve">P0043</t>
  </si>
  <si>
    <t xml:space="preserve">Basilica of Bom Jesus</t>
  </si>
  <si>
    <t xml:space="preserve">P0044</t>
  </si>
  <si>
    <t xml:space="preserve">Shantadurga Temple</t>
  </si>
  <si>
    <t xml:space="preserve">P0045</t>
  </si>
  <si>
    <t xml:space="preserve">Old Goa churches</t>
  </si>
  <si>
    <t xml:space="preserve">P0046</t>
  </si>
  <si>
    <t xml:space="preserve">Arabian Sea</t>
  </si>
  <si>
    <t xml:space="preserve">P0047</t>
  </si>
  <si>
    <t xml:space="preserve">P0048</t>
  </si>
  <si>
    <t xml:space="preserve">P0049</t>
  </si>
  <si>
    <t xml:space="preserve">P0050</t>
  </si>
  <si>
    <t xml:space="preserve">P0051</t>
  </si>
  <si>
    <t xml:space="preserve">Thiksey</t>
  </si>
  <si>
    <t xml:space="preserve">P0052</t>
  </si>
  <si>
    <t xml:space="preserve">P0053</t>
  </si>
  <si>
    <t xml:space="preserve">Leh Palace</t>
  </si>
  <si>
    <t xml:space="preserve">P0054</t>
  </si>
  <si>
    <t xml:space="preserve">Himalayas</t>
  </si>
  <si>
    <t xml:space="preserve">P0055</t>
  </si>
  <si>
    <t xml:space="preserve">P0056</t>
  </si>
  <si>
    <t xml:space="preserve">hours_id</t>
  </si>
  <si>
    <t xml:space="preserve">place_name</t>
  </si>
  <si>
    <t xml:space="preserve">day</t>
  </si>
  <si>
    <t xml:space="preserve">open_time</t>
  </si>
  <si>
    <t xml:space="preserve">close_time</t>
  </si>
  <si>
    <t xml:space="preserve">is_closed</t>
  </si>
  <si>
    <t xml:space="preserve">EXAMPLE</t>
  </si>
  <si>
    <t xml:space="preserve">Example place – delete this row</t>
  </si>
  <si>
    <t xml:space="preserve">Mon</t>
  </si>
  <si>
    <t xml:space="preserve">09:00</t>
  </si>
  <si>
    <t xml:space="preserve">17:00</t>
  </si>
  <si>
    <t xml:space="preserve">N</t>
  </si>
  <si>
    <t xml:space="preserve">Use 24-hour HH:MM; one row per place per day</t>
  </si>
  <si>
    <t xml:space="preserve">activity_id</t>
  </si>
  <si>
    <t xml:space="preserve">duration_hrs</t>
  </si>
  <si>
    <t xml:space="preserve">cost_inr</t>
  </si>
  <si>
    <t xml:space="preserve">interests (auto-tagged – review)</t>
  </si>
  <si>
    <t xml:space="preserve">A0001</t>
  </si>
  <si>
    <t xml:space="preserve">Taj Mahal sunrise</t>
  </si>
  <si>
    <t xml:space="preserve">Sightseeing</t>
  </si>
  <si>
    <t xml:space="preserve">Input file: Activities</t>
  </si>
  <si>
    <t xml:space="preserve">A0002</t>
  </si>
  <si>
    <t xml:space="preserve">Heritage walk</t>
  </si>
  <si>
    <t xml:space="preserve">A0003</t>
  </si>
  <si>
    <t xml:space="preserve">Fort tour</t>
  </si>
  <si>
    <t xml:space="preserve">A0004</t>
  </si>
  <si>
    <t xml:space="preserve">Food walk</t>
  </si>
  <si>
    <t xml:space="preserve">Food</t>
  </si>
  <si>
    <t xml:space="preserve">A0005</t>
  </si>
  <si>
    <t xml:space="preserve">Ganga Aarti</t>
  </si>
  <si>
    <t xml:space="preserve">A0006</t>
  </si>
  <si>
    <t xml:space="preserve">Boat ride</t>
  </si>
  <si>
    <t xml:space="preserve">A0007</t>
  </si>
  <si>
    <t xml:space="preserve">Palace tour</t>
  </si>
  <si>
    <t xml:space="preserve">A0008</t>
  </si>
  <si>
    <t xml:space="preserve">A0009</t>
  </si>
  <si>
    <t xml:space="preserve">A0010</t>
  </si>
  <si>
    <t xml:space="preserve">A0011</t>
  </si>
  <si>
    <t xml:space="preserve">Cycling</t>
  </si>
  <si>
    <t xml:space="preserve">Adventure</t>
  </si>
  <si>
    <t xml:space="preserve">A0012</t>
  </si>
  <si>
    <t xml:space="preserve">Ruins exploration</t>
  </si>
  <si>
    <t xml:space="preserve">A0013</t>
  </si>
  <si>
    <t xml:space="preserve">Trekking</t>
  </si>
  <si>
    <t xml:space="preserve">A0014</t>
  </si>
  <si>
    <t xml:space="preserve">Tea tours</t>
  </si>
  <si>
    <t xml:space="preserve">A0015</t>
  </si>
  <si>
    <t xml:space="preserve">Temple visit</t>
  </si>
  <si>
    <t xml:space="preserve">A0016</t>
  </si>
  <si>
    <t xml:space="preserve">Dhanushkodi trip</t>
  </si>
  <si>
    <t xml:space="preserve">A0017</t>
  </si>
  <si>
    <t xml:space="preserve">Water sports</t>
  </si>
  <si>
    <t xml:space="preserve">A0018</t>
  </si>
  <si>
    <t xml:space="preserve">Beach hopping</t>
  </si>
  <si>
    <t xml:space="preserve">A0019</t>
  </si>
  <si>
    <t xml:space="preserve">A0020</t>
  </si>
  <si>
    <t xml:space="preserve">Road trips</t>
  </si>
  <si>
    <t xml:space="preserve">hotel_id</t>
  </si>
  <si>
    <t xml:space="preserve">price_per_night_inr</t>
  </si>
  <si>
    <t xml:space="preserve">location_area</t>
  </si>
  <si>
    <t xml:space="preserve">check_in</t>
  </si>
  <si>
    <t xml:space="preserve">check_out</t>
  </si>
  <si>
    <t xml:space="preserve">H0001</t>
  </si>
  <si>
    <t xml:space="preserve">The Oberoi Amarvilas</t>
  </si>
  <si>
    <t xml:space="preserve">Input file (name as given; not independently verified)</t>
  </si>
  <si>
    <t xml:space="preserve">H0002</t>
  </si>
  <si>
    <t xml:space="preserve">ITC Mughal</t>
  </si>
  <si>
    <t xml:space="preserve">H0003</t>
  </si>
  <si>
    <t xml:space="preserve">Rambagh Palace</t>
  </si>
  <si>
    <t xml:space="preserve">H0004</t>
  </si>
  <si>
    <t xml:space="preserve">ITC Rajputana</t>
  </si>
  <si>
    <t xml:space="preserve">H0005</t>
  </si>
  <si>
    <t xml:space="preserve">Taj Ganges</t>
  </si>
  <si>
    <t xml:space="preserve">H0006</t>
  </si>
  <si>
    <t xml:space="preserve">BrijRama Palace</t>
  </si>
  <si>
    <t xml:space="preserve">H0007</t>
  </si>
  <si>
    <t xml:space="preserve">Lalitha Mahal Palace</t>
  </si>
  <si>
    <t xml:space="preserve">H0008</t>
  </si>
  <si>
    <t xml:space="preserve">Radisson</t>
  </si>
  <si>
    <t xml:space="preserve">Input file (brand/chain only – confirm exact property)</t>
  </si>
  <si>
    <t xml:space="preserve">H0009</t>
  </si>
  <si>
    <t xml:space="preserve">Grand Hyatt</t>
  </si>
  <si>
    <t xml:space="preserve">H0010</t>
  </si>
  <si>
    <t xml:space="preserve">Brunton Boatyard</t>
  </si>
  <si>
    <t xml:space="preserve">H0011</t>
  </si>
  <si>
    <t xml:space="preserve">Daiwik Hotels</t>
  </si>
  <si>
    <t xml:space="preserve">restaurant_id</t>
  </si>
  <si>
    <t xml:space="preserve">cuisine</t>
  </si>
  <si>
    <t xml:space="preserve">avg_cost_for_two_inr</t>
  </si>
  <si>
    <t xml:space="preserve">Example Restaurant – delete this row</t>
  </si>
  <si>
    <t xml:space="preserve">Mughlai</t>
  </si>
  <si>
    <t xml:space="preserve">Near Taj Ganj</t>
  </si>
  <si>
    <t xml:space="preserve">Your source</t>
  </si>
  <si>
    <t xml:space="preserve">route_id</t>
  </si>
  <si>
    <t xml:space="preserve">from_dest_id</t>
  </si>
  <si>
    <t xml:space="preserve">from_city</t>
  </si>
  <si>
    <t xml:space="preserve">to_dest_id</t>
  </si>
  <si>
    <t xml:space="preserve">to_city</t>
  </si>
  <si>
    <t xml:space="preserve">mode</t>
  </si>
  <si>
    <t xml:space="preserve">from_lat</t>
  </si>
  <si>
    <t xml:space="preserve">from_lon</t>
  </si>
  <si>
    <t xml:space="preserve">to_lat</t>
  </si>
  <si>
    <t xml:space="preserve">to_lon</t>
  </si>
  <si>
    <t xml:space="preserve">straight_line_km</t>
  </si>
  <si>
    <t xml:space="preserve">est_road_km</t>
  </si>
  <si>
    <t xml:space="preserve">est_duration_hrs</t>
  </si>
  <si>
    <t xml:space="preserve">T0001</t>
  </si>
  <si>
    <t xml:space="preserve">Road (estimate)</t>
  </si>
  <si>
    <t xml:space="preserve">Derived: haversine × circuity ÷ speed (see Assumptions)</t>
  </si>
  <si>
    <t xml:space="preserve">T0002</t>
  </si>
  <si>
    <t xml:space="preserve">T0003</t>
  </si>
  <si>
    <t xml:space="preserve">T0004</t>
  </si>
  <si>
    <t xml:space="preserve">T0005</t>
  </si>
  <si>
    <t xml:space="preserve">T0006</t>
  </si>
  <si>
    <t xml:space="preserve">T0007</t>
  </si>
  <si>
    <t xml:space="preserve">T0008</t>
  </si>
  <si>
    <t xml:space="preserve">T0009</t>
  </si>
  <si>
    <t xml:space="preserve">T0010</t>
  </si>
  <si>
    <t xml:space="preserve">T0011</t>
  </si>
  <si>
    <t xml:space="preserve">T0012</t>
  </si>
  <si>
    <t xml:space="preserve">T0013</t>
  </si>
  <si>
    <t xml:space="preserve">T0014</t>
  </si>
  <si>
    <t xml:space="preserve">T0015</t>
  </si>
  <si>
    <t xml:space="preserve">T0016</t>
  </si>
  <si>
    <t xml:space="preserve">T0017</t>
  </si>
  <si>
    <t xml:space="preserve">T0018</t>
  </si>
  <si>
    <t xml:space="preserve">T0019</t>
  </si>
  <si>
    <t xml:space="preserve">T0020</t>
  </si>
  <si>
    <t xml:space="preserve">T0021</t>
  </si>
  <si>
    <t xml:space="preserve">T0022</t>
  </si>
  <si>
    <t xml:space="preserve">T0023</t>
  </si>
  <si>
    <t xml:space="preserve">T0024</t>
  </si>
  <si>
    <t xml:space="preserve">T0025</t>
  </si>
  <si>
    <t xml:space="preserve">T0026</t>
  </si>
  <si>
    <t xml:space="preserve">T0027</t>
  </si>
  <si>
    <t xml:space="preserve">T0028</t>
  </si>
  <si>
    <t xml:space="preserve">T0029</t>
  </si>
  <si>
    <t xml:space="preserve">T0030</t>
  </si>
  <si>
    <t xml:space="preserve">T0031</t>
  </si>
  <si>
    <t xml:space="preserve">T0032</t>
  </si>
  <si>
    <t xml:space="preserve">T0033</t>
  </si>
  <si>
    <t xml:space="preserve">T0034</t>
  </si>
  <si>
    <t xml:space="preserve">T0035</t>
  </si>
  <si>
    <t xml:space="preserve">T0036</t>
  </si>
  <si>
    <t xml:space="preserve">T0037</t>
  </si>
  <si>
    <t xml:space="preserve">T0038</t>
  </si>
  <si>
    <t xml:space="preserve">T0039</t>
  </si>
  <si>
    <t xml:space="preserve">T0040</t>
  </si>
  <si>
    <t xml:space="preserve">T0041</t>
  </si>
  <si>
    <t xml:space="preserve">T0042</t>
  </si>
  <si>
    <t xml:space="preserve">T0043</t>
  </si>
  <si>
    <t xml:space="preserve">T0044</t>
  </si>
  <si>
    <t xml:space="preserve">T0045</t>
  </si>
  <si>
    <t xml:space="preserve">T0046</t>
  </si>
  <si>
    <t xml:space="preserve">T0047</t>
  </si>
  <si>
    <t xml:space="preserve">T0048</t>
  </si>
  <si>
    <t xml:space="preserve">T0049</t>
  </si>
  <si>
    <t xml:space="preserve">T0050</t>
  </si>
  <si>
    <t xml:space="preserve">T0051</t>
  </si>
  <si>
    <t xml:space="preserve">T0052</t>
  </si>
  <si>
    <t xml:space="preserve">T0053</t>
  </si>
  <si>
    <t xml:space="preserve">T0054</t>
  </si>
  <si>
    <t xml:space="preserve">T0055</t>
  </si>
  <si>
    <t xml:space="preserve">T0056</t>
  </si>
  <si>
    <t xml:space="preserve">T0057</t>
  </si>
  <si>
    <t xml:space="preserve">T0058</t>
  </si>
  <si>
    <t xml:space="preserve">T0059</t>
  </si>
  <si>
    <t xml:space="preserve">T0060</t>
  </si>
  <si>
    <t xml:space="preserve">T0061</t>
  </si>
  <si>
    <t xml:space="preserve">T0062</t>
  </si>
  <si>
    <t xml:space="preserve">T0063</t>
  </si>
  <si>
    <t xml:space="preserve">T0064</t>
  </si>
  <si>
    <t xml:space="preserve">T0065</t>
  </si>
  <si>
    <t xml:space="preserve">T0066</t>
  </si>
  <si>
    <t xml:space="preserve">T0067</t>
  </si>
  <si>
    <t xml:space="preserve">T0068</t>
  </si>
  <si>
    <t xml:space="preserve">T0069</t>
  </si>
  <si>
    <t xml:space="preserve">T0070</t>
  </si>
  <si>
    <t xml:space="preserve">T0071</t>
  </si>
  <si>
    <t xml:space="preserve">T0072</t>
  </si>
  <si>
    <t xml:space="preserve">T0073</t>
  </si>
  <si>
    <t xml:space="preserve">T0074</t>
  </si>
  <si>
    <t xml:space="preserve">T0075</t>
  </si>
  <si>
    <t xml:space="preserve">T0076</t>
  </si>
  <si>
    <t xml:space="preserve">T0077</t>
  </si>
  <si>
    <t xml:space="preserve">T0078</t>
  </si>
  <si>
    <t xml:space="preserve">T0079</t>
  </si>
  <si>
    <t xml:space="preserve">T0080</t>
  </si>
  <si>
    <t xml:space="preserve">T0081</t>
  </si>
  <si>
    <t xml:space="preserve">T0082</t>
  </si>
  <si>
    <t xml:space="preserve">T0083</t>
  </si>
  <si>
    <t xml:space="preserve">T0084</t>
  </si>
  <si>
    <t xml:space="preserve">T0085</t>
  </si>
  <si>
    <t xml:space="preserve">T0086</t>
  </si>
  <si>
    <t xml:space="preserve">T0087</t>
  </si>
  <si>
    <t xml:space="preserve">T0088</t>
  </si>
  <si>
    <t xml:space="preserve">T0089</t>
  </si>
  <si>
    <t xml:space="preserve">T0090</t>
  </si>
  <si>
    <t xml:space="preserve">T0091</t>
  </si>
  <si>
    <t xml:space="preserve">T0092</t>
  </si>
  <si>
    <t xml:space="preserve">T0093</t>
  </si>
  <si>
    <t xml:space="preserve">T0094</t>
  </si>
  <si>
    <t xml:space="preserve">T0095</t>
  </si>
  <si>
    <t xml:space="preserve">T0096</t>
  </si>
  <si>
    <t xml:space="preserve">T0097</t>
  </si>
  <si>
    <t xml:space="preserve">T0098</t>
  </si>
  <si>
    <t xml:space="preserve">T0099</t>
  </si>
  <si>
    <t xml:space="preserve">T0100</t>
  </si>
  <si>
    <t xml:space="preserve">T0101</t>
  </si>
  <si>
    <t xml:space="preserve">T0102</t>
  </si>
  <si>
    <t xml:space="preserve">T0103</t>
  </si>
  <si>
    <t xml:space="preserve">T0104</t>
  </si>
  <si>
    <t xml:space="preserve">T0105</t>
  </si>
  <si>
    <t xml:space="preserve">T0106</t>
  </si>
  <si>
    <t xml:space="preserve">T0107</t>
  </si>
  <si>
    <t xml:space="preserve">T0108</t>
  </si>
  <si>
    <t xml:space="preserve">T0109</t>
  </si>
  <si>
    <t xml:space="preserve">T0110</t>
  </si>
  <si>
    <t xml:space="preserve">T0111</t>
  </si>
  <si>
    <t xml:space="preserve">T0112</t>
  </si>
  <si>
    <t xml:space="preserve">T0113</t>
  </si>
  <si>
    <t xml:space="preserve">T0114</t>
  </si>
  <si>
    <t xml:space="preserve">T0115</t>
  </si>
  <si>
    <t xml:space="preserve">T0116</t>
  </si>
  <si>
    <t xml:space="preserve">T0117</t>
  </si>
  <si>
    <t xml:space="preserve">T0118</t>
  </si>
  <si>
    <t xml:space="preserve">T0119</t>
  </si>
  <si>
    <t xml:space="preserve">T0120</t>
  </si>
  <si>
    <t xml:space="preserve">T0121</t>
  </si>
  <si>
    <t xml:space="preserve">T0122</t>
  </si>
  <si>
    <t xml:space="preserve">T0123</t>
  </si>
  <si>
    <t xml:space="preserve">T0124</t>
  </si>
  <si>
    <t xml:space="preserve">T0125</t>
  </si>
  <si>
    <t xml:space="preserve">T0126</t>
  </si>
  <si>
    <t xml:space="preserve">T0127</t>
  </si>
  <si>
    <t xml:space="preserve">T0128</t>
  </si>
  <si>
    <t xml:space="preserve">T0129</t>
  </si>
  <si>
    <t xml:space="preserve">T0130</t>
  </si>
  <si>
    <t xml:space="preserve">T0131</t>
  </si>
  <si>
    <t xml:space="preserve">T0132</t>
  </si>
  <si>
    <t xml:space="preserve">T0133</t>
  </si>
  <si>
    <t xml:space="preserve">T0134</t>
  </si>
  <si>
    <t xml:space="preserve">T0135</t>
  </si>
  <si>
    <t xml:space="preserve">T0136</t>
  </si>
  <si>
    <t xml:space="preserve">T0137</t>
  </si>
  <si>
    <t xml:space="preserve">T0138</t>
  </si>
  <si>
    <t xml:space="preserve">T0139</t>
  </si>
  <si>
    <t xml:space="preserve">T0140</t>
  </si>
  <si>
    <t xml:space="preserve">T0141</t>
  </si>
  <si>
    <t xml:space="preserve">T0142</t>
  </si>
  <si>
    <t xml:space="preserve">T0143</t>
  </si>
  <si>
    <t xml:space="preserve">T0144</t>
  </si>
  <si>
    <t xml:space="preserve">T0145</t>
  </si>
  <si>
    <t xml:space="preserve">T0146</t>
  </si>
  <si>
    <t xml:space="preserve">T0147</t>
  </si>
  <si>
    <t xml:space="preserve">T0148</t>
  </si>
  <si>
    <t xml:space="preserve">T0149</t>
  </si>
  <si>
    <t xml:space="preserve">T0150</t>
  </si>
  <si>
    <t xml:space="preserve">T0151</t>
  </si>
  <si>
    <t xml:space="preserve">T0152</t>
  </si>
  <si>
    <t xml:space="preserve">T0153</t>
  </si>
  <si>
    <t xml:space="preserve">T0154</t>
  </si>
  <si>
    <t xml:space="preserve">T0155</t>
  </si>
  <si>
    <t xml:space="preserve">T0156</t>
  </si>
  <si>
    <t xml:space="preserve">T0157</t>
  </si>
  <si>
    <t xml:space="preserve">T0158</t>
  </si>
  <si>
    <t xml:space="preserve">T0159</t>
  </si>
  <si>
    <t xml:space="preserve">T0160</t>
  </si>
  <si>
    <t xml:space="preserve">T0161</t>
  </si>
  <si>
    <t xml:space="preserve">T0162</t>
  </si>
  <si>
    <t xml:space="preserve">T0163</t>
  </si>
  <si>
    <t xml:space="preserve">T0164</t>
  </si>
  <si>
    <t xml:space="preserve">T0165</t>
  </si>
  <si>
    <t xml:space="preserve">T0166</t>
  </si>
  <si>
    <t xml:space="preserve">T0167</t>
  </si>
  <si>
    <t xml:space="preserve">T0168</t>
  </si>
  <si>
    <t xml:space="preserve">T0169</t>
  </si>
  <si>
    <t xml:space="preserve">T0170</t>
  </si>
  <si>
    <t xml:space="preserve">T0171</t>
  </si>
  <si>
    <t xml:space="preserve">T0172</t>
  </si>
  <si>
    <t xml:space="preserve">T0173</t>
  </si>
  <si>
    <t xml:space="preserve">T0174</t>
  </si>
  <si>
    <t xml:space="preserve">T0175</t>
  </si>
  <si>
    <t xml:space="preserve">T0176</t>
  </si>
  <si>
    <t xml:space="preserve">T0177</t>
  </si>
  <si>
    <t xml:space="preserve">T0178</t>
  </si>
  <si>
    <t xml:space="preserve">T0179</t>
  </si>
  <si>
    <t xml:space="preserve">T0180</t>
  </si>
  <si>
    <t xml:space="preserve">T0181</t>
  </si>
  <si>
    <t xml:space="preserve">T0182</t>
  </si>
  <si>
    <t xml:space="preserve">T0183</t>
  </si>
  <si>
    <t xml:space="preserve">T0184</t>
  </si>
  <si>
    <t xml:space="preserve">T0185</t>
  </si>
  <si>
    <t xml:space="preserve">T0186</t>
  </si>
  <si>
    <t xml:space="preserve">T0187</t>
  </si>
  <si>
    <t xml:space="preserve">T0188</t>
  </si>
  <si>
    <t xml:space="preserve">T0189</t>
  </si>
  <si>
    <t xml:space="preserve">T0190</t>
  </si>
  <si>
    <t xml:space="preserve">T0191</t>
  </si>
  <si>
    <t xml:space="preserve">T0192</t>
  </si>
  <si>
    <t xml:space="preserve">T0193</t>
  </si>
  <si>
    <t xml:space="preserve">T0194</t>
  </si>
  <si>
    <t xml:space="preserve">T0195</t>
  </si>
  <si>
    <t xml:space="preserve">T0196</t>
  </si>
  <si>
    <t xml:space="preserve">T0197</t>
  </si>
  <si>
    <t xml:space="preserve">T0198</t>
  </si>
  <si>
    <t xml:space="preserve">T0199</t>
  </si>
  <si>
    <t xml:space="preserve">T0200</t>
  </si>
  <si>
    <t xml:space="preserve">T0201</t>
  </si>
  <si>
    <t xml:space="preserve">T0202</t>
  </si>
  <si>
    <t xml:space="preserve">T0203</t>
  </si>
  <si>
    <t xml:space="preserve">T0204</t>
  </si>
  <si>
    <t xml:space="preserve">T0205</t>
  </si>
  <si>
    <t xml:space="preserve">T0206</t>
  </si>
  <si>
    <t xml:space="preserve">T0207</t>
  </si>
  <si>
    <t xml:space="preserve">T0208</t>
  </si>
  <si>
    <t xml:space="preserve">T0209</t>
  </si>
  <si>
    <t xml:space="preserve">T0210</t>
  </si>
  <si>
    <t xml:space="preserve">T0211</t>
  </si>
  <si>
    <t xml:space="preserve">T0212</t>
  </si>
  <si>
    <t xml:space="preserve">T0213</t>
  </si>
  <si>
    <t xml:space="preserve">T0214</t>
  </si>
  <si>
    <t xml:space="preserve">T0215</t>
  </si>
  <si>
    <t xml:space="preserve">T0216</t>
  </si>
  <si>
    <t xml:space="preserve">T0217</t>
  </si>
  <si>
    <t xml:space="preserve">T0218</t>
  </si>
  <si>
    <t xml:space="preserve">T0219</t>
  </si>
  <si>
    <t xml:space="preserve">T0220</t>
  </si>
  <si>
    <t xml:space="preserve">T0221</t>
  </si>
  <si>
    <t xml:space="preserve">T0222</t>
  </si>
  <si>
    <t xml:space="preserve">T0223</t>
  </si>
  <si>
    <t xml:space="preserve">T0224</t>
  </si>
  <si>
    <t xml:space="preserve">T0225</t>
  </si>
  <si>
    <t xml:space="preserve">T0226</t>
  </si>
  <si>
    <t xml:space="preserve">T0227</t>
  </si>
  <si>
    <t xml:space="preserve">T0228</t>
  </si>
  <si>
    <t xml:space="preserve">T0229</t>
  </si>
  <si>
    <t xml:space="preserve">T0230</t>
  </si>
  <si>
    <t xml:space="preserve">T0231</t>
  </si>
  <si>
    <t xml:space="preserve">T0232</t>
  </si>
  <si>
    <t xml:space="preserve">T0233</t>
  </si>
  <si>
    <t xml:space="preserve">T0234</t>
  </si>
  <si>
    <t xml:space="preserve">T0235</t>
  </si>
  <si>
    <t xml:space="preserve">T0236</t>
  </si>
  <si>
    <t xml:space="preserve">T0237</t>
  </si>
  <si>
    <t xml:space="preserve">T0238</t>
  </si>
  <si>
    <t xml:space="preserve">T0239</t>
  </si>
  <si>
    <t xml:space="preserve">T0240</t>
  </si>
  <si>
    <t xml:space="preserve">T0241</t>
  </si>
  <si>
    <t xml:space="preserve">T0242</t>
  </si>
  <si>
    <t xml:space="preserve">T0243</t>
  </si>
  <si>
    <t xml:space="preserve">T0244</t>
  </si>
  <si>
    <t xml:space="preserve">T0245</t>
  </si>
  <si>
    <t xml:space="preserve">T0246</t>
  </si>
  <si>
    <t xml:space="preserve">T0247</t>
  </si>
  <si>
    <t xml:space="preserve">T0248</t>
  </si>
  <si>
    <t xml:space="preserve">T0249</t>
  </si>
  <si>
    <t xml:space="preserve">T0250</t>
  </si>
  <si>
    <t xml:space="preserve">T0251</t>
  </si>
  <si>
    <t xml:space="preserve">T0252</t>
  </si>
  <si>
    <t xml:space="preserve">T0253</t>
  </si>
  <si>
    <t xml:space="preserve">T0254</t>
  </si>
  <si>
    <t xml:space="preserve">T0255</t>
  </si>
  <si>
    <t xml:space="preserve">T0256</t>
  </si>
  <si>
    <t xml:space="preserve">T0257</t>
  </si>
  <si>
    <t xml:space="preserve">T0258</t>
  </si>
  <si>
    <t xml:space="preserve">T0259</t>
  </si>
  <si>
    <t xml:space="preserve">T0260</t>
  </si>
  <si>
    <t xml:space="preserve">T0261</t>
  </si>
  <si>
    <t xml:space="preserve">T0262</t>
  </si>
  <si>
    <t xml:space="preserve">T0263</t>
  </si>
  <si>
    <t xml:space="preserve">T0264</t>
  </si>
  <si>
    <t xml:space="preserve">T0265</t>
  </si>
  <si>
    <t xml:space="preserve">T0266</t>
  </si>
  <si>
    <t xml:space="preserve">T0267</t>
  </si>
  <si>
    <t xml:space="preserve">T0268</t>
  </si>
  <si>
    <t xml:space="preserve">T0269</t>
  </si>
  <si>
    <t xml:space="preserve">T0270</t>
  </si>
  <si>
    <t xml:space="preserve">T0271</t>
  </si>
  <si>
    <t xml:space="preserve">T0272</t>
  </si>
  <si>
    <t xml:space="preserve">T0273</t>
  </si>
  <si>
    <t xml:space="preserve">T0274</t>
  </si>
  <si>
    <t xml:space="preserve">T0275</t>
  </si>
  <si>
    <t xml:space="preserve">T0276</t>
  </si>
  <si>
    <t xml:space="preserve">T0277</t>
  </si>
  <si>
    <t xml:space="preserve">T0278</t>
  </si>
  <si>
    <t xml:space="preserve">T0279</t>
  </si>
  <si>
    <t xml:space="preserve">T0280</t>
  </si>
  <si>
    <t xml:space="preserve">T0281</t>
  </si>
  <si>
    <t xml:space="preserve">T0282</t>
  </si>
  <si>
    <t xml:space="preserve">T0283</t>
  </si>
  <si>
    <t xml:space="preserve">T0284</t>
  </si>
  <si>
    <t xml:space="preserve">T0285</t>
  </si>
  <si>
    <t xml:space="preserve">T0286</t>
  </si>
  <si>
    <t xml:space="preserve">T0287</t>
  </si>
  <si>
    <t xml:space="preserve">T0288</t>
  </si>
  <si>
    <t xml:space="preserve">T0289</t>
  </si>
  <si>
    <t xml:space="preserve">T0290</t>
  </si>
  <si>
    <t xml:space="preserve">T0291</t>
  </si>
  <si>
    <t xml:space="preserve">T0292</t>
  </si>
  <si>
    <t xml:space="preserve">T0293</t>
  </si>
  <si>
    <t xml:space="preserve">T0294</t>
  </si>
  <si>
    <t xml:space="preserve">T0295</t>
  </si>
  <si>
    <t xml:space="preserve">T0296</t>
  </si>
  <si>
    <t xml:space="preserve">T0297</t>
  </si>
  <si>
    <t xml:space="preserve">T0298</t>
  </si>
  <si>
    <t xml:space="preserve">T0299</t>
  </si>
  <si>
    <t xml:space="preserve">T0300</t>
  </si>
  <si>
    <t xml:space="preserve">T0301</t>
  </si>
  <si>
    <t xml:space="preserve">T0302</t>
  </si>
  <si>
    <t xml:space="preserve">T0303</t>
  </si>
  <si>
    <t xml:space="preserve">T0304</t>
  </si>
  <si>
    <t xml:space="preserve">T0305</t>
  </si>
  <si>
    <t xml:space="preserve">T0306</t>
  </si>
  <si>
    <t xml:space="preserve">T0307</t>
  </si>
  <si>
    <t xml:space="preserve">T0308</t>
  </si>
  <si>
    <t xml:space="preserve">T0309</t>
  </si>
  <si>
    <t xml:space="preserve">T0310</t>
  </si>
  <si>
    <t xml:space="preserve">T0311</t>
  </si>
  <si>
    <t xml:space="preserve">T0312</t>
  </si>
  <si>
    <t xml:space="preserve">T0313</t>
  </si>
  <si>
    <t xml:space="preserve">T0314</t>
  </si>
  <si>
    <t xml:space="preserve">T0315</t>
  </si>
  <si>
    <t xml:space="preserve">T0316</t>
  </si>
  <si>
    <t xml:space="preserve">T0317</t>
  </si>
  <si>
    <t xml:space="preserve">T0318</t>
  </si>
  <si>
    <t xml:space="preserve">T0319</t>
  </si>
  <si>
    <t xml:space="preserve">T0320</t>
  </si>
  <si>
    <t xml:space="preserve">T0321</t>
  </si>
  <si>
    <t xml:space="preserve">T0322</t>
  </si>
  <si>
    <t xml:space="preserve">T0323</t>
  </si>
  <si>
    <t xml:space="preserve">T0324</t>
  </si>
  <si>
    <t xml:space="preserve">T0325</t>
  </si>
  <si>
    <t xml:space="preserve">T0326</t>
  </si>
  <si>
    <t xml:space="preserve">T0327</t>
  </si>
  <si>
    <t xml:space="preserve">T0328</t>
  </si>
  <si>
    <t xml:space="preserve">T0329</t>
  </si>
  <si>
    <t xml:space="preserve">T0330</t>
  </si>
  <si>
    <t xml:space="preserve">T0331</t>
  </si>
  <si>
    <t xml:space="preserve">T0332</t>
  </si>
  <si>
    <t xml:space="preserve">T0333</t>
  </si>
  <si>
    <t xml:space="preserve">T0334</t>
  </si>
  <si>
    <t xml:space="preserve">T0335</t>
  </si>
  <si>
    <t xml:space="preserve">T0336</t>
  </si>
  <si>
    <t xml:space="preserve">T0337</t>
  </si>
  <si>
    <t xml:space="preserve">T0338</t>
  </si>
  <si>
    <t xml:space="preserve">T0339</t>
  </si>
  <si>
    <t xml:space="preserve">T0340</t>
  </si>
  <si>
    <t xml:space="preserve">T0341</t>
  </si>
  <si>
    <t xml:space="preserve">T0342</t>
  </si>
  <si>
    <t xml:space="preserve">T0343</t>
  </si>
  <si>
    <t xml:space="preserve">T0344</t>
  </si>
  <si>
    <t xml:space="preserve">T0345</t>
  </si>
  <si>
    <t xml:space="preserve">T0346</t>
  </si>
  <si>
    <t xml:space="preserve">T0347</t>
  </si>
  <si>
    <t xml:space="preserve">T0348</t>
  </si>
  <si>
    <t xml:space="preserve">T0349</t>
  </si>
  <si>
    <t xml:space="preserve">T0350</t>
  </si>
  <si>
    <t xml:space="preserve">T0351</t>
  </si>
  <si>
    <t xml:space="preserve">T0352</t>
  </si>
  <si>
    <t xml:space="preserve">T0353</t>
  </si>
  <si>
    <t xml:space="preserve">T0354</t>
  </si>
  <si>
    <t xml:space="preserve">T0355</t>
  </si>
  <si>
    <t xml:space="preserve">T0356</t>
  </si>
  <si>
    <t xml:space="preserve">T0357</t>
  </si>
  <si>
    <t xml:space="preserve">T0358</t>
  </si>
  <si>
    <t xml:space="preserve">T0359</t>
  </si>
  <si>
    <t xml:space="preserve">T0360</t>
  </si>
  <si>
    <t xml:space="preserve">T0361</t>
  </si>
  <si>
    <t xml:space="preserve">T0362</t>
  </si>
  <si>
    <t xml:space="preserve">T0363</t>
  </si>
  <si>
    <t xml:space="preserve">T0364</t>
  </si>
  <si>
    <t xml:space="preserve">T0365</t>
  </si>
  <si>
    <t xml:space="preserve">T0366</t>
  </si>
  <si>
    <t xml:space="preserve">T0367</t>
  </si>
  <si>
    <t xml:space="preserve">T0368</t>
  </si>
  <si>
    <t xml:space="preserve">T0369</t>
  </si>
  <si>
    <t xml:space="preserve">T0370</t>
  </si>
  <si>
    <t xml:space="preserve">T0371</t>
  </si>
  <si>
    <t xml:space="preserve">T0372</t>
  </si>
  <si>
    <t xml:space="preserve">T0373</t>
  </si>
  <si>
    <t xml:space="preserve">T0374</t>
  </si>
  <si>
    <t xml:space="preserve">T0375</t>
  </si>
  <si>
    <t xml:space="preserve">T0376</t>
  </si>
  <si>
    <t xml:space="preserve">T0377</t>
  </si>
  <si>
    <t xml:space="preserve">T0378</t>
  </si>
  <si>
    <t xml:space="preserve">T0379</t>
  </si>
  <si>
    <t xml:space="preserve">T0380</t>
  </si>
  <si>
    <t xml:space="preserve">T0381</t>
  </si>
  <si>
    <t xml:space="preserve">T0382</t>
  </si>
  <si>
    <t xml:space="preserve">T0383</t>
  </si>
  <si>
    <t xml:space="preserve">T0384</t>
  </si>
  <si>
    <t xml:space="preserve">T0385</t>
  </si>
  <si>
    <t xml:space="preserve">T0386</t>
  </si>
  <si>
    <t xml:space="preserve">T0387</t>
  </si>
  <si>
    <t xml:space="preserve">T0388</t>
  </si>
  <si>
    <t xml:space="preserve">T0389</t>
  </si>
  <si>
    <t xml:space="preserve">T0390</t>
  </si>
  <si>
    <t xml:space="preserve">T0391</t>
  </si>
  <si>
    <t xml:space="preserve">T0392</t>
  </si>
  <si>
    <t xml:space="preserve">T0393</t>
  </si>
  <si>
    <t xml:space="preserve">T0394</t>
  </si>
  <si>
    <t xml:space="preserve">T0395</t>
  </si>
  <si>
    <t xml:space="preserve">T0396</t>
  </si>
  <si>
    <t xml:space="preserve">T0397</t>
  </si>
  <si>
    <t xml:space="preserve">T0398</t>
  </si>
  <si>
    <t xml:space="preserve">T0399</t>
  </si>
  <si>
    <t xml:space="preserve">T0400</t>
  </si>
  <si>
    <t xml:space="preserve">T0401</t>
  </si>
  <si>
    <t xml:space="preserve">T0402</t>
  </si>
  <si>
    <t xml:space="preserve">T0403</t>
  </si>
  <si>
    <t xml:space="preserve">T0404</t>
  </si>
  <si>
    <t xml:space="preserve">T0405</t>
  </si>
  <si>
    <t xml:space="preserve">T0406</t>
  </si>
  <si>
    <t xml:space="preserve">T0407</t>
  </si>
  <si>
    <t xml:space="preserve">T0408</t>
  </si>
  <si>
    <t xml:space="preserve">T0409</t>
  </si>
  <si>
    <t xml:space="preserve">T0410</t>
  </si>
  <si>
    <t xml:space="preserve">T0411</t>
  </si>
  <si>
    <t xml:space="preserve">T0412</t>
  </si>
  <si>
    <t xml:space="preserve">T0413</t>
  </si>
  <si>
    <t xml:space="preserve">T0414</t>
  </si>
  <si>
    <t xml:space="preserve">T0415</t>
  </si>
  <si>
    <t xml:space="preserve">T0416</t>
  </si>
  <si>
    <t xml:space="preserve">T0417</t>
  </si>
  <si>
    <t xml:space="preserve">T0418</t>
  </si>
  <si>
    <t xml:space="preserve">T0419</t>
  </si>
  <si>
    <t xml:space="preserve">T0420</t>
  </si>
  <si>
    <t xml:space="preserve">T0421</t>
  </si>
  <si>
    <t xml:space="preserve">T0422</t>
  </si>
  <si>
    <t xml:space="preserve">T0423</t>
  </si>
  <si>
    <t xml:space="preserve">T0424</t>
  </si>
  <si>
    <t xml:space="preserve">T0425</t>
  </si>
  <si>
    <t xml:space="preserve">T0426</t>
  </si>
  <si>
    <t xml:space="preserve">T0427</t>
  </si>
  <si>
    <t xml:space="preserve">T0428</t>
  </si>
  <si>
    <t xml:space="preserve">T0429</t>
  </si>
  <si>
    <t xml:space="preserve">T0430</t>
  </si>
  <si>
    <t xml:space="preserve">T0431</t>
  </si>
  <si>
    <t xml:space="preserve">T0432</t>
  </si>
  <si>
    <t xml:space="preserve">T0433</t>
  </si>
  <si>
    <t xml:space="preserve">T0434</t>
  </si>
  <si>
    <t xml:space="preserve">T0435</t>
  </si>
  <si>
    <t xml:space="preserve">T0436</t>
  </si>
  <si>
    <t xml:space="preserve">T0437</t>
  </si>
  <si>
    <t xml:space="preserve">T0438</t>
  </si>
  <si>
    <t xml:space="preserve">T0439</t>
  </si>
  <si>
    <t xml:space="preserve">T0440</t>
  </si>
  <si>
    <t xml:space="preserve">T0441</t>
  </si>
  <si>
    <t xml:space="preserve">T0442</t>
  </si>
  <si>
    <t xml:space="preserve">T0443</t>
  </si>
  <si>
    <t xml:space="preserve">T0444</t>
  </si>
  <si>
    <t xml:space="preserve">T0445</t>
  </si>
  <si>
    <t xml:space="preserve">T0446</t>
  </si>
  <si>
    <t xml:space="preserve">T0447</t>
  </si>
  <si>
    <t xml:space="preserve">T0448</t>
  </si>
  <si>
    <t xml:space="preserve">T0449</t>
  </si>
  <si>
    <t xml:space="preserve">T0450</t>
  </si>
  <si>
    <t xml:space="preserve">T0451</t>
  </si>
  <si>
    <t xml:space="preserve">T0452</t>
  </si>
  <si>
    <t xml:space="preserve">T0453</t>
  </si>
  <si>
    <t xml:space="preserve">T0454</t>
  </si>
  <si>
    <t xml:space="preserve">T0455</t>
  </si>
  <si>
    <t xml:space="preserve">T0456</t>
  </si>
  <si>
    <t xml:space="preserve">T0457</t>
  </si>
  <si>
    <t xml:space="preserve">T0458</t>
  </si>
  <si>
    <t xml:space="preserve">T0459</t>
  </si>
  <si>
    <t xml:space="preserve">T0460</t>
  </si>
  <si>
    <t xml:space="preserve">T0461</t>
  </si>
  <si>
    <t xml:space="preserve">T0462</t>
  </si>
  <si>
    <t xml:space="preserve">T0463</t>
  </si>
  <si>
    <t xml:space="preserve">T0464</t>
  </si>
  <si>
    <t xml:space="preserve">T0465</t>
  </si>
  <si>
    <t xml:space="preserve">T0466</t>
  </si>
  <si>
    <t xml:space="preserve">T0467</t>
  </si>
  <si>
    <t xml:space="preserve">T0468</t>
  </si>
  <si>
    <t xml:space="preserve">T0469</t>
  </si>
  <si>
    <t xml:space="preserve">T0470</t>
  </si>
  <si>
    <t xml:space="preserve">T0471</t>
  </si>
  <si>
    <t xml:space="preserve">T0472</t>
  </si>
  <si>
    <t xml:space="preserve">T0473</t>
  </si>
  <si>
    <t xml:space="preserve">T0474</t>
  </si>
  <si>
    <t xml:space="preserve">T0475</t>
  </si>
  <si>
    <t xml:space="preserve">T0476</t>
  </si>
  <si>
    <t xml:space="preserve">T0477</t>
  </si>
  <si>
    <t xml:space="preserve">T0478</t>
  </si>
  <si>
    <t xml:space="preserve">T0479</t>
  </si>
  <si>
    <t xml:space="preserve">T0480</t>
  </si>
  <si>
    <t xml:space="preserve">T0481</t>
  </si>
  <si>
    <t xml:space="preserve">T0482</t>
  </si>
  <si>
    <t xml:space="preserve">T0483</t>
  </si>
  <si>
    <t xml:space="preserve">T0484</t>
  </si>
  <si>
    <t xml:space="preserve">T0485</t>
  </si>
  <si>
    <t xml:space="preserve">T0486</t>
  </si>
  <si>
    <t xml:space="preserve">T0487</t>
  </si>
  <si>
    <t xml:space="preserve">T0488</t>
  </si>
  <si>
    <t xml:space="preserve">T0489</t>
  </si>
  <si>
    <t xml:space="preserve">T0490</t>
  </si>
  <si>
    <t xml:space="preserve">T0491</t>
  </si>
  <si>
    <t xml:space="preserve">T0492</t>
  </si>
  <si>
    <t xml:space="preserve">T0493</t>
  </si>
  <si>
    <t xml:space="preserve">T0494</t>
  </si>
  <si>
    <t xml:space="preserve">T0495</t>
  </si>
  <si>
    <t xml:space="preserve">T0496</t>
  </si>
  <si>
    <t xml:space="preserve">T0497</t>
  </si>
  <si>
    <t xml:space="preserve">T0498</t>
  </si>
  <si>
    <t xml:space="preserve">T0499</t>
  </si>
  <si>
    <t xml:space="preserve">T0500</t>
  </si>
  <si>
    <t xml:space="preserve">T0501</t>
  </si>
  <si>
    <t xml:space="preserve">T0502</t>
  </si>
  <si>
    <t xml:space="preserve">T0503</t>
  </si>
  <si>
    <t xml:space="preserve">T0504</t>
  </si>
  <si>
    <t xml:space="preserve">T0505</t>
  </si>
  <si>
    <t xml:space="preserve">T0506</t>
  </si>
  <si>
    <t xml:space="preserve">T0507</t>
  </si>
  <si>
    <t xml:space="preserve">T0508</t>
  </si>
  <si>
    <t xml:space="preserve">T0509</t>
  </si>
  <si>
    <t xml:space="preserve">T0510</t>
  </si>
  <si>
    <t xml:space="preserve">T0511</t>
  </si>
  <si>
    <t xml:space="preserve">T0512</t>
  </si>
  <si>
    <t xml:space="preserve">T0513</t>
  </si>
  <si>
    <t xml:space="preserve">T0514</t>
  </si>
  <si>
    <t xml:space="preserve">T0515</t>
  </si>
  <si>
    <t xml:space="preserve">T0516</t>
  </si>
  <si>
    <t xml:space="preserve">T0517</t>
  </si>
  <si>
    <t xml:space="preserve">T0518</t>
  </si>
  <si>
    <t xml:space="preserve">T0519</t>
  </si>
  <si>
    <t xml:space="preserve">T0520</t>
  </si>
  <si>
    <t xml:space="preserve">T0521</t>
  </si>
  <si>
    <t xml:space="preserve">T0522</t>
  </si>
  <si>
    <t xml:space="preserve">T0523</t>
  </si>
  <si>
    <t xml:space="preserve">T0524</t>
  </si>
  <si>
    <t xml:space="preserve">T0525</t>
  </si>
  <si>
    <t xml:space="preserve">T0526</t>
  </si>
  <si>
    <t xml:space="preserve">T0527</t>
  </si>
  <si>
    <t xml:space="preserve">T0528</t>
  </si>
  <si>
    <t xml:space="preserve">T0529</t>
  </si>
  <si>
    <t xml:space="preserve">T0530</t>
  </si>
  <si>
    <t xml:space="preserve">T0531</t>
  </si>
  <si>
    <t xml:space="preserve">T0532</t>
  </si>
  <si>
    <t xml:space="preserve">T0533</t>
  </si>
  <si>
    <t xml:space="preserve">T0534</t>
  </si>
  <si>
    <t xml:space="preserve">T0535</t>
  </si>
  <si>
    <t xml:space="preserve">T0536</t>
  </si>
  <si>
    <t xml:space="preserve">T0537</t>
  </si>
  <si>
    <t xml:space="preserve">T0538</t>
  </si>
  <si>
    <t xml:space="preserve">T0539</t>
  </si>
  <si>
    <t xml:space="preserve">T0540</t>
  </si>
  <si>
    <t xml:space="preserve">T0541</t>
  </si>
  <si>
    <t xml:space="preserve">T0542</t>
  </si>
  <si>
    <t xml:space="preserve">T0543</t>
  </si>
  <si>
    <t xml:space="preserve">T0544</t>
  </si>
  <si>
    <t xml:space="preserve">T0545</t>
  </si>
  <si>
    <t xml:space="preserve">T0546</t>
  </si>
  <si>
    <t xml:space="preserve">T0547</t>
  </si>
  <si>
    <t xml:space="preserve">T0548</t>
  </si>
  <si>
    <t xml:space="preserve">T0549</t>
  </si>
  <si>
    <t xml:space="preserve">T0550</t>
  </si>
  <si>
    <t xml:space="preserve">T0551</t>
  </si>
  <si>
    <t xml:space="preserve">T0552</t>
  </si>
  <si>
    <t xml:space="preserve">T0553</t>
  </si>
  <si>
    <t xml:space="preserve">T0554</t>
  </si>
  <si>
    <t xml:space="preserve">T0555</t>
  </si>
  <si>
    <t xml:space="preserve">T0556</t>
  </si>
  <si>
    <t xml:space="preserve">T0557</t>
  </si>
  <si>
    <t xml:space="preserve">T0558</t>
  </si>
  <si>
    <t xml:space="preserve">T0559</t>
  </si>
  <si>
    <t xml:space="preserve">T0560</t>
  </si>
  <si>
    <t xml:space="preserve">T0561</t>
  </si>
  <si>
    <t xml:space="preserve">T0562</t>
  </si>
  <si>
    <t xml:space="preserve">T0563</t>
  </si>
  <si>
    <t xml:space="preserve">T0564</t>
  </si>
  <si>
    <t xml:space="preserve">T0565</t>
  </si>
  <si>
    <t xml:space="preserve">T0566</t>
  </si>
  <si>
    <t xml:space="preserve">T0567</t>
  </si>
  <si>
    <t xml:space="preserve">T0568</t>
  </si>
  <si>
    <t xml:space="preserve">T0569</t>
  </si>
  <si>
    <t xml:space="preserve">T0570</t>
  </si>
  <si>
    <t xml:space="preserve">T0571</t>
  </si>
  <si>
    <t xml:space="preserve">T0572</t>
  </si>
  <si>
    <t xml:space="preserve">T0573</t>
  </si>
  <si>
    <t xml:space="preserve">T0574</t>
  </si>
  <si>
    <t xml:space="preserve">T0575</t>
  </si>
  <si>
    <t xml:space="preserve">T0576</t>
  </si>
  <si>
    <t xml:space="preserve">T0577</t>
  </si>
  <si>
    <t xml:space="preserve">T0578</t>
  </si>
  <si>
    <t xml:space="preserve">T0579</t>
  </si>
  <si>
    <t xml:space="preserve">T0580</t>
  </si>
  <si>
    <t xml:space="preserve">T0581</t>
  </si>
  <si>
    <t xml:space="preserve">T0582</t>
  </si>
  <si>
    <t xml:space="preserve">T0583</t>
  </si>
  <si>
    <t xml:space="preserve">T0584</t>
  </si>
  <si>
    <t xml:space="preserve">T0585</t>
  </si>
  <si>
    <t xml:space="preserve">T0586</t>
  </si>
  <si>
    <t xml:space="preserve">T0587</t>
  </si>
  <si>
    <t xml:space="preserve">T0588</t>
  </si>
  <si>
    <t xml:space="preserve">T0589</t>
  </si>
  <si>
    <t xml:space="preserve">T0590</t>
  </si>
  <si>
    <t xml:space="preserve">T0591</t>
  </si>
  <si>
    <t xml:space="preserve">T0592</t>
  </si>
  <si>
    <t xml:space="preserve">T0593</t>
  </si>
  <si>
    <t xml:space="preserve">T0594</t>
  </si>
  <si>
    <t xml:space="preserve">T0595</t>
  </si>
  <si>
    <t xml:space="preserve">T0596</t>
  </si>
  <si>
    <t xml:space="preserve">T0597</t>
  </si>
  <si>
    <t xml:space="preserve">T0598</t>
  </si>
  <si>
    <t xml:space="preserve">T0599</t>
  </si>
  <si>
    <t xml:space="preserve">T0600</t>
  </si>
  <si>
    <t xml:space="preserve">T0601</t>
  </si>
  <si>
    <t xml:space="preserve">T0602</t>
  </si>
  <si>
    <t xml:space="preserve">T0603</t>
  </si>
  <si>
    <t xml:space="preserve">T0604</t>
  </si>
  <si>
    <t xml:space="preserve">T0605</t>
  </si>
  <si>
    <t xml:space="preserve">T0606</t>
  </si>
  <si>
    <t xml:space="preserve">T0607</t>
  </si>
  <si>
    <t xml:space="preserve">T0608</t>
  </si>
  <si>
    <t xml:space="preserve">T0609</t>
  </si>
  <si>
    <t xml:space="preserve">T0610</t>
  </si>
  <si>
    <t xml:space="preserve">T0611</t>
  </si>
  <si>
    <t xml:space="preserve">T0612</t>
  </si>
  <si>
    <t xml:space="preserve">T0613</t>
  </si>
  <si>
    <t xml:space="preserve">T0614</t>
  </si>
  <si>
    <t xml:space="preserve">T0615</t>
  </si>
  <si>
    <t xml:space="preserve">T0616</t>
  </si>
  <si>
    <t xml:space="preserve">T0617</t>
  </si>
  <si>
    <t xml:space="preserve">T0618</t>
  </si>
  <si>
    <t xml:space="preserve">T0619</t>
  </si>
  <si>
    <t xml:space="preserve">T0620</t>
  </si>
  <si>
    <t xml:space="preserve">T0621</t>
  </si>
  <si>
    <t xml:space="preserve">T0622</t>
  </si>
  <si>
    <t xml:space="preserve">T0623</t>
  </si>
  <si>
    <t xml:space="preserve">T0624</t>
  </si>
  <si>
    <t xml:space="preserve">T0625</t>
  </si>
  <si>
    <t xml:space="preserve">T0626</t>
  </si>
  <si>
    <t xml:space="preserve">T0627</t>
  </si>
  <si>
    <t xml:space="preserve">T0628</t>
  </si>
  <si>
    <t xml:space="preserve">T0629</t>
  </si>
  <si>
    <t xml:space="preserve">T0630</t>
  </si>
  <si>
    <t xml:space="preserve">T0631</t>
  </si>
  <si>
    <t xml:space="preserve">T0632</t>
  </si>
  <si>
    <t xml:space="preserve">T0633</t>
  </si>
  <si>
    <t xml:space="preserve">T0634</t>
  </si>
  <si>
    <t xml:space="preserve">T0635</t>
  </si>
  <si>
    <t xml:space="preserve">T0636</t>
  </si>
  <si>
    <t xml:space="preserve">T0637</t>
  </si>
  <si>
    <t xml:space="preserve">T0638</t>
  </si>
  <si>
    <t xml:space="preserve">T0639</t>
  </si>
  <si>
    <t xml:space="preserve">T0640</t>
  </si>
  <si>
    <t xml:space="preserve">T0641</t>
  </si>
  <si>
    <t xml:space="preserve">T0642</t>
  </si>
  <si>
    <t xml:space="preserve">T0643</t>
  </si>
  <si>
    <t xml:space="preserve">T0644</t>
  </si>
  <si>
    <t xml:space="preserve">T0645</t>
  </si>
  <si>
    <t xml:space="preserve">T0646</t>
  </si>
  <si>
    <t xml:space="preserve">T0647</t>
  </si>
  <si>
    <t xml:space="preserve">T0648</t>
  </si>
  <si>
    <t xml:space="preserve">T0649</t>
  </si>
  <si>
    <t xml:space="preserve">T0650</t>
  </si>
  <si>
    <t xml:space="preserve">T0651</t>
  </si>
  <si>
    <t xml:space="preserve">T0652</t>
  </si>
  <si>
    <t xml:space="preserve">T0653</t>
  </si>
  <si>
    <t xml:space="preserve">T0654</t>
  </si>
  <si>
    <t xml:space="preserve">T0655</t>
  </si>
  <si>
    <t xml:space="preserve">T0656</t>
  </si>
  <si>
    <t xml:space="preserve">T0657</t>
  </si>
  <si>
    <t xml:space="preserve">T0658</t>
  </si>
  <si>
    <t xml:space="preserve">T0659</t>
  </si>
  <si>
    <t xml:space="preserve">T0660</t>
  </si>
  <si>
    <t xml:space="preserve">T0661</t>
  </si>
  <si>
    <t xml:space="preserve">T0662</t>
  </si>
  <si>
    <t xml:space="preserve">T0663</t>
  </si>
  <si>
    <t xml:space="preserve">T0664</t>
  </si>
  <si>
    <t xml:space="preserve">T0665</t>
  </si>
  <si>
    <t xml:space="preserve">T0666</t>
  </si>
  <si>
    <t xml:space="preserve">T0667</t>
  </si>
  <si>
    <t xml:space="preserve">T0668</t>
  </si>
  <si>
    <t xml:space="preserve">T0669</t>
  </si>
  <si>
    <t xml:space="preserve">T0670</t>
  </si>
  <si>
    <t xml:space="preserve">T0671</t>
  </si>
  <si>
    <t xml:space="preserve">T0672</t>
  </si>
  <si>
    <t xml:space="preserve">T0673</t>
  </si>
  <si>
    <t xml:space="preserve">T0674</t>
  </si>
  <si>
    <t xml:space="preserve">T0675</t>
  </si>
  <si>
    <t xml:space="preserve">T0676</t>
  </si>
  <si>
    <t xml:space="preserve">T0677</t>
  </si>
  <si>
    <t xml:space="preserve">T0678</t>
  </si>
  <si>
    <t xml:space="preserve">T0679</t>
  </si>
  <si>
    <t xml:space="preserve">T0680</t>
  </si>
  <si>
    <t xml:space="preserve">T0681</t>
  </si>
  <si>
    <t xml:space="preserve">T0682</t>
  </si>
  <si>
    <t xml:space="preserve">T0683</t>
  </si>
  <si>
    <t xml:space="preserve">T0684</t>
  </si>
  <si>
    <t xml:space="preserve">T0685</t>
  </si>
  <si>
    <t xml:space="preserve">T0686</t>
  </si>
  <si>
    <t xml:space="preserve">T0687</t>
  </si>
  <si>
    <t xml:space="preserve">T0688</t>
  </si>
  <si>
    <t xml:space="preserve">T0689</t>
  </si>
  <si>
    <t xml:space="preserve">T0690</t>
  </si>
  <si>
    <t xml:space="preserve">T0691</t>
  </si>
  <si>
    <t xml:space="preserve">T0692</t>
  </si>
  <si>
    <t xml:space="preserve">T0693</t>
  </si>
  <si>
    <t xml:space="preserve">T0694</t>
  </si>
  <si>
    <t xml:space="preserve">T0695</t>
  </si>
  <si>
    <t xml:space="preserve">T0696</t>
  </si>
  <si>
    <t xml:space="preserve">T0697</t>
  </si>
  <si>
    <t xml:space="preserve">T0698</t>
  </si>
  <si>
    <t xml:space="preserve">T0699</t>
  </si>
  <si>
    <t xml:space="preserve">T0700</t>
  </si>
  <si>
    <t xml:space="preserve">T0701</t>
  </si>
  <si>
    <t xml:space="preserve">T0702</t>
  </si>
  <si>
    <t xml:space="preserve">T0703</t>
  </si>
  <si>
    <t xml:space="preserve">T0704</t>
  </si>
  <si>
    <t xml:space="preserve">T0705</t>
  </si>
  <si>
    <t xml:space="preserve">T0706</t>
  </si>
  <si>
    <t xml:space="preserve">T0707</t>
  </si>
  <si>
    <t xml:space="preserve">T0708</t>
  </si>
  <si>
    <t xml:space="preserve">T0709</t>
  </si>
  <si>
    <t xml:space="preserve">T0710</t>
  </si>
  <si>
    <t xml:space="preserve">T0711</t>
  </si>
  <si>
    <t xml:space="preserve">T0712</t>
  </si>
  <si>
    <t xml:space="preserve">T0713</t>
  </si>
  <si>
    <t xml:space="preserve">T0714</t>
  </si>
  <si>
    <t xml:space="preserve">T0715</t>
  </si>
  <si>
    <t xml:space="preserve">T0716</t>
  </si>
  <si>
    <t xml:space="preserve">T0717</t>
  </si>
  <si>
    <t xml:space="preserve">T0718</t>
  </si>
  <si>
    <t xml:space="preserve">T0719</t>
  </si>
  <si>
    <t xml:space="preserve">T0720</t>
  </si>
  <si>
    <t xml:space="preserve">T0721</t>
  </si>
  <si>
    <t xml:space="preserve">T0722</t>
  </si>
  <si>
    <t xml:space="preserve">T0723</t>
  </si>
  <si>
    <t xml:space="preserve">T0724</t>
  </si>
  <si>
    <t xml:space="preserve">T0725</t>
  </si>
  <si>
    <t xml:space="preserve">T0726</t>
  </si>
  <si>
    <t xml:space="preserve">T0727</t>
  </si>
  <si>
    <t xml:space="preserve">T0728</t>
  </si>
  <si>
    <t xml:space="preserve">T0729</t>
  </si>
  <si>
    <t xml:space="preserve">T0730</t>
  </si>
  <si>
    <t xml:space="preserve">T0731</t>
  </si>
  <si>
    <t xml:space="preserve">T0732</t>
  </si>
  <si>
    <t xml:space="preserve">T0733</t>
  </si>
  <si>
    <t xml:space="preserve">T0734</t>
  </si>
  <si>
    <t xml:space="preserve">T0735</t>
  </si>
  <si>
    <t xml:space="preserve">T0736</t>
  </si>
  <si>
    <t xml:space="preserve">T0737</t>
  </si>
  <si>
    <t xml:space="preserve">T0738</t>
  </si>
  <si>
    <t xml:space="preserve">T0739</t>
  </si>
  <si>
    <t xml:space="preserve">T0740</t>
  </si>
  <si>
    <t xml:space="preserve">T0741</t>
  </si>
  <si>
    <t xml:space="preserve">T0742</t>
  </si>
  <si>
    <t xml:space="preserve">T0743</t>
  </si>
  <si>
    <t xml:space="preserve">T0744</t>
  </si>
  <si>
    <t xml:space="preserve">T0745</t>
  </si>
  <si>
    <t xml:space="preserve">T0746</t>
  </si>
  <si>
    <t xml:space="preserve">T0747</t>
  </si>
  <si>
    <t xml:space="preserve">T0748</t>
  </si>
  <si>
    <t xml:space="preserve">T0749</t>
  </si>
  <si>
    <t xml:space="preserve">T0750</t>
  </si>
  <si>
    <t xml:space="preserve">T0751</t>
  </si>
  <si>
    <t xml:space="preserve">T0752</t>
  </si>
  <si>
    <t xml:space="preserve">T0753</t>
  </si>
  <si>
    <t xml:space="preserve">T0754</t>
  </si>
  <si>
    <t xml:space="preserve">T0755</t>
  </si>
  <si>
    <t xml:space="preserve">T0756</t>
  </si>
  <si>
    <t xml:space="preserve">T0757</t>
  </si>
  <si>
    <t xml:space="preserve">T0758</t>
  </si>
  <si>
    <t xml:space="preserve">T0759</t>
  </si>
  <si>
    <t xml:space="preserve">T0760</t>
  </si>
  <si>
    <t xml:space="preserve">T0761</t>
  </si>
  <si>
    <t xml:space="preserve">T0762</t>
  </si>
  <si>
    <t xml:space="preserve">T0763</t>
  </si>
  <si>
    <t xml:space="preserve">T0764</t>
  </si>
  <si>
    <t xml:space="preserve">T0765</t>
  </si>
  <si>
    <t xml:space="preserve">T0766</t>
  </si>
  <si>
    <t xml:space="preserve">T0767</t>
  </si>
  <si>
    <t xml:space="preserve">T0768</t>
  </si>
  <si>
    <t xml:space="preserve">T0769</t>
  </si>
  <si>
    <t xml:space="preserve">T0770</t>
  </si>
  <si>
    <t xml:space="preserve">T0771</t>
  </si>
  <si>
    <t xml:space="preserve">T0772</t>
  </si>
  <si>
    <t xml:space="preserve">T0773</t>
  </si>
  <si>
    <t xml:space="preserve">T0774</t>
  </si>
  <si>
    <t xml:space="preserve">T0775</t>
  </si>
  <si>
    <t xml:space="preserve">T0776</t>
  </si>
  <si>
    <t xml:space="preserve">T0777</t>
  </si>
  <si>
    <t xml:space="preserve">T0778</t>
  </si>
  <si>
    <t xml:space="preserve">T0779</t>
  </si>
  <si>
    <t xml:space="preserve">T0780</t>
  </si>
  <si>
    <t xml:space="preserve">T0781</t>
  </si>
  <si>
    <t xml:space="preserve">T0782</t>
  </si>
  <si>
    <t xml:space="preserve">T0783</t>
  </si>
  <si>
    <t xml:space="preserve">T0784</t>
  </si>
  <si>
    <t xml:space="preserve">T0785</t>
  </si>
  <si>
    <t xml:space="preserve">T0786</t>
  </si>
  <si>
    <t xml:space="preserve">T0787</t>
  </si>
  <si>
    <t xml:space="preserve">T0788</t>
  </si>
  <si>
    <t xml:space="preserve">T0789</t>
  </si>
  <si>
    <t xml:space="preserve">T0790</t>
  </si>
  <si>
    <t xml:space="preserve">T0791</t>
  </si>
  <si>
    <t xml:space="preserve">T0792</t>
  </si>
  <si>
    <t xml:space="preserve">T0793</t>
  </si>
  <si>
    <t xml:space="preserve">T0794</t>
  </si>
  <si>
    <t xml:space="preserve">T0795</t>
  </si>
  <si>
    <t xml:space="preserve">T0796</t>
  </si>
  <si>
    <t xml:space="preserve">T0797</t>
  </si>
  <si>
    <t xml:space="preserve">T0798</t>
  </si>
  <si>
    <t xml:space="preserve">T0799</t>
  </si>
  <si>
    <t xml:space="preserve">T0800</t>
  </si>
  <si>
    <t xml:space="preserve">T0801</t>
  </si>
  <si>
    <t xml:space="preserve">T0802</t>
  </si>
  <si>
    <t xml:space="preserve">T0803</t>
  </si>
  <si>
    <t xml:space="preserve">T0804</t>
  </si>
  <si>
    <t xml:space="preserve">T0805</t>
  </si>
  <si>
    <t xml:space="preserve">T0806</t>
  </si>
  <si>
    <t xml:space="preserve">T0807</t>
  </si>
  <si>
    <t xml:space="preserve">T0808</t>
  </si>
  <si>
    <t xml:space="preserve">T0809</t>
  </si>
  <si>
    <t xml:space="preserve">T0810</t>
  </si>
  <si>
    <t xml:space="preserve">T0811</t>
  </si>
  <si>
    <t xml:space="preserve">T0812</t>
  </si>
  <si>
    <t xml:space="preserve">T0813</t>
  </si>
  <si>
    <t xml:space="preserve">T0814</t>
  </si>
  <si>
    <t xml:space="preserve">T0815</t>
  </si>
  <si>
    <t xml:space="preserve">T0816</t>
  </si>
  <si>
    <t xml:space="preserve">T0817</t>
  </si>
  <si>
    <t xml:space="preserve">T0818</t>
  </si>
  <si>
    <t xml:space="preserve">T0819</t>
  </si>
  <si>
    <t xml:space="preserve">T0820</t>
  </si>
  <si>
    <t xml:space="preserve">T0821</t>
  </si>
  <si>
    <t xml:space="preserve">T0822</t>
  </si>
  <si>
    <t xml:space="preserve">T0823</t>
  </si>
  <si>
    <t xml:space="preserve">T0824</t>
  </si>
  <si>
    <t xml:space="preserve">event_id</t>
  </si>
  <si>
    <t xml:space="preserve">venue_or_area</t>
  </si>
  <si>
    <t xml:space="preserve">typical_month</t>
  </si>
  <si>
    <t xml:space="preserve">start_date</t>
  </si>
  <si>
    <t xml:space="preserve">end_date</t>
  </si>
  <si>
    <t xml:space="preserve">duration_days_approx</t>
  </si>
  <si>
    <t xml:space="preserve">event_type</t>
  </si>
  <si>
    <t xml:space="preserve">confidence</t>
  </si>
  <si>
    <t xml:space="preserve">E0001</t>
  </si>
  <si>
    <t xml:space="preserve">Pushkar Camel Fair</t>
  </si>
  <si>
    <t xml:space="preserve">Pushkar Lake &amp; fairground</t>
  </si>
  <si>
    <t xml:space="preserve">Nov</t>
  </si>
  <si>
    <t xml:space="preserve">Fair</t>
  </si>
  <si>
    <t xml:space="preserve">Medium – typical timing; confirm exact dates each year</t>
  </si>
  <si>
    <t xml:space="preserve">E0002</t>
  </si>
  <si>
    <t xml:space="preserve">Dev Deepawali</t>
  </si>
  <si>
    <t xml:space="preserve">Ganga ghats</t>
  </si>
  <si>
    <t xml:space="preserve">E0003</t>
  </si>
  <si>
    <t xml:space="preserve">Jaipur Literature Festival</t>
  </si>
  <si>
    <t xml:space="preserve">Jan</t>
  </si>
  <si>
    <t xml:space="preserve">Literary</t>
  </si>
  <si>
    <t xml:space="preserve">E0004</t>
  </si>
  <si>
    <t xml:space="preserve">Hornbill Festival</t>
  </si>
  <si>
    <t xml:space="preserve">Kisama Heritage Village</t>
  </si>
  <si>
    <t xml:space="preserve">Dec</t>
  </si>
  <si>
    <t xml:space="preserve">Cultural</t>
  </si>
  <si>
    <t xml:space="preserve">E0005</t>
  </si>
  <si>
    <t xml:space="preserve">Rath Yatra</t>
  </si>
  <si>
    <t xml:space="preserve">Jagannath Temple / Grand Road</t>
  </si>
  <si>
    <t xml:space="preserve">Jun–Jul</t>
  </si>
  <si>
    <t xml:space="preserve">E0006</t>
  </si>
  <si>
    <t xml:space="preserve">Mysuru Dasara</t>
  </si>
  <si>
    <t xml:space="preserve">Sep–Oct</t>
  </si>
  <si>
    <t xml:space="preserve">E0007</t>
  </si>
  <si>
    <t xml:space="preserve">Thrissur Pooram</t>
  </si>
  <si>
    <t xml:space="preserve">Vadakkunnathan Temple</t>
  </si>
  <si>
    <t xml:space="preserve">Apr–May</t>
  </si>
  <si>
    <t xml:space="preserve">E0008</t>
  </si>
  <si>
    <t xml:space="preserve">Onam celebrations</t>
  </si>
  <si>
    <t xml:space="preserve">Aug–Sep</t>
  </si>
  <si>
    <t xml:space="preserve">Festival</t>
  </si>
  <si>
    <t xml:space="preserve">E0009</t>
  </si>
  <si>
    <t xml:space="preserve">Nehru Trophy Boat Race</t>
  </si>
  <si>
    <t xml:space="preserve">Punnamada Lake</t>
  </si>
  <si>
    <t xml:space="preserve">Aug</t>
  </si>
  <si>
    <t xml:space="preserve">Sport</t>
  </si>
  <si>
    <t xml:space="preserve">E0010</t>
  </si>
  <si>
    <t xml:space="preserve">Durga Puja</t>
  </si>
  <si>
    <t xml:space="preserve">E0011</t>
  </si>
  <si>
    <t xml:space="preserve">Ganesh Chaturthi</t>
  </si>
  <si>
    <t xml:space="preserve">E0012</t>
  </si>
  <si>
    <t xml:space="preserve">Konark Dance Festival</t>
  </si>
  <si>
    <t xml:space="preserve">Konark Sun Temple area</t>
  </si>
  <si>
    <t xml:space="preserve">E0013</t>
  </si>
  <si>
    <t xml:space="preserve">Khajuraho Dance Festival</t>
  </si>
  <si>
    <t xml:space="preserve">Khajuraho temples</t>
  </si>
  <si>
    <t xml:space="preserve">Feb</t>
  </si>
  <si>
    <t xml:space="preserve">E0014</t>
  </si>
  <si>
    <t xml:space="preserve">Goa Carnival</t>
  </si>
  <si>
    <t xml:space="preserve">Feb–Mar</t>
  </si>
  <si>
    <t xml:space="preserve">E0015</t>
  </si>
  <si>
    <t xml:space="preserve">Hemis Festival</t>
  </si>
  <si>
    <t xml:space="preserve">Hemis Monastery</t>
  </si>
  <si>
    <t xml:space="preserve">E0016</t>
  </si>
  <si>
    <t xml:space="preserve">Rann Utsav</t>
  </si>
  <si>
    <t xml:space="preserve">Dhordo (White Rann)</t>
  </si>
  <si>
    <t xml:space="preserve">E0017</t>
  </si>
  <si>
    <t xml:space="preserve">International Kite Festival</t>
  </si>
  <si>
    <t xml:space="preserve">E0018</t>
  </si>
  <si>
    <t xml:space="preserve">Taj Mahotsav</t>
  </si>
  <si>
    <t xml:space="preserve">Shilpgram</t>
  </si>
  <si>
    <t xml:space="preserve">E0019</t>
  </si>
  <si>
    <t xml:space="preserve">Desert Festival</t>
  </si>
  <si>
    <t xml:space="preserve">E0020</t>
  </si>
  <si>
    <t xml:space="preserve">Sangai Festival</t>
  </si>
  <si>
    <t xml:space="preserve">E0021</t>
  </si>
  <si>
    <t xml:space="preserve">Ziro Festival of Music</t>
  </si>
  <si>
    <t xml:space="preserve">Sep</t>
  </si>
  <si>
    <t xml:space="preserve">Music</t>
  </si>
  <si>
    <t xml:space="preserve">E0022</t>
  </si>
  <si>
    <t xml:space="preserve">Ayodhya Deepotsav</t>
  </si>
  <si>
    <t xml:space="preserve">Ram ki Paidi / Saryu ghats</t>
  </si>
  <si>
    <t xml:space="preserve">Oct–Nov</t>
  </si>
  <si>
    <t xml:space="preserve">E0023</t>
  </si>
  <si>
    <t xml:space="preserve">Madurai Chithirai Festival</t>
  </si>
  <si>
    <t xml:space="preserve">Meenakshi Amman Temple</t>
  </si>
  <si>
    <t xml:space="preserve">E0024</t>
  </si>
  <si>
    <t xml:space="preserve">Chennai Margazhi Music Season</t>
  </si>
  <si>
    <t xml:space="preserve">Dec–Jan</t>
  </si>
  <si>
    <t xml:space="preserve">E0025</t>
  </si>
  <si>
    <t xml:space="preserve">Kullu Dussehra</t>
  </si>
  <si>
    <t xml:space="preserve">Dhalpur Maidan</t>
  </si>
  <si>
    <t xml:space="preserve">Oct</t>
  </si>
  <si>
    <t xml:space="preserve">E0026</t>
  </si>
  <si>
    <t xml:space="preserve">International Yoga Festival</t>
  </si>
  <si>
    <t xml:space="preserve">Mar</t>
  </si>
  <si>
    <t xml:space="preserve">E0027</t>
  </si>
  <si>
    <t xml:space="preserve">Bikaner Camel Festival</t>
  </si>
  <si>
    <t xml:space="preserve">E0028</t>
  </si>
  <si>
    <t xml:space="preserve">Mewar Festival</t>
  </si>
  <si>
    <t xml:space="preserve">Mar–Apr</t>
  </si>
  <si>
    <t xml:space="preserve">E0029</t>
  </si>
  <si>
    <t xml:space="preserve">Rajasthan International Folk Festival</t>
  </si>
  <si>
    <t xml:space="preserve">Mehrangarh Fort</t>
  </si>
  <si>
    <t xml:space="preserve">booking_id</t>
  </si>
  <si>
    <t xml:space="preserve">trip_id</t>
  </si>
  <si>
    <t xml:space="preserve">item_type</t>
  </si>
  <si>
    <t xml:space="preserve">item_id</t>
  </si>
  <si>
    <t xml:space="preserve">booked_at</t>
  </si>
  <si>
    <t xml:space="preserve">start_time</t>
  </si>
  <si>
    <t xml:space="preserve">end_time</t>
  </si>
  <si>
    <t xml:space="preserve">status</t>
  </si>
  <si>
    <t xml:space="preserve">confirmation_ref</t>
  </si>
  <si>
    <t xml:space="preserve">TRIP-001</t>
  </si>
  <si>
    <t xml:space="preserve">2026-10-01 10:30</t>
  </si>
  <si>
    <t xml:space="preserve">2026-11-05 14:00</t>
  </si>
  <si>
    <t xml:space="preserve">2026-11-07 11:00</t>
  </si>
  <si>
    <t xml:space="preserve">Confirmed</t>
  </si>
  <si>
    <t xml:space="preserve">ABC123</t>
  </si>
  <si>
    <t xml:space="preserve">trip_name</t>
  </si>
  <si>
    <t xml:space="preserve">traveller_count</t>
  </si>
  <si>
    <t xml:space="preserve">budget_inr</t>
  </si>
  <si>
    <t xml:space="preserve">budget_style</t>
  </si>
  <si>
    <t xml:space="preserve">preferences (interests)</t>
  </si>
  <si>
    <t xml:space="preserve">origin_dest_id</t>
  </si>
  <si>
    <t xml:space="preserve">dest_ids (visited)</t>
  </si>
  <si>
    <t xml:space="preserve">Golden Triangle – delete this row</t>
  </si>
  <si>
    <t xml:space="preserve">2026-11-05</t>
  </si>
  <si>
    <t xml:space="preserve">2026-11-10</t>
  </si>
  <si>
    <t xml:space="preserve">Mid-range</t>
  </si>
  <si>
    <t xml:space="preserve">Heritage, Food</t>
  </si>
  <si>
    <t xml:space="preserve">D001, D002</t>
  </si>
  <si>
    <t xml:space="preserve">Interests use the same tags as Activity sheet</t>
  </si>
  <si>
    <t xml:space="preserve">assumption</t>
  </si>
  <si>
    <t xml:space="preserve">value</t>
  </si>
  <si>
    <t xml:space="preserve">unit</t>
  </si>
  <si>
    <t xml:space="preserve">note</t>
  </si>
  <si>
    <t xml:space="preserve">Earth radius</t>
  </si>
  <si>
    <t xml:space="preserve">km</t>
  </si>
  <si>
    <t xml:space="preserve">Mean Earth radius used in the haversine (straight-line) distance formula</t>
  </si>
  <si>
    <t xml:space="preserve">Road circuity factor</t>
  </si>
  <si>
    <t xml:space="preserve">x</t>
  </si>
  <si>
    <t xml:space="preserve">ASSUMPTION: road distance ≈ straight-line × 1.3. Mountain/coastal routes are usually higher (1.5–2.0)</t>
  </si>
  <si>
    <t xml:space="preserve">Average road speed</t>
  </si>
  <si>
    <t xml:space="preserve">km/h</t>
  </si>
  <si>
    <t xml:space="preserve">ASSUMPTION: blended average speed for intercity roads in India; hill routes are slower</t>
  </si>
  <si>
    <t xml:space="preserve">Blue text on yellow = editable assumption. TransportRoute recalculates when these change.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</si>
</sst>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"/>
    <numFmt numFmtId="167" formatCode="0.0000"/>
    <numFmt numFmtId="168" formatCode="0.0"/>
    <numFmt numFmtId="169" formatCode="#,##0.0"/>
    <numFmt numFmtId="170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43.5" hidden="false" customHeight="true" outlineLevel="0" collapsed="false">
      <c r="A5" s="4" t="s">
        <v>6</v>
      </c>
      <c r="B5" s="5" t="n">
        <f aca="false">COUNTIF(Destination!K2:K501,"Seeded*")+COUNTIF(Destination!K2:K501,"Named only")</f>
        <v>435</v>
      </c>
      <c r="C5" s="6" t="s">
        <v>7</v>
      </c>
      <c r="D5" s="6" t="s">
        <v>8</v>
      </c>
    </row>
    <row r="6" customFormat="false" ht="43.5" hidden="false" customHeight="true" outlineLevel="0" collapsed="false">
      <c r="A6" s="4" t="s">
        <v>9</v>
      </c>
      <c r="B6" s="5" t="n">
        <f aca="false">COUNTA(Place!A2:A3000)</f>
        <v>56</v>
      </c>
      <c r="C6" s="6" t="s">
        <v>10</v>
      </c>
      <c r="D6" s="6" t="s">
        <v>11</v>
      </c>
    </row>
    <row r="7" customFormat="false" ht="43.5" hidden="false" customHeight="true" outlineLevel="0" collapsed="false">
      <c r="A7" s="4" t="s">
        <v>12</v>
      </c>
      <c r="B7" s="5" t="n">
        <f aca="false">COUNTA(OpeningHours!A2:A5000)-COUNTIF(OpeningHours!A2:A5000,"EXAMPLE*")</f>
        <v>0</v>
      </c>
      <c r="C7" s="6" t="s">
        <v>13</v>
      </c>
      <c r="D7" s="6" t="s">
        <v>14</v>
      </c>
    </row>
    <row r="8" customFormat="false" ht="43.5" hidden="false" customHeight="true" outlineLevel="0" collapsed="false">
      <c r="A8" s="4" t="s">
        <v>15</v>
      </c>
      <c r="B8" s="5" t="n">
        <f aca="false">COUNTA(Activity!A2:A3000)</f>
        <v>20</v>
      </c>
      <c r="C8" s="6" t="s">
        <v>16</v>
      </c>
      <c r="D8" s="6" t="s">
        <v>17</v>
      </c>
    </row>
    <row r="9" customFormat="false" ht="43.5" hidden="false" customHeight="true" outlineLevel="0" collapsed="false">
      <c r="A9" s="4" t="s">
        <v>18</v>
      </c>
      <c r="B9" s="5" t="n">
        <f aca="false">COUNTA(Hotel!A2:A3000)</f>
        <v>11</v>
      </c>
      <c r="C9" s="6" t="s">
        <v>19</v>
      </c>
      <c r="D9" s="6" t="s">
        <v>20</v>
      </c>
    </row>
    <row r="10" customFormat="false" ht="43.5" hidden="false" customHeight="true" outlineLevel="0" collapsed="false">
      <c r="A10" s="4" t="s">
        <v>21</v>
      </c>
      <c r="B10" s="5" t="n">
        <f aca="false">COUNTA(Restaurant!A2:A5000)-COUNTIF(Restaurant!A2:A5000,"EXAMPLE*")</f>
        <v>0</v>
      </c>
      <c r="C10" s="6" t="s">
        <v>22</v>
      </c>
      <c r="D10" s="6" t="s">
        <v>23</v>
      </c>
    </row>
    <row r="11" customFormat="false" ht="43.5" hidden="false" customHeight="true" outlineLevel="0" collapsed="false">
      <c r="A11" s="4" t="s">
        <v>24</v>
      </c>
      <c r="B11" s="5" t="n">
        <f aca="false">COUNTA(TransportRoute!A2:A5000)</f>
        <v>824</v>
      </c>
      <c r="C11" s="6" t="s">
        <v>25</v>
      </c>
      <c r="D11" s="6" t="s">
        <v>26</v>
      </c>
    </row>
    <row r="12" customFormat="false" ht="43.5" hidden="false" customHeight="true" outlineLevel="0" collapsed="false">
      <c r="A12" s="4" t="s">
        <v>27</v>
      </c>
      <c r="B12" s="5" t="n">
        <f aca="false">COUNTA(Event!A2:A5000)</f>
        <v>29</v>
      </c>
      <c r="C12" s="6" t="s">
        <v>28</v>
      </c>
      <c r="D12" s="6" t="s">
        <v>29</v>
      </c>
    </row>
    <row r="13" customFormat="false" ht="43.5" hidden="false" customHeight="true" outlineLevel="0" collapsed="false">
      <c r="A13" s="4" t="s">
        <v>30</v>
      </c>
      <c r="B13" s="5" t="n">
        <f aca="false">COUNTA(Booking!A2:A5000)-COUNTIF(Booking!A2:A5000,"EXAMPLE*")</f>
        <v>0</v>
      </c>
      <c r="C13" s="6" t="s">
        <v>31</v>
      </c>
      <c r="D13" s="6" t="s">
        <v>32</v>
      </c>
    </row>
    <row r="14" customFormat="false" ht="43.5" hidden="false" customHeight="true" outlineLevel="0" collapsed="false">
      <c r="A14" s="4" t="s">
        <v>33</v>
      </c>
      <c r="B14" s="5" t="n">
        <f aca="false">COUNTA(Trip!A2:A5000)-COUNTIF(Trip!A2:A5000,"EXAMPLE*")</f>
        <v>0</v>
      </c>
      <c r="C14" s="6" t="s">
        <v>34</v>
      </c>
      <c r="D14" s="6" t="s">
        <v>32</v>
      </c>
    </row>
    <row r="16" customFormat="false" ht="15" hidden="false" customHeight="false" outlineLevel="0" collapsed="false">
      <c r="A16" s="7" t="s">
        <v>35</v>
      </c>
    </row>
    <row r="17" customFormat="false" ht="15" hidden="false" customHeight="false" outlineLevel="0" collapsed="false">
      <c r="A17" s="8" t="s">
        <v>36</v>
      </c>
      <c r="C17" s="9" t="s">
        <v>37</v>
      </c>
    </row>
    <row r="18" customFormat="false" ht="15" hidden="false" customHeight="false" outlineLevel="0" collapsed="false">
      <c r="A18" s="10" t="s">
        <v>38</v>
      </c>
      <c r="C18" s="9" t="s">
        <v>39</v>
      </c>
    </row>
    <row r="19" customFormat="false" ht="15" hidden="false" customHeight="false" outlineLevel="0" collapsed="false">
      <c r="A19" s="11" t="s">
        <v>40</v>
      </c>
      <c r="C19" s="9" t="s">
        <v>41</v>
      </c>
    </row>
    <row r="21" customFormat="false" ht="15" hidden="false" customHeight="false" outlineLevel="0" collapsed="false">
      <c r="A21" s="7" t="s">
        <v>42</v>
      </c>
    </row>
    <row r="22" customFormat="false" ht="30" hidden="false" customHeight="true" outlineLevel="0" collapsed="false">
      <c r="A22" s="2" t="s">
        <v>43</v>
      </c>
      <c r="B22" s="2"/>
      <c r="C22" s="2"/>
      <c r="D22" s="2"/>
    </row>
    <row r="23" customFormat="false" ht="30" hidden="false" customHeight="true" outlineLevel="0" collapsed="false">
      <c r="A23" s="2" t="s">
        <v>44</v>
      </c>
      <c r="B23" s="2"/>
      <c r="C23" s="2"/>
      <c r="D23" s="2"/>
    </row>
    <row r="24" customFormat="false" ht="30" hidden="false" customHeight="true" outlineLevel="0" collapsed="false">
      <c r="A24" s="2" t="s">
        <v>45</v>
      </c>
      <c r="B24" s="2"/>
      <c r="C24" s="2"/>
      <c r="D24" s="2"/>
    </row>
    <row r="25" customFormat="false" ht="30" hidden="false" customHeight="true" outlineLevel="0" collapsed="false">
      <c r="A25" s="2" t="s">
        <v>46</v>
      </c>
      <c r="B25" s="2"/>
      <c r="C25" s="2"/>
      <c r="D25" s="2"/>
    </row>
    <row r="26" customFormat="false" ht="30" hidden="false" customHeight="true" outlineLevel="0" collapsed="false">
      <c r="A26" s="2" t="s">
        <v>47</v>
      </c>
      <c r="B26" s="2"/>
      <c r="C26" s="2"/>
      <c r="D26" s="2"/>
    </row>
  </sheetData>
  <mergeCells count="6">
    <mergeCell ref="A2:D2"/>
    <mergeCell ref="A22:D22"/>
    <mergeCell ref="A23:D23"/>
    <mergeCell ref="A24:D24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7" min="6" style="0" width="11"/>
    <col collapsed="false" customWidth="true" hidden="false" outlineLevel="0" max="8" min="8" style="0" width="30"/>
    <col collapsed="false" customWidth="true" hidden="false" outlineLevel="0" max="10" min="9" style="0" width="14"/>
    <col collapsed="false" customWidth="true" hidden="false" outlineLevel="0" max="11" min="11" style="0" width="26"/>
    <col collapsed="false" customWidth="true" hidden="false" outlineLevel="0" max="12" min="12" style="0" width="58"/>
  </cols>
  <sheetData>
    <row r="1" customFormat="false" ht="31.5" hidden="false" customHeight="true" outlineLevel="0" collapsed="false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</row>
    <row r="2" customFormat="false" ht="15" hidden="false" customHeight="false" outlineLevel="0" collapsed="false">
      <c r="A2" s="9" t="s">
        <v>60</v>
      </c>
      <c r="B2" s="9" t="s">
        <v>61</v>
      </c>
      <c r="C2" s="9" t="s">
        <v>62</v>
      </c>
      <c r="D2" s="9" t="s">
        <v>63</v>
      </c>
      <c r="E2" s="9" t="s">
        <v>64</v>
      </c>
      <c r="F2" s="12" t="n">
        <v>27.18</v>
      </c>
      <c r="G2" s="12" t="n">
        <v>78.02</v>
      </c>
      <c r="H2" s="9" t="s">
        <v>65</v>
      </c>
      <c r="I2" s="9" t="s">
        <v>66</v>
      </c>
      <c r="J2" s="9" t="n">
        <v>2</v>
      </c>
      <c r="K2" s="9" t="s">
        <v>67</v>
      </c>
      <c r="L2" s="9"/>
    </row>
    <row r="3" customFormat="false" ht="15" hidden="false" customHeight="false" outlineLevel="0" collapsed="false">
      <c r="A3" s="9" t="s">
        <v>68</v>
      </c>
      <c r="B3" s="9" t="s">
        <v>69</v>
      </c>
      <c r="C3" s="9" t="s">
        <v>70</v>
      </c>
      <c r="D3" s="9" t="s">
        <v>71</v>
      </c>
      <c r="E3" s="9" t="s">
        <v>64</v>
      </c>
      <c r="F3" s="12" t="n">
        <v>26.91</v>
      </c>
      <c r="G3" s="12" t="n">
        <v>75.79</v>
      </c>
      <c r="H3" s="9" t="s">
        <v>65</v>
      </c>
      <c r="I3" s="9" t="s">
        <v>66</v>
      </c>
      <c r="J3" s="9" t="n">
        <v>3</v>
      </c>
      <c r="K3" s="9" t="s">
        <v>67</v>
      </c>
      <c r="L3" s="9"/>
    </row>
    <row r="4" customFormat="false" ht="15" hidden="false" customHeight="false" outlineLevel="0" collapsed="false">
      <c r="A4" s="9" t="s">
        <v>72</v>
      </c>
      <c r="B4" s="9" t="s">
        <v>73</v>
      </c>
      <c r="C4" s="9" t="s">
        <v>62</v>
      </c>
      <c r="D4" s="9" t="s">
        <v>63</v>
      </c>
      <c r="E4" s="9" t="s">
        <v>74</v>
      </c>
      <c r="F4" s="12" t="n">
        <v>25.32</v>
      </c>
      <c r="G4" s="12" t="n">
        <v>82.99</v>
      </c>
      <c r="H4" s="9" t="s">
        <v>65</v>
      </c>
      <c r="I4" s="9" t="s">
        <v>66</v>
      </c>
      <c r="J4" s="9" t="n">
        <v>3</v>
      </c>
      <c r="K4" s="9" t="s">
        <v>67</v>
      </c>
      <c r="L4" s="9"/>
    </row>
    <row r="5" customFormat="false" ht="15" hidden="false" customHeight="false" outlineLevel="0" collapsed="false">
      <c r="A5" s="9" t="s">
        <v>75</v>
      </c>
      <c r="B5" s="9" t="s">
        <v>76</v>
      </c>
      <c r="C5" s="9" t="s">
        <v>77</v>
      </c>
      <c r="D5" s="9" t="s">
        <v>78</v>
      </c>
      <c r="E5" s="9" t="s">
        <v>64</v>
      </c>
      <c r="F5" s="12" t="n">
        <v>12.3</v>
      </c>
      <c r="G5" s="12" t="n">
        <v>76.64</v>
      </c>
      <c r="H5" s="9" t="s">
        <v>65</v>
      </c>
      <c r="I5" s="9" t="s">
        <v>79</v>
      </c>
      <c r="J5" s="9" t="n">
        <v>2</v>
      </c>
      <c r="K5" s="9" t="s">
        <v>67</v>
      </c>
      <c r="L5" s="9"/>
    </row>
    <row r="6" customFormat="false" ht="15" hidden="false" customHeight="false" outlineLevel="0" collapsed="false">
      <c r="A6" s="9" t="s">
        <v>80</v>
      </c>
      <c r="B6" s="9" t="s">
        <v>81</v>
      </c>
      <c r="C6" s="9" t="s">
        <v>82</v>
      </c>
      <c r="D6" s="9" t="s">
        <v>78</v>
      </c>
      <c r="E6" s="9" t="s">
        <v>83</v>
      </c>
      <c r="F6" s="12" t="n">
        <v>9.93</v>
      </c>
      <c r="G6" s="12" t="n">
        <v>76.27</v>
      </c>
      <c r="H6" s="9" t="s">
        <v>65</v>
      </c>
      <c r="I6" s="9" t="s">
        <v>66</v>
      </c>
      <c r="J6" s="9" t="n">
        <v>3</v>
      </c>
      <c r="K6" s="9" t="s">
        <v>67</v>
      </c>
      <c r="L6" s="9"/>
    </row>
    <row r="7" customFormat="false" ht="15" hidden="false" customHeight="false" outlineLevel="0" collapsed="false">
      <c r="A7" s="9" t="s">
        <v>84</v>
      </c>
      <c r="B7" s="9" t="s">
        <v>85</v>
      </c>
      <c r="C7" s="9" t="s">
        <v>77</v>
      </c>
      <c r="D7" s="9" t="s">
        <v>78</v>
      </c>
      <c r="E7" s="9" t="s">
        <v>86</v>
      </c>
      <c r="F7" s="12" t="n">
        <v>15.34</v>
      </c>
      <c r="G7" s="12" t="n">
        <v>76.46</v>
      </c>
      <c r="H7" s="9" t="s">
        <v>87</v>
      </c>
      <c r="I7" s="9" t="s">
        <v>79</v>
      </c>
      <c r="J7" s="9" t="n">
        <v>3</v>
      </c>
      <c r="K7" s="9" t="s">
        <v>67</v>
      </c>
      <c r="L7" s="9"/>
    </row>
    <row r="8" customFormat="false" ht="15" hidden="false" customHeight="false" outlineLevel="0" collapsed="false">
      <c r="A8" s="9" t="s">
        <v>88</v>
      </c>
      <c r="B8" s="9" t="s">
        <v>89</v>
      </c>
      <c r="C8" s="9" t="s">
        <v>82</v>
      </c>
      <c r="D8" s="9" t="s">
        <v>78</v>
      </c>
      <c r="E8" s="9" t="s">
        <v>90</v>
      </c>
      <c r="F8" s="12" t="n">
        <v>10.09</v>
      </c>
      <c r="G8" s="12" t="n">
        <v>77.06</v>
      </c>
      <c r="H8" s="9" t="s">
        <v>65</v>
      </c>
      <c r="I8" s="9" t="s">
        <v>91</v>
      </c>
      <c r="J8" s="9" t="n">
        <v>3</v>
      </c>
      <c r="K8" s="9" t="s">
        <v>67</v>
      </c>
      <c r="L8" s="9"/>
    </row>
    <row r="9" customFormat="false" ht="15" hidden="false" customHeight="false" outlineLevel="0" collapsed="false">
      <c r="A9" s="9" t="s">
        <v>92</v>
      </c>
      <c r="B9" s="9" t="s">
        <v>93</v>
      </c>
      <c r="C9" s="9" t="s">
        <v>94</v>
      </c>
      <c r="D9" s="9" t="s">
        <v>78</v>
      </c>
      <c r="E9" s="9" t="s">
        <v>95</v>
      </c>
      <c r="F9" s="12" t="n">
        <v>9.29</v>
      </c>
      <c r="G9" s="12" t="n">
        <v>79.31</v>
      </c>
      <c r="H9" s="9" t="s">
        <v>65</v>
      </c>
      <c r="I9" s="9" t="s">
        <v>66</v>
      </c>
      <c r="J9" s="9" t="n">
        <v>2</v>
      </c>
      <c r="K9" s="9" t="s">
        <v>67</v>
      </c>
      <c r="L9" s="9"/>
    </row>
    <row r="10" customFormat="false" ht="15" hidden="false" customHeight="false" outlineLevel="0" collapsed="false">
      <c r="A10" s="9" t="s">
        <v>96</v>
      </c>
      <c r="B10" s="9" t="s">
        <v>97</v>
      </c>
      <c r="C10" s="9" t="s">
        <v>97</v>
      </c>
      <c r="D10" s="9" t="s">
        <v>71</v>
      </c>
      <c r="E10" s="9" t="s">
        <v>98</v>
      </c>
      <c r="F10" s="12" t="n">
        <v>15.3</v>
      </c>
      <c r="G10" s="12" t="n">
        <v>74</v>
      </c>
      <c r="H10" s="9" t="s">
        <v>65</v>
      </c>
      <c r="I10" s="9" t="s">
        <v>99</v>
      </c>
      <c r="J10" s="9" t="n">
        <v>4</v>
      </c>
      <c r="K10" s="9" t="s">
        <v>67</v>
      </c>
      <c r="L10" s="9" t="s">
        <v>100</v>
      </c>
    </row>
    <row r="11" customFormat="false" ht="15" hidden="false" customHeight="false" outlineLevel="0" collapsed="false">
      <c r="A11" s="9" t="s">
        <v>101</v>
      </c>
      <c r="B11" s="9" t="s">
        <v>102</v>
      </c>
      <c r="C11" s="9" t="s">
        <v>103</v>
      </c>
      <c r="D11" s="9" t="s">
        <v>63</v>
      </c>
      <c r="E11" s="9" t="s">
        <v>104</v>
      </c>
      <c r="F11" s="12" t="n">
        <v>34.16</v>
      </c>
      <c r="G11" s="12" t="n">
        <v>77.58</v>
      </c>
      <c r="H11" s="9" t="s">
        <v>65</v>
      </c>
      <c r="I11" s="9" t="s">
        <v>105</v>
      </c>
      <c r="J11" s="9" t="n">
        <v>5</v>
      </c>
      <c r="K11" s="9" t="s">
        <v>67</v>
      </c>
      <c r="L11" s="9"/>
    </row>
    <row r="12" customFormat="false" ht="15" hidden="false" customHeight="false" outlineLevel="0" collapsed="false">
      <c r="A12" s="9" t="s">
        <v>106</v>
      </c>
      <c r="B12" s="9" t="s">
        <v>107</v>
      </c>
      <c r="C12" s="9" t="s">
        <v>107</v>
      </c>
      <c r="D12" s="9" t="s">
        <v>63</v>
      </c>
      <c r="E12" s="9" t="s">
        <v>108</v>
      </c>
      <c r="F12" s="12" t="n">
        <v>28.61</v>
      </c>
      <c r="G12" s="12" t="n">
        <v>77.21</v>
      </c>
      <c r="H12" s="9" t="s">
        <v>65</v>
      </c>
      <c r="I12" s="9" t="s">
        <v>109</v>
      </c>
      <c r="J12" s="9" t="n">
        <v>2</v>
      </c>
      <c r="K12" s="9" t="s">
        <v>110</v>
      </c>
      <c r="L12" s="9"/>
    </row>
    <row r="13" customFormat="false" ht="15" hidden="false" customHeight="false" outlineLevel="0" collapsed="false">
      <c r="A13" s="9" t="s">
        <v>111</v>
      </c>
      <c r="B13" s="9" t="s">
        <v>112</v>
      </c>
      <c r="C13" s="9" t="s">
        <v>62</v>
      </c>
      <c r="D13" s="9" t="s">
        <v>63</v>
      </c>
      <c r="E13" s="9" t="s">
        <v>108</v>
      </c>
      <c r="F13" s="12" t="n">
        <v>27.49</v>
      </c>
      <c r="G13" s="12" t="n">
        <v>77.67</v>
      </c>
      <c r="H13" s="9" t="s">
        <v>65</v>
      </c>
      <c r="I13" s="9" t="s">
        <v>109</v>
      </c>
      <c r="J13" s="9" t="n">
        <v>2</v>
      </c>
      <c r="K13" s="9" t="s">
        <v>110</v>
      </c>
      <c r="L13" s="9"/>
    </row>
    <row r="14" customFormat="false" ht="15" hidden="false" customHeight="false" outlineLevel="0" collapsed="false">
      <c r="A14" s="9" t="s">
        <v>113</v>
      </c>
      <c r="B14" s="9" t="s">
        <v>114</v>
      </c>
      <c r="C14" s="9" t="s">
        <v>62</v>
      </c>
      <c r="D14" s="9" t="s">
        <v>63</v>
      </c>
      <c r="E14" s="9" t="s">
        <v>108</v>
      </c>
      <c r="F14" s="12" t="n">
        <v>27.58</v>
      </c>
      <c r="G14" s="12" t="n">
        <v>77.7</v>
      </c>
      <c r="H14" s="9" t="s">
        <v>65</v>
      </c>
      <c r="I14" s="9" t="s">
        <v>109</v>
      </c>
      <c r="J14" s="9" t="n">
        <v>2</v>
      </c>
      <c r="K14" s="9" t="s">
        <v>110</v>
      </c>
      <c r="L14" s="9"/>
    </row>
    <row r="15" customFormat="false" ht="15" hidden="false" customHeight="false" outlineLevel="0" collapsed="false">
      <c r="A15" s="9" t="s">
        <v>115</v>
      </c>
      <c r="B15" s="9" t="s">
        <v>116</v>
      </c>
      <c r="C15" s="9" t="s">
        <v>62</v>
      </c>
      <c r="D15" s="9" t="s">
        <v>63</v>
      </c>
      <c r="E15" s="9" t="s">
        <v>108</v>
      </c>
      <c r="F15" s="12" t="n">
        <v>26.85</v>
      </c>
      <c r="G15" s="12" t="n">
        <v>80.95</v>
      </c>
      <c r="H15" s="9" t="s">
        <v>65</v>
      </c>
      <c r="I15" s="9" t="s">
        <v>109</v>
      </c>
      <c r="J15" s="9" t="n">
        <v>2</v>
      </c>
      <c r="K15" s="9" t="s">
        <v>110</v>
      </c>
      <c r="L15" s="9"/>
    </row>
    <row r="16" customFormat="false" ht="15" hidden="false" customHeight="false" outlineLevel="0" collapsed="false">
      <c r="A16" s="9" t="s">
        <v>117</v>
      </c>
      <c r="B16" s="9" t="s">
        <v>118</v>
      </c>
      <c r="C16" s="9" t="s">
        <v>62</v>
      </c>
      <c r="D16" s="9" t="s">
        <v>63</v>
      </c>
      <c r="E16" s="9" t="s">
        <v>108</v>
      </c>
      <c r="F16" s="12" t="n">
        <v>25.44</v>
      </c>
      <c r="G16" s="12" t="n">
        <v>81.85</v>
      </c>
      <c r="H16" s="9" t="s">
        <v>65</v>
      </c>
      <c r="I16" s="9" t="s">
        <v>109</v>
      </c>
      <c r="J16" s="9" t="n">
        <v>2</v>
      </c>
      <c r="K16" s="9" t="s">
        <v>110</v>
      </c>
      <c r="L16" s="9"/>
    </row>
    <row r="17" customFormat="false" ht="15" hidden="false" customHeight="false" outlineLevel="0" collapsed="false">
      <c r="A17" s="9" t="s">
        <v>119</v>
      </c>
      <c r="B17" s="9" t="s">
        <v>120</v>
      </c>
      <c r="C17" s="9" t="s">
        <v>62</v>
      </c>
      <c r="D17" s="9" t="s">
        <v>63</v>
      </c>
      <c r="E17" s="9" t="s">
        <v>108</v>
      </c>
      <c r="F17" s="12" t="n">
        <v>25.38</v>
      </c>
      <c r="G17" s="12" t="n">
        <v>83.02</v>
      </c>
      <c r="H17" s="9" t="s">
        <v>87</v>
      </c>
      <c r="I17" s="9" t="s">
        <v>109</v>
      </c>
      <c r="J17" s="9" t="n">
        <v>2</v>
      </c>
      <c r="K17" s="9" t="s">
        <v>110</v>
      </c>
      <c r="L17" s="9" t="s">
        <v>121</v>
      </c>
    </row>
    <row r="18" customFormat="false" ht="15" hidden="false" customHeight="false" outlineLevel="0" collapsed="false">
      <c r="A18" s="9" t="s">
        <v>122</v>
      </c>
      <c r="B18" s="9" t="s">
        <v>123</v>
      </c>
      <c r="C18" s="9" t="s">
        <v>62</v>
      </c>
      <c r="D18" s="9" t="s">
        <v>63</v>
      </c>
      <c r="E18" s="9" t="s">
        <v>108</v>
      </c>
      <c r="F18" s="12" t="n">
        <v>25.45</v>
      </c>
      <c r="G18" s="12" t="n">
        <v>78.57</v>
      </c>
      <c r="H18" s="9" t="s">
        <v>65</v>
      </c>
      <c r="I18" s="9" t="s">
        <v>109</v>
      </c>
      <c r="J18" s="9" t="n">
        <v>2</v>
      </c>
      <c r="K18" s="9" t="s">
        <v>110</v>
      </c>
      <c r="L18" s="9"/>
    </row>
    <row r="19" customFormat="false" ht="15" hidden="false" customHeight="false" outlineLevel="0" collapsed="false">
      <c r="A19" s="9" t="s">
        <v>124</v>
      </c>
      <c r="B19" s="9" t="s">
        <v>125</v>
      </c>
      <c r="C19" s="9" t="s">
        <v>126</v>
      </c>
      <c r="D19" s="9" t="s">
        <v>127</v>
      </c>
      <c r="E19" s="9" t="s">
        <v>108</v>
      </c>
      <c r="F19" s="12" t="n">
        <v>24.85</v>
      </c>
      <c r="G19" s="12" t="n">
        <v>79.92</v>
      </c>
      <c r="H19" s="9" t="s">
        <v>65</v>
      </c>
      <c r="I19" s="9" t="s">
        <v>109</v>
      </c>
      <c r="J19" s="9" t="n">
        <v>2</v>
      </c>
      <c r="K19" s="9" t="s">
        <v>110</v>
      </c>
      <c r="L19" s="9"/>
    </row>
    <row r="20" customFormat="false" ht="15" hidden="false" customHeight="false" outlineLevel="0" collapsed="false">
      <c r="A20" s="9" t="s">
        <v>128</v>
      </c>
      <c r="B20" s="9" t="s">
        <v>129</v>
      </c>
      <c r="C20" s="9" t="s">
        <v>126</v>
      </c>
      <c r="D20" s="9" t="s">
        <v>127</v>
      </c>
      <c r="E20" s="9" t="s">
        <v>108</v>
      </c>
      <c r="F20" s="12" t="n">
        <v>25.35</v>
      </c>
      <c r="G20" s="12" t="n">
        <v>78.64</v>
      </c>
      <c r="H20" s="9" t="s">
        <v>87</v>
      </c>
      <c r="I20" s="9" t="s">
        <v>109</v>
      </c>
      <c r="J20" s="9" t="n">
        <v>2</v>
      </c>
      <c r="K20" s="9" t="s">
        <v>110</v>
      </c>
      <c r="L20" s="9"/>
    </row>
    <row r="21" customFormat="false" ht="15" hidden="false" customHeight="false" outlineLevel="0" collapsed="false">
      <c r="A21" s="9" t="s">
        <v>130</v>
      </c>
      <c r="B21" s="9" t="s">
        <v>131</v>
      </c>
      <c r="C21" s="9" t="s">
        <v>126</v>
      </c>
      <c r="D21" s="9" t="s">
        <v>127</v>
      </c>
      <c r="E21" s="9" t="s">
        <v>108</v>
      </c>
      <c r="F21" s="12" t="n">
        <v>26.22</v>
      </c>
      <c r="G21" s="12" t="n">
        <v>78.18</v>
      </c>
      <c r="H21" s="9" t="s">
        <v>65</v>
      </c>
      <c r="I21" s="9" t="s">
        <v>109</v>
      </c>
      <c r="J21" s="9" t="n">
        <v>2</v>
      </c>
      <c r="K21" s="9" t="s">
        <v>110</v>
      </c>
      <c r="L21" s="9"/>
    </row>
    <row r="22" customFormat="false" ht="15" hidden="false" customHeight="false" outlineLevel="0" collapsed="false">
      <c r="A22" s="9" t="s">
        <v>132</v>
      </c>
      <c r="B22" s="9" t="s">
        <v>133</v>
      </c>
      <c r="C22" s="9" t="s">
        <v>134</v>
      </c>
      <c r="D22" s="9" t="s">
        <v>63</v>
      </c>
      <c r="E22" s="9" t="s">
        <v>108</v>
      </c>
      <c r="F22" s="12" t="n">
        <v>31.63</v>
      </c>
      <c r="G22" s="12" t="n">
        <v>74.87</v>
      </c>
      <c r="H22" s="9" t="s">
        <v>65</v>
      </c>
      <c r="I22" s="9" t="s">
        <v>109</v>
      </c>
      <c r="J22" s="9" t="n">
        <v>2</v>
      </c>
      <c r="K22" s="9" t="s">
        <v>110</v>
      </c>
      <c r="L22" s="9"/>
    </row>
    <row r="23" customFormat="false" ht="15" hidden="false" customHeight="false" outlineLevel="0" collapsed="false">
      <c r="A23" s="9" t="s">
        <v>135</v>
      </c>
      <c r="B23" s="9" t="s">
        <v>136</v>
      </c>
      <c r="C23" s="9" t="s">
        <v>136</v>
      </c>
      <c r="D23" s="9" t="s">
        <v>63</v>
      </c>
      <c r="E23" s="9" t="s">
        <v>108</v>
      </c>
      <c r="F23" s="12" t="n">
        <v>30.73</v>
      </c>
      <c r="G23" s="12" t="n">
        <v>76.78</v>
      </c>
      <c r="H23" s="9" t="s">
        <v>65</v>
      </c>
      <c r="I23" s="9" t="s">
        <v>109</v>
      </c>
      <c r="J23" s="9" t="n">
        <v>2</v>
      </c>
      <c r="K23" s="9" t="s">
        <v>110</v>
      </c>
      <c r="L23" s="9"/>
    </row>
    <row r="24" customFormat="false" ht="15" hidden="false" customHeight="false" outlineLevel="0" collapsed="false">
      <c r="A24" s="9" t="s">
        <v>137</v>
      </c>
      <c r="B24" s="9" t="s">
        <v>138</v>
      </c>
      <c r="C24" s="9" t="s">
        <v>139</v>
      </c>
      <c r="D24" s="9" t="s">
        <v>63</v>
      </c>
      <c r="E24" s="9" t="s">
        <v>108</v>
      </c>
      <c r="F24" s="12" t="n">
        <v>31.1</v>
      </c>
      <c r="G24" s="12" t="n">
        <v>77.17</v>
      </c>
      <c r="H24" s="9" t="s">
        <v>65</v>
      </c>
      <c r="I24" s="9" t="s">
        <v>109</v>
      </c>
      <c r="J24" s="9" t="n">
        <v>2</v>
      </c>
      <c r="K24" s="9" t="s">
        <v>110</v>
      </c>
      <c r="L24" s="9"/>
    </row>
    <row r="25" customFormat="false" ht="15" hidden="false" customHeight="false" outlineLevel="0" collapsed="false">
      <c r="A25" s="9" t="s">
        <v>140</v>
      </c>
      <c r="B25" s="9" t="s">
        <v>141</v>
      </c>
      <c r="C25" s="9" t="s">
        <v>139</v>
      </c>
      <c r="D25" s="9" t="s">
        <v>63</v>
      </c>
      <c r="E25" s="9" t="s">
        <v>108</v>
      </c>
      <c r="F25" s="12" t="n">
        <v>32.24</v>
      </c>
      <c r="G25" s="12" t="n">
        <v>77.19</v>
      </c>
      <c r="H25" s="9" t="s">
        <v>87</v>
      </c>
      <c r="I25" s="9" t="s">
        <v>109</v>
      </c>
      <c r="J25" s="9" t="n">
        <v>2</v>
      </c>
      <c r="K25" s="9" t="s">
        <v>110</v>
      </c>
      <c r="L25" s="9"/>
    </row>
    <row r="26" customFormat="false" ht="15" hidden="false" customHeight="false" outlineLevel="0" collapsed="false">
      <c r="A26" s="9" t="s">
        <v>142</v>
      </c>
      <c r="B26" s="9" t="s">
        <v>143</v>
      </c>
      <c r="C26" s="9" t="s">
        <v>139</v>
      </c>
      <c r="D26" s="9" t="s">
        <v>63</v>
      </c>
      <c r="E26" s="9" t="s">
        <v>108</v>
      </c>
      <c r="F26" s="12" t="n">
        <v>32.22</v>
      </c>
      <c r="G26" s="12" t="n">
        <v>76.32</v>
      </c>
      <c r="H26" s="9" t="s">
        <v>65</v>
      </c>
      <c r="I26" s="9" t="s">
        <v>109</v>
      </c>
      <c r="J26" s="9" t="n">
        <v>2</v>
      </c>
      <c r="K26" s="9" t="s">
        <v>110</v>
      </c>
      <c r="L26" s="9"/>
    </row>
    <row r="27" customFormat="false" ht="15" hidden="false" customHeight="false" outlineLevel="0" collapsed="false">
      <c r="A27" s="9" t="s">
        <v>144</v>
      </c>
      <c r="B27" s="9" t="s">
        <v>145</v>
      </c>
      <c r="C27" s="9" t="s">
        <v>139</v>
      </c>
      <c r="D27" s="9" t="s">
        <v>63</v>
      </c>
      <c r="E27" s="9" t="s">
        <v>108</v>
      </c>
      <c r="F27" s="12" t="n">
        <v>32.54</v>
      </c>
      <c r="G27" s="12" t="n">
        <v>75.97</v>
      </c>
      <c r="H27" s="9" t="s">
        <v>87</v>
      </c>
      <c r="I27" s="9" t="s">
        <v>109</v>
      </c>
      <c r="J27" s="9" t="n">
        <v>2</v>
      </c>
      <c r="K27" s="9" t="s">
        <v>110</v>
      </c>
      <c r="L27" s="9"/>
    </row>
    <row r="28" customFormat="false" ht="15" hidden="false" customHeight="false" outlineLevel="0" collapsed="false">
      <c r="A28" s="9" t="s">
        <v>146</v>
      </c>
      <c r="B28" s="9" t="s">
        <v>147</v>
      </c>
      <c r="C28" s="9" t="s">
        <v>148</v>
      </c>
      <c r="D28" s="9" t="s">
        <v>63</v>
      </c>
      <c r="E28" s="9" t="s">
        <v>108</v>
      </c>
      <c r="F28" s="12" t="n">
        <v>30.09</v>
      </c>
      <c r="G28" s="12" t="n">
        <v>78.27</v>
      </c>
      <c r="H28" s="9" t="s">
        <v>65</v>
      </c>
      <c r="I28" s="9" t="s">
        <v>109</v>
      </c>
      <c r="J28" s="9" t="n">
        <v>2</v>
      </c>
      <c r="K28" s="9" t="s">
        <v>110</v>
      </c>
      <c r="L28" s="9"/>
    </row>
    <row r="29" customFormat="false" ht="15" hidden="false" customHeight="false" outlineLevel="0" collapsed="false">
      <c r="A29" s="9" t="s">
        <v>149</v>
      </c>
      <c r="B29" s="9" t="s">
        <v>150</v>
      </c>
      <c r="C29" s="9" t="s">
        <v>148</v>
      </c>
      <c r="D29" s="9" t="s">
        <v>63</v>
      </c>
      <c r="E29" s="9" t="s">
        <v>108</v>
      </c>
      <c r="F29" s="12" t="n">
        <v>29.95</v>
      </c>
      <c r="G29" s="12" t="n">
        <v>78.16</v>
      </c>
      <c r="H29" s="9" t="s">
        <v>65</v>
      </c>
      <c r="I29" s="9" t="s">
        <v>109</v>
      </c>
      <c r="J29" s="9" t="n">
        <v>2</v>
      </c>
      <c r="K29" s="9" t="s">
        <v>110</v>
      </c>
      <c r="L29" s="9"/>
    </row>
    <row r="30" customFormat="false" ht="15" hidden="false" customHeight="false" outlineLevel="0" collapsed="false">
      <c r="A30" s="9" t="s">
        <v>151</v>
      </c>
      <c r="B30" s="9" t="s">
        <v>152</v>
      </c>
      <c r="C30" s="9" t="s">
        <v>148</v>
      </c>
      <c r="D30" s="9" t="s">
        <v>63</v>
      </c>
      <c r="E30" s="9" t="s">
        <v>108</v>
      </c>
      <c r="F30" s="12" t="n">
        <v>30.46</v>
      </c>
      <c r="G30" s="12" t="n">
        <v>78.06</v>
      </c>
      <c r="H30" s="9" t="s">
        <v>65</v>
      </c>
      <c r="I30" s="9" t="s">
        <v>109</v>
      </c>
      <c r="J30" s="9" t="n">
        <v>2</v>
      </c>
      <c r="K30" s="9" t="s">
        <v>110</v>
      </c>
      <c r="L30" s="9"/>
    </row>
    <row r="31" customFormat="false" ht="15" hidden="false" customHeight="false" outlineLevel="0" collapsed="false">
      <c r="A31" s="9" t="s">
        <v>153</v>
      </c>
      <c r="B31" s="9" t="s">
        <v>154</v>
      </c>
      <c r="C31" s="9" t="s">
        <v>148</v>
      </c>
      <c r="D31" s="9" t="s">
        <v>63</v>
      </c>
      <c r="E31" s="9" t="s">
        <v>108</v>
      </c>
      <c r="F31" s="12" t="n">
        <v>29.39</v>
      </c>
      <c r="G31" s="12" t="n">
        <v>79.45</v>
      </c>
      <c r="H31" s="9" t="s">
        <v>65</v>
      </c>
      <c r="I31" s="9" t="s">
        <v>109</v>
      </c>
      <c r="J31" s="9" t="n">
        <v>2</v>
      </c>
      <c r="K31" s="9" t="s">
        <v>110</v>
      </c>
      <c r="L31" s="9"/>
    </row>
    <row r="32" customFormat="false" ht="15" hidden="false" customHeight="false" outlineLevel="0" collapsed="false">
      <c r="A32" s="9" t="s">
        <v>155</v>
      </c>
      <c r="B32" s="9" t="s">
        <v>156</v>
      </c>
      <c r="C32" s="9" t="s">
        <v>148</v>
      </c>
      <c r="D32" s="9" t="s">
        <v>63</v>
      </c>
      <c r="E32" s="9" t="s">
        <v>108</v>
      </c>
      <c r="F32" s="12" t="n">
        <v>29.53</v>
      </c>
      <c r="G32" s="12" t="n">
        <v>78.77</v>
      </c>
      <c r="H32" s="9" t="s">
        <v>87</v>
      </c>
      <c r="I32" s="9" t="s">
        <v>109</v>
      </c>
      <c r="J32" s="9" t="n">
        <v>2</v>
      </c>
      <c r="K32" s="9" t="s">
        <v>110</v>
      </c>
      <c r="L32" s="9"/>
    </row>
    <row r="33" customFormat="false" ht="15" hidden="false" customHeight="false" outlineLevel="0" collapsed="false">
      <c r="A33" s="9" t="s">
        <v>157</v>
      </c>
      <c r="B33" s="9" t="s">
        <v>158</v>
      </c>
      <c r="C33" s="9" t="s">
        <v>148</v>
      </c>
      <c r="D33" s="9" t="s">
        <v>63</v>
      </c>
      <c r="E33" s="9" t="s">
        <v>108</v>
      </c>
      <c r="F33" s="12" t="n">
        <v>30.32</v>
      </c>
      <c r="G33" s="12" t="n">
        <v>78.03</v>
      </c>
      <c r="H33" s="9" t="s">
        <v>65</v>
      </c>
      <c r="I33" s="9" t="s">
        <v>109</v>
      </c>
      <c r="J33" s="9" t="n">
        <v>2</v>
      </c>
      <c r="K33" s="9" t="s">
        <v>110</v>
      </c>
      <c r="L33" s="9"/>
    </row>
    <row r="34" customFormat="false" ht="15" hidden="false" customHeight="false" outlineLevel="0" collapsed="false">
      <c r="A34" s="9" t="s">
        <v>159</v>
      </c>
      <c r="B34" s="9" t="s">
        <v>160</v>
      </c>
      <c r="C34" s="9" t="s">
        <v>103</v>
      </c>
      <c r="D34" s="9" t="s">
        <v>63</v>
      </c>
      <c r="E34" s="9" t="s">
        <v>108</v>
      </c>
      <c r="F34" s="12" t="n">
        <v>34.68</v>
      </c>
      <c r="G34" s="12" t="n">
        <v>77.56</v>
      </c>
      <c r="H34" s="9" t="s">
        <v>87</v>
      </c>
      <c r="I34" s="9" t="s">
        <v>109</v>
      </c>
      <c r="J34" s="9" t="n">
        <v>2</v>
      </c>
      <c r="K34" s="9" t="s">
        <v>110</v>
      </c>
      <c r="L34" s="9"/>
    </row>
    <row r="35" customFormat="false" ht="15" hidden="false" customHeight="false" outlineLevel="0" collapsed="false">
      <c r="A35" s="9" t="s">
        <v>161</v>
      </c>
      <c r="B35" s="9" t="s">
        <v>162</v>
      </c>
      <c r="C35" s="9" t="s">
        <v>103</v>
      </c>
      <c r="D35" s="9" t="s">
        <v>63</v>
      </c>
      <c r="E35" s="9" t="s">
        <v>108</v>
      </c>
      <c r="F35" s="12" t="n">
        <v>33.75</v>
      </c>
      <c r="G35" s="12" t="n">
        <v>78.66</v>
      </c>
      <c r="H35" s="9" t="s">
        <v>87</v>
      </c>
      <c r="I35" s="9" t="s">
        <v>109</v>
      </c>
      <c r="J35" s="9" t="n">
        <v>2</v>
      </c>
      <c r="K35" s="9" t="s">
        <v>110</v>
      </c>
      <c r="L35" s="9"/>
    </row>
    <row r="36" customFormat="false" ht="15" hidden="false" customHeight="false" outlineLevel="0" collapsed="false">
      <c r="A36" s="9" t="s">
        <v>163</v>
      </c>
      <c r="B36" s="9" t="s">
        <v>164</v>
      </c>
      <c r="C36" s="9" t="s">
        <v>165</v>
      </c>
      <c r="D36" s="9" t="s">
        <v>63</v>
      </c>
      <c r="E36" s="9" t="s">
        <v>108</v>
      </c>
      <c r="F36" s="12" t="n">
        <v>34.08</v>
      </c>
      <c r="G36" s="12" t="n">
        <v>74.8</v>
      </c>
      <c r="H36" s="9" t="s">
        <v>65</v>
      </c>
      <c r="I36" s="9" t="s">
        <v>109</v>
      </c>
      <c r="J36" s="9" t="n">
        <v>2</v>
      </c>
      <c r="K36" s="9" t="s">
        <v>110</v>
      </c>
      <c r="L36" s="9"/>
    </row>
    <row r="37" customFormat="false" ht="15" hidden="false" customHeight="false" outlineLevel="0" collapsed="false">
      <c r="A37" s="9" t="s">
        <v>166</v>
      </c>
      <c r="B37" s="9" t="s">
        <v>167</v>
      </c>
      <c r="C37" s="9" t="s">
        <v>165</v>
      </c>
      <c r="D37" s="9" t="s">
        <v>63</v>
      </c>
      <c r="E37" s="9" t="s">
        <v>108</v>
      </c>
      <c r="F37" s="12" t="n">
        <v>34.05</v>
      </c>
      <c r="G37" s="12" t="n">
        <v>74.38</v>
      </c>
      <c r="H37" s="9" t="s">
        <v>87</v>
      </c>
      <c r="I37" s="9" t="s">
        <v>109</v>
      </c>
      <c r="J37" s="9" t="n">
        <v>2</v>
      </c>
      <c r="K37" s="9" t="s">
        <v>110</v>
      </c>
      <c r="L37" s="9"/>
    </row>
    <row r="38" customFormat="false" ht="15" hidden="false" customHeight="false" outlineLevel="0" collapsed="false">
      <c r="A38" s="9" t="s">
        <v>168</v>
      </c>
      <c r="B38" s="9" t="s">
        <v>169</v>
      </c>
      <c r="C38" s="9" t="s">
        <v>165</v>
      </c>
      <c r="D38" s="9" t="s">
        <v>63</v>
      </c>
      <c r="E38" s="9" t="s">
        <v>108</v>
      </c>
      <c r="F38" s="12" t="n">
        <v>34.02</v>
      </c>
      <c r="G38" s="12" t="n">
        <v>75.32</v>
      </c>
      <c r="H38" s="9" t="s">
        <v>87</v>
      </c>
      <c r="I38" s="9" t="s">
        <v>109</v>
      </c>
      <c r="J38" s="9" t="n">
        <v>2</v>
      </c>
      <c r="K38" s="9" t="s">
        <v>110</v>
      </c>
      <c r="L38" s="9"/>
    </row>
    <row r="39" customFormat="false" ht="15" hidden="false" customHeight="false" outlineLevel="0" collapsed="false">
      <c r="A39" s="9" t="s">
        <v>170</v>
      </c>
      <c r="B39" s="9" t="s">
        <v>171</v>
      </c>
      <c r="C39" s="9" t="s">
        <v>165</v>
      </c>
      <c r="D39" s="9" t="s">
        <v>63</v>
      </c>
      <c r="E39" s="9" t="s">
        <v>108</v>
      </c>
      <c r="F39" s="12" t="n">
        <v>34.3</v>
      </c>
      <c r="G39" s="12" t="n">
        <v>75.29</v>
      </c>
      <c r="H39" s="9" t="s">
        <v>87</v>
      </c>
      <c r="I39" s="9" t="s">
        <v>109</v>
      </c>
      <c r="J39" s="9" t="n">
        <v>2</v>
      </c>
      <c r="K39" s="9" t="s">
        <v>110</v>
      </c>
      <c r="L39" s="9"/>
    </row>
    <row r="40" customFormat="false" ht="15" hidden="false" customHeight="false" outlineLevel="0" collapsed="false">
      <c r="A40" s="9" t="s">
        <v>172</v>
      </c>
      <c r="B40" s="9" t="s">
        <v>173</v>
      </c>
      <c r="C40" s="9" t="s">
        <v>165</v>
      </c>
      <c r="D40" s="9" t="s">
        <v>63</v>
      </c>
      <c r="E40" s="9" t="s">
        <v>108</v>
      </c>
      <c r="F40" s="12" t="n">
        <v>32.73</v>
      </c>
      <c r="G40" s="12" t="n">
        <v>74.86</v>
      </c>
      <c r="H40" s="9" t="s">
        <v>65</v>
      </c>
      <c r="I40" s="9" t="s">
        <v>109</v>
      </c>
      <c r="J40" s="9" t="n">
        <v>2</v>
      </c>
      <c r="K40" s="9" t="s">
        <v>110</v>
      </c>
      <c r="L40" s="9"/>
    </row>
    <row r="41" customFormat="false" ht="15" hidden="false" customHeight="false" outlineLevel="0" collapsed="false">
      <c r="A41" s="9" t="s">
        <v>174</v>
      </c>
      <c r="B41" s="9" t="s">
        <v>175</v>
      </c>
      <c r="C41" s="9" t="s">
        <v>165</v>
      </c>
      <c r="D41" s="9" t="s">
        <v>63</v>
      </c>
      <c r="E41" s="9" t="s">
        <v>108</v>
      </c>
      <c r="F41" s="12" t="n">
        <v>33.09</v>
      </c>
      <c r="G41" s="12" t="n">
        <v>75.33</v>
      </c>
      <c r="H41" s="9" t="s">
        <v>87</v>
      </c>
      <c r="I41" s="9" t="s">
        <v>109</v>
      </c>
      <c r="J41" s="9" t="n">
        <v>2</v>
      </c>
      <c r="K41" s="9" t="s">
        <v>110</v>
      </c>
      <c r="L41" s="9"/>
    </row>
    <row r="42" customFormat="false" ht="15" hidden="false" customHeight="false" outlineLevel="0" collapsed="false">
      <c r="A42" s="9" t="s">
        <v>176</v>
      </c>
      <c r="B42" s="9" t="s">
        <v>177</v>
      </c>
      <c r="C42" s="9" t="s">
        <v>165</v>
      </c>
      <c r="D42" s="9" t="s">
        <v>63</v>
      </c>
      <c r="E42" s="9" t="s">
        <v>108</v>
      </c>
      <c r="F42" s="12" t="n">
        <v>32.99</v>
      </c>
      <c r="G42" s="12" t="n">
        <v>74.93</v>
      </c>
      <c r="H42" s="9" t="s">
        <v>87</v>
      </c>
      <c r="I42" s="9" t="s">
        <v>109</v>
      </c>
      <c r="J42" s="9" t="n">
        <v>2</v>
      </c>
      <c r="K42" s="9" t="s">
        <v>110</v>
      </c>
      <c r="L42" s="9"/>
    </row>
    <row r="43" customFormat="false" ht="15" hidden="false" customHeight="false" outlineLevel="0" collapsed="false">
      <c r="A43" s="9" t="s">
        <v>178</v>
      </c>
      <c r="B43" s="9" t="s">
        <v>179</v>
      </c>
      <c r="C43" s="9" t="s">
        <v>148</v>
      </c>
      <c r="D43" s="9" t="s">
        <v>63</v>
      </c>
      <c r="E43" s="9" t="s">
        <v>108</v>
      </c>
      <c r="F43" s="12" t="n">
        <v>30.74</v>
      </c>
      <c r="G43" s="12" t="n">
        <v>79.49</v>
      </c>
      <c r="H43" s="9" t="s">
        <v>87</v>
      </c>
      <c r="I43" s="9" t="s">
        <v>109</v>
      </c>
      <c r="J43" s="9" t="n">
        <v>2</v>
      </c>
      <c r="K43" s="9" t="s">
        <v>110</v>
      </c>
      <c r="L43" s="9"/>
    </row>
    <row r="44" customFormat="false" ht="15" hidden="false" customHeight="false" outlineLevel="0" collapsed="false">
      <c r="A44" s="9" t="s">
        <v>180</v>
      </c>
      <c r="B44" s="9" t="s">
        <v>181</v>
      </c>
      <c r="C44" s="9" t="s">
        <v>148</v>
      </c>
      <c r="D44" s="9" t="s">
        <v>63</v>
      </c>
      <c r="E44" s="9" t="s">
        <v>108</v>
      </c>
      <c r="F44" s="12" t="n">
        <v>30.74</v>
      </c>
      <c r="G44" s="12" t="n">
        <v>79.07</v>
      </c>
      <c r="H44" s="9" t="s">
        <v>87</v>
      </c>
      <c r="I44" s="9" t="s">
        <v>109</v>
      </c>
      <c r="J44" s="9" t="n">
        <v>2</v>
      </c>
      <c r="K44" s="9" t="s">
        <v>110</v>
      </c>
      <c r="L44" s="9"/>
    </row>
    <row r="45" customFormat="false" ht="15" hidden="false" customHeight="false" outlineLevel="0" collapsed="false">
      <c r="A45" s="9" t="s">
        <v>182</v>
      </c>
      <c r="B45" s="9" t="s">
        <v>183</v>
      </c>
      <c r="C45" s="9" t="s">
        <v>148</v>
      </c>
      <c r="D45" s="9" t="s">
        <v>63</v>
      </c>
      <c r="E45" s="9" t="s">
        <v>108</v>
      </c>
      <c r="F45" s="12" t="n">
        <v>30.99</v>
      </c>
      <c r="G45" s="12" t="n">
        <v>78.94</v>
      </c>
      <c r="H45" s="9" t="s">
        <v>87</v>
      </c>
      <c r="I45" s="9" t="s">
        <v>109</v>
      </c>
      <c r="J45" s="9" t="n">
        <v>2</v>
      </c>
      <c r="K45" s="9" t="s">
        <v>110</v>
      </c>
      <c r="L45" s="9"/>
    </row>
    <row r="46" customFormat="false" ht="15" hidden="false" customHeight="false" outlineLevel="0" collapsed="false">
      <c r="A46" s="9" t="s">
        <v>184</v>
      </c>
      <c r="B46" s="9" t="s">
        <v>185</v>
      </c>
      <c r="C46" s="9" t="s">
        <v>148</v>
      </c>
      <c r="D46" s="9" t="s">
        <v>63</v>
      </c>
      <c r="E46" s="9" t="s">
        <v>108</v>
      </c>
      <c r="F46" s="12" t="n">
        <v>31.01</v>
      </c>
      <c r="G46" s="12" t="n">
        <v>78.45</v>
      </c>
      <c r="H46" s="9" t="s">
        <v>87</v>
      </c>
      <c r="I46" s="9" t="s">
        <v>109</v>
      </c>
      <c r="J46" s="9" t="n">
        <v>2</v>
      </c>
      <c r="K46" s="9" t="s">
        <v>110</v>
      </c>
      <c r="L46" s="9"/>
    </row>
    <row r="47" customFormat="false" ht="15" hidden="false" customHeight="false" outlineLevel="0" collapsed="false">
      <c r="A47" s="9" t="s">
        <v>186</v>
      </c>
      <c r="B47" s="9" t="s">
        <v>187</v>
      </c>
      <c r="C47" s="9" t="s">
        <v>148</v>
      </c>
      <c r="D47" s="9" t="s">
        <v>63</v>
      </c>
      <c r="E47" s="9" t="s">
        <v>108</v>
      </c>
      <c r="F47" s="12" t="n">
        <v>30.73</v>
      </c>
      <c r="G47" s="12" t="n">
        <v>79.6</v>
      </c>
      <c r="H47" s="9" t="s">
        <v>87</v>
      </c>
      <c r="I47" s="9" t="s">
        <v>109</v>
      </c>
      <c r="J47" s="9" t="n">
        <v>2</v>
      </c>
      <c r="K47" s="9" t="s">
        <v>110</v>
      </c>
      <c r="L47" s="9"/>
    </row>
    <row r="48" customFormat="false" ht="15" hidden="false" customHeight="false" outlineLevel="0" collapsed="false">
      <c r="A48" s="9" t="s">
        <v>188</v>
      </c>
      <c r="B48" s="9" t="s">
        <v>189</v>
      </c>
      <c r="C48" s="9" t="s">
        <v>70</v>
      </c>
      <c r="D48" s="9" t="s">
        <v>71</v>
      </c>
      <c r="E48" s="9" t="s">
        <v>108</v>
      </c>
      <c r="F48" s="12" t="n">
        <v>26.3</v>
      </c>
      <c r="G48" s="12" t="n">
        <v>73.02</v>
      </c>
      <c r="H48" s="9" t="s">
        <v>65</v>
      </c>
      <c r="I48" s="9" t="s">
        <v>109</v>
      </c>
      <c r="J48" s="9" t="n">
        <v>2</v>
      </c>
      <c r="K48" s="9" t="s">
        <v>110</v>
      </c>
      <c r="L48" s="9"/>
    </row>
    <row r="49" customFormat="false" ht="15" hidden="false" customHeight="false" outlineLevel="0" collapsed="false">
      <c r="A49" s="9" t="s">
        <v>190</v>
      </c>
      <c r="B49" s="9" t="s">
        <v>191</v>
      </c>
      <c r="C49" s="9" t="s">
        <v>70</v>
      </c>
      <c r="D49" s="9" t="s">
        <v>71</v>
      </c>
      <c r="E49" s="9" t="s">
        <v>108</v>
      </c>
      <c r="F49" s="12" t="n">
        <v>24.58</v>
      </c>
      <c r="G49" s="12" t="n">
        <v>73.68</v>
      </c>
      <c r="H49" s="9" t="s">
        <v>65</v>
      </c>
      <c r="I49" s="9" t="s">
        <v>109</v>
      </c>
      <c r="J49" s="9" t="n">
        <v>2</v>
      </c>
      <c r="K49" s="9" t="s">
        <v>110</v>
      </c>
      <c r="L49" s="9"/>
    </row>
    <row r="50" customFormat="false" ht="15" hidden="false" customHeight="false" outlineLevel="0" collapsed="false">
      <c r="A50" s="9" t="s">
        <v>192</v>
      </c>
      <c r="B50" s="9" t="s">
        <v>193</v>
      </c>
      <c r="C50" s="9" t="s">
        <v>70</v>
      </c>
      <c r="D50" s="9" t="s">
        <v>71</v>
      </c>
      <c r="E50" s="9" t="s">
        <v>108</v>
      </c>
      <c r="F50" s="12" t="n">
        <v>26.92</v>
      </c>
      <c r="G50" s="12" t="n">
        <v>70.91</v>
      </c>
      <c r="H50" s="9" t="s">
        <v>65</v>
      </c>
      <c r="I50" s="9" t="s">
        <v>109</v>
      </c>
      <c r="J50" s="9" t="n">
        <v>2</v>
      </c>
      <c r="K50" s="9" t="s">
        <v>110</v>
      </c>
      <c r="L50" s="9"/>
    </row>
    <row r="51" customFormat="false" ht="15" hidden="false" customHeight="false" outlineLevel="0" collapsed="false">
      <c r="A51" s="9" t="s">
        <v>194</v>
      </c>
      <c r="B51" s="9" t="s">
        <v>195</v>
      </c>
      <c r="C51" s="9" t="s">
        <v>70</v>
      </c>
      <c r="D51" s="9" t="s">
        <v>71</v>
      </c>
      <c r="E51" s="9" t="s">
        <v>108</v>
      </c>
      <c r="F51" s="12" t="n">
        <v>26.49</v>
      </c>
      <c r="G51" s="12" t="n">
        <v>74.55</v>
      </c>
      <c r="H51" s="9" t="s">
        <v>65</v>
      </c>
      <c r="I51" s="9" t="s">
        <v>109</v>
      </c>
      <c r="J51" s="9" t="n">
        <v>2</v>
      </c>
      <c r="K51" s="9" t="s">
        <v>110</v>
      </c>
      <c r="L51" s="9"/>
    </row>
    <row r="52" customFormat="false" ht="15" hidden="false" customHeight="false" outlineLevel="0" collapsed="false">
      <c r="A52" s="9" t="s">
        <v>196</v>
      </c>
      <c r="B52" s="9" t="s">
        <v>197</v>
      </c>
      <c r="C52" s="9" t="s">
        <v>70</v>
      </c>
      <c r="D52" s="9" t="s">
        <v>71</v>
      </c>
      <c r="E52" s="9" t="s">
        <v>108</v>
      </c>
      <c r="F52" s="12" t="n">
        <v>26.45</v>
      </c>
      <c r="G52" s="12" t="n">
        <v>74.64</v>
      </c>
      <c r="H52" s="9" t="s">
        <v>65</v>
      </c>
      <c r="I52" s="9" t="s">
        <v>109</v>
      </c>
      <c r="J52" s="9" t="n">
        <v>2</v>
      </c>
      <c r="K52" s="9" t="s">
        <v>110</v>
      </c>
      <c r="L52" s="9"/>
    </row>
    <row r="53" customFormat="false" ht="15" hidden="false" customHeight="false" outlineLevel="0" collapsed="false">
      <c r="A53" s="9" t="s">
        <v>198</v>
      </c>
      <c r="B53" s="9" t="s">
        <v>199</v>
      </c>
      <c r="C53" s="9" t="s">
        <v>70</v>
      </c>
      <c r="D53" s="9" t="s">
        <v>71</v>
      </c>
      <c r="E53" s="9" t="s">
        <v>108</v>
      </c>
      <c r="F53" s="12" t="n">
        <v>28.02</v>
      </c>
      <c r="G53" s="12" t="n">
        <v>73.31</v>
      </c>
      <c r="H53" s="9" t="s">
        <v>65</v>
      </c>
      <c r="I53" s="9" t="s">
        <v>109</v>
      </c>
      <c r="J53" s="9" t="n">
        <v>2</v>
      </c>
      <c r="K53" s="9" t="s">
        <v>110</v>
      </c>
      <c r="L53" s="9"/>
    </row>
    <row r="54" customFormat="false" ht="15" hidden="false" customHeight="false" outlineLevel="0" collapsed="false">
      <c r="A54" s="9" t="s">
        <v>200</v>
      </c>
      <c r="B54" s="9" t="s">
        <v>201</v>
      </c>
      <c r="C54" s="9" t="s">
        <v>70</v>
      </c>
      <c r="D54" s="9" t="s">
        <v>71</v>
      </c>
      <c r="E54" s="9" t="s">
        <v>108</v>
      </c>
      <c r="F54" s="12" t="n">
        <v>24.59</v>
      </c>
      <c r="G54" s="12" t="n">
        <v>72.71</v>
      </c>
      <c r="H54" s="9" t="s">
        <v>65</v>
      </c>
      <c r="I54" s="9" t="s">
        <v>109</v>
      </c>
      <c r="J54" s="9" t="n">
        <v>2</v>
      </c>
      <c r="K54" s="9" t="s">
        <v>110</v>
      </c>
      <c r="L54" s="9"/>
    </row>
    <row r="55" customFormat="false" ht="15" hidden="false" customHeight="false" outlineLevel="0" collapsed="false">
      <c r="A55" s="9" t="s">
        <v>202</v>
      </c>
      <c r="B55" s="9" t="s">
        <v>203</v>
      </c>
      <c r="C55" s="9" t="s">
        <v>70</v>
      </c>
      <c r="D55" s="9" t="s">
        <v>71</v>
      </c>
      <c r="E55" s="9" t="s">
        <v>108</v>
      </c>
      <c r="F55" s="12" t="n">
        <v>24.88</v>
      </c>
      <c r="G55" s="12" t="n">
        <v>74.63</v>
      </c>
      <c r="H55" s="9" t="s">
        <v>65</v>
      </c>
      <c r="I55" s="9" t="s">
        <v>109</v>
      </c>
      <c r="J55" s="9" t="n">
        <v>2</v>
      </c>
      <c r="K55" s="9" t="s">
        <v>110</v>
      </c>
      <c r="L55" s="9"/>
    </row>
    <row r="56" customFormat="false" ht="15" hidden="false" customHeight="false" outlineLevel="0" collapsed="false">
      <c r="A56" s="9" t="s">
        <v>204</v>
      </c>
      <c r="B56" s="9" t="s">
        <v>205</v>
      </c>
      <c r="C56" s="9" t="s">
        <v>70</v>
      </c>
      <c r="D56" s="9" t="s">
        <v>71</v>
      </c>
      <c r="E56" s="9" t="s">
        <v>108</v>
      </c>
      <c r="F56" s="12" t="n">
        <v>26.02</v>
      </c>
      <c r="G56" s="12" t="n">
        <v>76.5</v>
      </c>
      <c r="H56" s="9" t="s">
        <v>87</v>
      </c>
      <c r="I56" s="9" t="s">
        <v>109</v>
      </c>
      <c r="J56" s="9" t="n">
        <v>2</v>
      </c>
      <c r="K56" s="9" t="s">
        <v>110</v>
      </c>
      <c r="L56" s="9"/>
    </row>
    <row r="57" customFormat="false" ht="15" hidden="false" customHeight="false" outlineLevel="0" collapsed="false">
      <c r="A57" s="9" t="s">
        <v>206</v>
      </c>
      <c r="B57" s="9" t="s">
        <v>207</v>
      </c>
      <c r="C57" s="9" t="s">
        <v>70</v>
      </c>
      <c r="D57" s="9" t="s">
        <v>71</v>
      </c>
      <c r="E57" s="9" t="s">
        <v>108</v>
      </c>
      <c r="F57" s="12" t="n">
        <v>26.02</v>
      </c>
      <c r="G57" s="12" t="n">
        <v>76.35</v>
      </c>
      <c r="H57" s="9" t="s">
        <v>65</v>
      </c>
      <c r="I57" s="9" t="s">
        <v>109</v>
      </c>
      <c r="J57" s="9" t="n">
        <v>2</v>
      </c>
      <c r="K57" s="9" t="s">
        <v>110</v>
      </c>
      <c r="L57" s="9"/>
    </row>
    <row r="58" customFormat="false" ht="15" hidden="false" customHeight="false" outlineLevel="0" collapsed="false">
      <c r="A58" s="9" t="s">
        <v>208</v>
      </c>
      <c r="B58" s="9" t="s">
        <v>209</v>
      </c>
      <c r="C58" s="9" t="s">
        <v>70</v>
      </c>
      <c r="D58" s="9" t="s">
        <v>71</v>
      </c>
      <c r="E58" s="9" t="s">
        <v>108</v>
      </c>
      <c r="F58" s="12" t="n">
        <v>25.44</v>
      </c>
      <c r="G58" s="12" t="n">
        <v>75.64</v>
      </c>
      <c r="H58" s="9" t="s">
        <v>65</v>
      </c>
      <c r="I58" s="9" t="s">
        <v>109</v>
      </c>
      <c r="J58" s="9" t="n">
        <v>2</v>
      </c>
      <c r="K58" s="9" t="s">
        <v>110</v>
      </c>
      <c r="L58" s="9"/>
    </row>
    <row r="59" customFormat="false" ht="15" hidden="false" customHeight="false" outlineLevel="0" collapsed="false">
      <c r="A59" s="9" t="s">
        <v>210</v>
      </c>
      <c r="B59" s="9" t="s">
        <v>211</v>
      </c>
      <c r="C59" s="9" t="s">
        <v>70</v>
      </c>
      <c r="D59" s="9" t="s">
        <v>71</v>
      </c>
      <c r="E59" s="9" t="s">
        <v>108</v>
      </c>
      <c r="F59" s="12" t="n">
        <v>25.18</v>
      </c>
      <c r="G59" s="12" t="n">
        <v>75.83</v>
      </c>
      <c r="H59" s="9" t="s">
        <v>65</v>
      </c>
      <c r="I59" s="9" t="s">
        <v>109</v>
      </c>
      <c r="J59" s="9" t="n">
        <v>2</v>
      </c>
      <c r="K59" s="9" t="s">
        <v>110</v>
      </c>
      <c r="L59" s="9"/>
    </row>
    <row r="60" customFormat="false" ht="15" hidden="false" customHeight="false" outlineLevel="0" collapsed="false">
      <c r="A60" s="9" t="s">
        <v>212</v>
      </c>
      <c r="B60" s="9" t="s">
        <v>213</v>
      </c>
      <c r="C60" s="9" t="s">
        <v>70</v>
      </c>
      <c r="D60" s="9" t="s">
        <v>71</v>
      </c>
      <c r="E60" s="9" t="s">
        <v>108</v>
      </c>
      <c r="F60" s="12" t="n">
        <v>27.57</v>
      </c>
      <c r="G60" s="12" t="n">
        <v>76.61</v>
      </c>
      <c r="H60" s="9" t="s">
        <v>65</v>
      </c>
      <c r="I60" s="9" t="s">
        <v>109</v>
      </c>
      <c r="J60" s="9" t="n">
        <v>2</v>
      </c>
      <c r="K60" s="9" t="s">
        <v>110</v>
      </c>
      <c r="L60" s="9"/>
    </row>
    <row r="61" customFormat="false" ht="15" hidden="false" customHeight="false" outlineLevel="0" collapsed="false">
      <c r="A61" s="9" t="s">
        <v>214</v>
      </c>
      <c r="B61" s="9" t="s">
        <v>215</v>
      </c>
      <c r="C61" s="9" t="s">
        <v>70</v>
      </c>
      <c r="D61" s="9" t="s">
        <v>71</v>
      </c>
      <c r="E61" s="9" t="s">
        <v>108</v>
      </c>
      <c r="F61" s="12" t="n">
        <v>27.22</v>
      </c>
      <c r="G61" s="12" t="n">
        <v>77.49</v>
      </c>
      <c r="H61" s="9" t="s">
        <v>65</v>
      </c>
      <c r="I61" s="9" t="s">
        <v>109</v>
      </c>
      <c r="J61" s="9" t="n">
        <v>2</v>
      </c>
      <c r="K61" s="9" t="s">
        <v>110</v>
      </c>
      <c r="L61" s="9"/>
    </row>
    <row r="62" customFormat="false" ht="15" hidden="false" customHeight="false" outlineLevel="0" collapsed="false">
      <c r="A62" s="9" t="s">
        <v>216</v>
      </c>
      <c r="B62" s="9" t="s">
        <v>217</v>
      </c>
      <c r="C62" s="9" t="s">
        <v>70</v>
      </c>
      <c r="D62" s="9" t="s">
        <v>71</v>
      </c>
      <c r="E62" s="9" t="s">
        <v>108</v>
      </c>
      <c r="F62" s="12" t="n">
        <v>26.89</v>
      </c>
      <c r="G62" s="12" t="n">
        <v>76.34</v>
      </c>
      <c r="H62" s="9" t="s">
        <v>65</v>
      </c>
      <c r="I62" s="9" t="s">
        <v>109</v>
      </c>
      <c r="J62" s="9" t="n">
        <v>2</v>
      </c>
      <c r="K62" s="9" t="s">
        <v>110</v>
      </c>
      <c r="L62" s="9"/>
    </row>
    <row r="63" customFormat="false" ht="15" hidden="false" customHeight="false" outlineLevel="0" collapsed="false">
      <c r="A63" s="9" t="s">
        <v>218</v>
      </c>
      <c r="B63" s="9" t="s">
        <v>219</v>
      </c>
      <c r="C63" s="9" t="s">
        <v>70</v>
      </c>
      <c r="D63" s="9" t="s">
        <v>71</v>
      </c>
      <c r="E63" s="9" t="s">
        <v>108</v>
      </c>
      <c r="F63" s="12" t="n">
        <v>27.8</v>
      </c>
      <c r="G63" s="12" t="n">
        <v>75.4</v>
      </c>
      <c r="H63" s="9" t="s">
        <v>87</v>
      </c>
      <c r="I63" s="9" t="s">
        <v>109</v>
      </c>
      <c r="J63" s="9" t="n">
        <v>2</v>
      </c>
      <c r="K63" s="9" t="s">
        <v>110</v>
      </c>
      <c r="L63" s="9" t="s">
        <v>220</v>
      </c>
    </row>
    <row r="64" customFormat="false" ht="15" hidden="false" customHeight="false" outlineLevel="0" collapsed="false">
      <c r="A64" s="9" t="s">
        <v>221</v>
      </c>
      <c r="B64" s="9" t="s">
        <v>222</v>
      </c>
      <c r="C64" s="9" t="s">
        <v>70</v>
      </c>
      <c r="D64" s="9" t="s">
        <v>71</v>
      </c>
      <c r="E64" s="9" t="s">
        <v>108</v>
      </c>
      <c r="F64" s="12" t="n">
        <v>28.06</v>
      </c>
      <c r="G64" s="12" t="n">
        <v>75.15</v>
      </c>
      <c r="H64" s="9" t="s">
        <v>65</v>
      </c>
      <c r="I64" s="9" t="s">
        <v>109</v>
      </c>
      <c r="J64" s="9" t="n">
        <v>2</v>
      </c>
      <c r="K64" s="9" t="s">
        <v>110</v>
      </c>
      <c r="L64" s="9"/>
    </row>
    <row r="65" customFormat="false" ht="15" hidden="false" customHeight="false" outlineLevel="0" collapsed="false">
      <c r="A65" s="9" t="s">
        <v>223</v>
      </c>
      <c r="B65" s="9" t="s">
        <v>224</v>
      </c>
      <c r="C65" s="9" t="s">
        <v>70</v>
      </c>
      <c r="D65" s="9" t="s">
        <v>71</v>
      </c>
      <c r="E65" s="9" t="s">
        <v>108</v>
      </c>
      <c r="F65" s="12" t="n">
        <v>27.85</v>
      </c>
      <c r="G65" s="12" t="n">
        <v>75.27</v>
      </c>
      <c r="H65" s="9" t="s">
        <v>65</v>
      </c>
      <c r="I65" s="9" t="s">
        <v>109</v>
      </c>
      <c r="J65" s="9" t="n">
        <v>2</v>
      </c>
      <c r="K65" s="9" t="s">
        <v>110</v>
      </c>
      <c r="L65" s="9"/>
    </row>
    <row r="66" customFormat="false" ht="15" hidden="false" customHeight="false" outlineLevel="0" collapsed="false">
      <c r="A66" s="9" t="s">
        <v>225</v>
      </c>
      <c r="B66" s="9" t="s">
        <v>226</v>
      </c>
      <c r="C66" s="9" t="s">
        <v>70</v>
      </c>
      <c r="D66" s="9" t="s">
        <v>71</v>
      </c>
      <c r="E66" s="9" t="s">
        <v>108</v>
      </c>
      <c r="F66" s="12" t="n">
        <v>25.75</v>
      </c>
      <c r="G66" s="12" t="n">
        <v>71.39</v>
      </c>
      <c r="H66" s="9" t="s">
        <v>65</v>
      </c>
      <c r="I66" s="9" t="s">
        <v>109</v>
      </c>
      <c r="J66" s="9" t="n">
        <v>2</v>
      </c>
      <c r="K66" s="9" t="s">
        <v>110</v>
      </c>
      <c r="L66" s="9"/>
    </row>
    <row r="67" customFormat="false" ht="15" hidden="false" customHeight="false" outlineLevel="0" collapsed="false">
      <c r="A67" s="9" t="s">
        <v>227</v>
      </c>
      <c r="B67" s="9" t="s">
        <v>228</v>
      </c>
      <c r="C67" s="9" t="s">
        <v>70</v>
      </c>
      <c r="D67" s="9" t="s">
        <v>71</v>
      </c>
      <c r="E67" s="9" t="s">
        <v>108</v>
      </c>
      <c r="F67" s="12" t="n">
        <v>27.2</v>
      </c>
      <c r="G67" s="12" t="n">
        <v>73.73</v>
      </c>
      <c r="H67" s="9" t="s">
        <v>65</v>
      </c>
      <c r="I67" s="9" t="s">
        <v>109</v>
      </c>
      <c r="J67" s="9" t="n">
        <v>2</v>
      </c>
      <c r="K67" s="9" t="s">
        <v>110</v>
      </c>
      <c r="L67" s="9"/>
    </row>
    <row r="68" customFormat="false" ht="15" hidden="false" customHeight="false" outlineLevel="0" collapsed="false">
      <c r="A68" s="9" t="s">
        <v>229</v>
      </c>
      <c r="B68" s="9" t="s">
        <v>230</v>
      </c>
      <c r="C68" s="9" t="s">
        <v>70</v>
      </c>
      <c r="D68" s="9" t="s">
        <v>71</v>
      </c>
      <c r="E68" s="9" t="s">
        <v>108</v>
      </c>
      <c r="F68" s="12" t="n">
        <v>25.15</v>
      </c>
      <c r="G68" s="12" t="n">
        <v>73.58</v>
      </c>
      <c r="H68" s="9" t="s">
        <v>87</v>
      </c>
      <c r="I68" s="9" t="s">
        <v>109</v>
      </c>
      <c r="J68" s="9" t="n">
        <v>2</v>
      </c>
      <c r="K68" s="9" t="s">
        <v>110</v>
      </c>
      <c r="L68" s="9"/>
    </row>
    <row r="69" customFormat="false" ht="15" hidden="false" customHeight="false" outlineLevel="0" collapsed="false">
      <c r="A69" s="9" t="s">
        <v>231</v>
      </c>
      <c r="B69" s="9" t="s">
        <v>232</v>
      </c>
      <c r="C69" s="9" t="s">
        <v>70</v>
      </c>
      <c r="D69" s="9" t="s">
        <v>71</v>
      </c>
      <c r="E69" s="9" t="s">
        <v>108</v>
      </c>
      <c r="F69" s="12" t="n">
        <v>25.12</v>
      </c>
      <c r="G69" s="12" t="n">
        <v>73.47</v>
      </c>
      <c r="H69" s="9" t="s">
        <v>87</v>
      </c>
      <c r="I69" s="9" t="s">
        <v>109</v>
      </c>
      <c r="J69" s="9" t="n">
        <v>2</v>
      </c>
      <c r="K69" s="9" t="s">
        <v>110</v>
      </c>
      <c r="L69" s="9"/>
    </row>
    <row r="70" customFormat="false" ht="15" hidden="false" customHeight="false" outlineLevel="0" collapsed="false">
      <c r="A70" s="9" t="s">
        <v>233</v>
      </c>
      <c r="B70" s="9" t="s">
        <v>234</v>
      </c>
      <c r="C70" s="9" t="s">
        <v>70</v>
      </c>
      <c r="D70" s="9" t="s">
        <v>71</v>
      </c>
      <c r="E70" s="9" t="s">
        <v>108</v>
      </c>
      <c r="F70" s="12" t="n">
        <v>24.94</v>
      </c>
      <c r="G70" s="12" t="n">
        <v>73.82</v>
      </c>
      <c r="H70" s="9" t="s">
        <v>65</v>
      </c>
      <c r="I70" s="9" t="s">
        <v>109</v>
      </c>
      <c r="J70" s="9" t="n">
        <v>2</v>
      </c>
      <c r="K70" s="9" t="s">
        <v>110</v>
      </c>
      <c r="L70" s="9"/>
    </row>
    <row r="71" customFormat="false" ht="15" hidden="false" customHeight="false" outlineLevel="0" collapsed="false">
      <c r="A71" s="9" t="s">
        <v>235</v>
      </c>
      <c r="B71" s="9" t="s">
        <v>236</v>
      </c>
      <c r="C71" s="9" t="s">
        <v>70</v>
      </c>
      <c r="D71" s="9" t="s">
        <v>71</v>
      </c>
      <c r="E71" s="9" t="s">
        <v>108</v>
      </c>
      <c r="F71" s="12" t="n">
        <v>27.99</v>
      </c>
      <c r="G71" s="12" t="n">
        <v>76.38</v>
      </c>
      <c r="H71" s="9" t="s">
        <v>87</v>
      </c>
      <c r="I71" s="9" t="s">
        <v>109</v>
      </c>
      <c r="J71" s="9" t="n">
        <v>2</v>
      </c>
      <c r="K71" s="9" t="s">
        <v>110</v>
      </c>
      <c r="L71" s="9"/>
    </row>
    <row r="72" customFormat="false" ht="15" hidden="false" customHeight="false" outlineLevel="0" collapsed="false">
      <c r="A72" s="9" t="s">
        <v>237</v>
      </c>
      <c r="B72" s="9" t="s">
        <v>238</v>
      </c>
      <c r="C72" s="9" t="s">
        <v>70</v>
      </c>
      <c r="D72" s="9" t="s">
        <v>71</v>
      </c>
      <c r="E72" s="9" t="s">
        <v>108</v>
      </c>
      <c r="F72" s="12" t="n">
        <v>26.72</v>
      </c>
      <c r="G72" s="12" t="n">
        <v>72.9</v>
      </c>
      <c r="H72" s="9" t="s">
        <v>87</v>
      </c>
      <c r="I72" s="9" t="s">
        <v>109</v>
      </c>
      <c r="J72" s="9" t="n">
        <v>2</v>
      </c>
      <c r="K72" s="9" t="s">
        <v>110</v>
      </c>
      <c r="L72" s="9"/>
    </row>
    <row r="73" customFormat="false" ht="15" hidden="false" customHeight="false" outlineLevel="0" collapsed="false">
      <c r="A73" s="9" t="s">
        <v>239</v>
      </c>
      <c r="B73" s="9" t="s">
        <v>240</v>
      </c>
      <c r="C73" s="9" t="s">
        <v>70</v>
      </c>
      <c r="D73" s="9" t="s">
        <v>71</v>
      </c>
      <c r="E73" s="9" t="s">
        <v>108</v>
      </c>
      <c r="F73" s="12" t="n">
        <v>26.7</v>
      </c>
      <c r="G73" s="12" t="n">
        <v>77.89</v>
      </c>
      <c r="H73" s="9" t="s">
        <v>65</v>
      </c>
      <c r="I73" s="9" t="s">
        <v>109</v>
      </c>
      <c r="J73" s="9" t="n">
        <v>2</v>
      </c>
      <c r="K73" s="9" t="s">
        <v>110</v>
      </c>
      <c r="L73" s="9"/>
    </row>
    <row r="74" customFormat="false" ht="15" hidden="false" customHeight="false" outlineLevel="0" collapsed="false">
      <c r="A74" s="9" t="s">
        <v>241</v>
      </c>
      <c r="B74" s="9" t="s">
        <v>242</v>
      </c>
      <c r="C74" s="9" t="s">
        <v>70</v>
      </c>
      <c r="D74" s="9" t="s">
        <v>71</v>
      </c>
      <c r="E74" s="9" t="s">
        <v>108</v>
      </c>
      <c r="F74" s="12" t="n">
        <v>26.5</v>
      </c>
      <c r="G74" s="12" t="n">
        <v>77.02</v>
      </c>
      <c r="H74" s="9" t="s">
        <v>65</v>
      </c>
      <c r="I74" s="9" t="s">
        <v>109</v>
      </c>
      <c r="J74" s="9" t="n">
        <v>2</v>
      </c>
      <c r="K74" s="9" t="s">
        <v>110</v>
      </c>
      <c r="L74" s="9"/>
    </row>
    <row r="75" customFormat="false" ht="15" hidden="false" customHeight="false" outlineLevel="0" collapsed="false">
      <c r="A75" s="9" t="s">
        <v>243</v>
      </c>
      <c r="B75" s="9" t="s">
        <v>244</v>
      </c>
      <c r="C75" s="9" t="s">
        <v>70</v>
      </c>
      <c r="D75" s="9" t="s">
        <v>71</v>
      </c>
      <c r="E75" s="9" t="s">
        <v>108</v>
      </c>
      <c r="F75" s="12" t="n">
        <v>26.17</v>
      </c>
      <c r="G75" s="12" t="n">
        <v>75.79</v>
      </c>
      <c r="H75" s="9" t="s">
        <v>65</v>
      </c>
      <c r="I75" s="9" t="s">
        <v>109</v>
      </c>
      <c r="J75" s="9" t="n">
        <v>2</v>
      </c>
      <c r="K75" s="9" t="s">
        <v>110</v>
      </c>
      <c r="L75" s="9"/>
    </row>
    <row r="76" customFormat="false" ht="15" hidden="false" customHeight="false" outlineLevel="0" collapsed="false">
      <c r="A76" s="9" t="s">
        <v>245</v>
      </c>
      <c r="B76" s="9" t="s">
        <v>246</v>
      </c>
      <c r="C76" s="9" t="s">
        <v>70</v>
      </c>
      <c r="D76" s="9" t="s">
        <v>71</v>
      </c>
      <c r="E76" s="9" t="s">
        <v>108</v>
      </c>
      <c r="F76" s="12" t="n">
        <v>23.55</v>
      </c>
      <c r="G76" s="12" t="n">
        <v>74.44</v>
      </c>
      <c r="H76" s="9" t="s">
        <v>65</v>
      </c>
      <c r="I76" s="9" t="s">
        <v>109</v>
      </c>
      <c r="J76" s="9" t="n">
        <v>2</v>
      </c>
      <c r="K76" s="9" t="s">
        <v>110</v>
      </c>
      <c r="L76" s="9"/>
    </row>
    <row r="77" customFormat="false" ht="15" hidden="false" customHeight="false" outlineLevel="0" collapsed="false">
      <c r="A77" s="9" t="s">
        <v>247</v>
      </c>
      <c r="B77" s="9" t="s">
        <v>248</v>
      </c>
      <c r="C77" s="9" t="s">
        <v>249</v>
      </c>
      <c r="D77" s="9" t="s">
        <v>71</v>
      </c>
      <c r="E77" s="9" t="s">
        <v>108</v>
      </c>
      <c r="F77" s="12" t="n">
        <v>23.02</v>
      </c>
      <c r="G77" s="12" t="n">
        <v>72.57</v>
      </c>
      <c r="H77" s="9" t="s">
        <v>65</v>
      </c>
      <c r="I77" s="9" t="s">
        <v>109</v>
      </c>
      <c r="J77" s="9" t="n">
        <v>2</v>
      </c>
      <c r="K77" s="9" t="s">
        <v>110</v>
      </c>
      <c r="L77" s="9"/>
    </row>
    <row r="78" customFormat="false" ht="15" hidden="false" customHeight="false" outlineLevel="0" collapsed="false">
      <c r="A78" s="9" t="s">
        <v>250</v>
      </c>
      <c r="B78" s="9" t="s">
        <v>251</v>
      </c>
      <c r="C78" s="9" t="s">
        <v>249</v>
      </c>
      <c r="D78" s="9" t="s">
        <v>71</v>
      </c>
      <c r="E78" s="9" t="s">
        <v>108</v>
      </c>
      <c r="F78" s="12" t="n">
        <v>22.31</v>
      </c>
      <c r="G78" s="12" t="n">
        <v>73.18</v>
      </c>
      <c r="H78" s="9" t="s">
        <v>65</v>
      </c>
      <c r="I78" s="9" t="s">
        <v>109</v>
      </c>
      <c r="J78" s="9" t="n">
        <v>2</v>
      </c>
      <c r="K78" s="9" t="s">
        <v>110</v>
      </c>
      <c r="L78" s="9"/>
    </row>
    <row r="79" customFormat="false" ht="15" hidden="false" customHeight="false" outlineLevel="0" collapsed="false">
      <c r="A79" s="9" t="s">
        <v>252</v>
      </c>
      <c r="B79" s="9" t="s">
        <v>253</v>
      </c>
      <c r="C79" s="9" t="s">
        <v>249</v>
      </c>
      <c r="D79" s="9" t="s">
        <v>71</v>
      </c>
      <c r="E79" s="9" t="s">
        <v>108</v>
      </c>
      <c r="F79" s="12" t="n">
        <v>21.17</v>
      </c>
      <c r="G79" s="12" t="n">
        <v>72.83</v>
      </c>
      <c r="H79" s="9" t="s">
        <v>65</v>
      </c>
      <c r="I79" s="9" t="s">
        <v>109</v>
      </c>
      <c r="J79" s="9" t="n">
        <v>2</v>
      </c>
      <c r="K79" s="9" t="s">
        <v>110</v>
      </c>
      <c r="L79" s="9"/>
    </row>
    <row r="80" customFormat="false" ht="15" hidden="false" customHeight="false" outlineLevel="0" collapsed="false">
      <c r="A80" s="9" t="s">
        <v>254</v>
      </c>
      <c r="B80" s="9" t="s">
        <v>255</v>
      </c>
      <c r="C80" s="9" t="s">
        <v>249</v>
      </c>
      <c r="D80" s="9" t="s">
        <v>71</v>
      </c>
      <c r="E80" s="9" t="s">
        <v>108</v>
      </c>
      <c r="F80" s="12" t="n">
        <v>22.3</v>
      </c>
      <c r="G80" s="12" t="n">
        <v>70.8</v>
      </c>
      <c r="H80" s="9" t="s">
        <v>65</v>
      </c>
      <c r="I80" s="9" t="s">
        <v>109</v>
      </c>
      <c r="J80" s="9" t="n">
        <v>2</v>
      </c>
      <c r="K80" s="9" t="s">
        <v>110</v>
      </c>
      <c r="L80" s="9"/>
    </row>
    <row r="81" customFormat="false" ht="15" hidden="false" customHeight="false" outlineLevel="0" collapsed="false">
      <c r="A81" s="9" t="s">
        <v>256</v>
      </c>
      <c r="B81" s="9" t="s">
        <v>257</v>
      </c>
      <c r="C81" s="9" t="s">
        <v>249</v>
      </c>
      <c r="D81" s="9" t="s">
        <v>71</v>
      </c>
      <c r="E81" s="9" t="s">
        <v>108</v>
      </c>
      <c r="F81" s="12" t="n">
        <v>22.24</v>
      </c>
      <c r="G81" s="12" t="n">
        <v>68.97</v>
      </c>
      <c r="H81" s="9" t="s">
        <v>65</v>
      </c>
      <c r="I81" s="9" t="s">
        <v>109</v>
      </c>
      <c r="J81" s="9" t="n">
        <v>2</v>
      </c>
      <c r="K81" s="9" t="s">
        <v>110</v>
      </c>
      <c r="L81" s="9"/>
    </row>
    <row r="82" customFormat="false" ht="15" hidden="false" customHeight="false" outlineLevel="0" collapsed="false">
      <c r="A82" s="9" t="s">
        <v>258</v>
      </c>
      <c r="B82" s="9" t="s">
        <v>259</v>
      </c>
      <c r="C82" s="9" t="s">
        <v>249</v>
      </c>
      <c r="D82" s="9" t="s">
        <v>71</v>
      </c>
      <c r="E82" s="9" t="s">
        <v>108</v>
      </c>
      <c r="F82" s="12" t="n">
        <v>20.89</v>
      </c>
      <c r="G82" s="12" t="n">
        <v>70.4</v>
      </c>
      <c r="H82" s="9" t="s">
        <v>87</v>
      </c>
      <c r="I82" s="9" t="s">
        <v>109</v>
      </c>
      <c r="J82" s="9" t="n">
        <v>2</v>
      </c>
      <c r="K82" s="9" t="s">
        <v>110</v>
      </c>
      <c r="L82" s="9"/>
    </row>
    <row r="83" customFormat="false" ht="15" hidden="false" customHeight="false" outlineLevel="0" collapsed="false">
      <c r="A83" s="9" t="s">
        <v>260</v>
      </c>
      <c r="B83" s="9" t="s">
        <v>261</v>
      </c>
      <c r="C83" s="9" t="s">
        <v>249</v>
      </c>
      <c r="D83" s="9" t="s">
        <v>71</v>
      </c>
      <c r="E83" s="9" t="s">
        <v>108</v>
      </c>
      <c r="F83" s="12" t="n">
        <v>21.13</v>
      </c>
      <c r="G83" s="12" t="n">
        <v>70.8</v>
      </c>
      <c r="H83" s="9" t="s">
        <v>87</v>
      </c>
      <c r="I83" s="9" t="s">
        <v>109</v>
      </c>
      <c r="J83" s="9" t="n">
        <v>2</v>
      </c>
      <c r="K83" s="9" t="s">
        <v>110</v>
      </c>
      <c r="L83" s="9"/>
    </row>
    <row r="84" customFormat="false" ht="15" hidden="false" customHeight="false" outlineLevel="0" collapsed="false">
      <c r="A84" s="9" t="s">
        <v>262</v>
      </c>
      <c r="B84" s="9" t="s">
        <v>263</v>
      </c>
      <c r="C84" s="9" t="s">
        <v>249</v>
      </c>
      <c r="D84" s="9" t="s">
        <v>71</v>
      </c>
      <c r="E84" s="9" t="s">
        <v>108</v>
      </c>
      <c r="F84" s="12" t="n">
        <v>23.5</v>
      </c>
      <c r="G84" s="12" t="n">
        <v>69.8</v>
      </c>
      <c r="H84" s="9" t="s">
        <v>87</v>
      </c>
      <c r="I84" s="9" t="s">
        <v>109</v>
      </c>
      <c r="J84" s="9" t="n">
        <v>2</v>
      </c>
      <c r="K84" s="9" t="s">
        <v>110</v>
      </c>
      <c r="L84" s="9" t="s">
        <v>220</v>
      </c>
    </row>
    <row r="85" customFormat="false" ht="15" hidden="false" customHeight="false" outlineLevel="0" collapsed="false">
      <c r="A85" s="9" t="s">
        <v>264</v>
      </c>
      <c r="B85" s="9" t="s">
        <v>265</v>
      </c>
      <c r="C85" s="9" t="s">
        <v>249</v>
      </c>
      <c r="D85" s="9" t="s">
        <v>71</v>
      </c>
      <c r="E85" s="9" t="s">
        <v>108</v>
      </c>
      <c r="F85" s="12" t="n">
        <v>23.25</v>
      </c>
      <c r="G85" s="12" t="n">
        <v>69.67</v>
      </c>
      <c r="H85" s="9" t="s">
        <v>65</v>
      </c>
      <c r="I85" s="9" t="s">
        <v>109</v>
      </c>
      <c r="J85" s="9" t="n">
        <v>2</v>
      </c>
      <c r="K85" s="9" t="s">
        <v>110</v>
      </c>
      <c r="L85" s="9"/>
    </row>
    <row r="86" customFormat="false" ht="15" hidden="false" customHeight="false" outlineLevel="0" collapsed="false">
      <c r="A86" s="9" t="s">
        <v>266</v>
      </c>
      <c r="B86" s="9" t="s">
        <v>267</v>
      </c>
      <c r="C86" s="9" t="s">
        <v>249</v>
      </c>
      <c r="D86" s="9" t="s">
        <v>71</v>
      </c>
      <c r="E86" s="9" t="s">
        <v>108</v>
      </c>
      <c r="F86" s="12" t="n">
        <v>22.83</v>
      </c>
      <c r="G86" s="12" t="n">
        <v>69.35</v>
      </c>
      <c r="H86" s="9" t="s">
        <v>65</v>
      </c>
      <c r="I86" s="9" t="s">
        <v>109</v>
      </c>
      <c r="J86" s="9" t="n">
        <v>2</v>
      </c>
      <c r="K86" s="9" t="s">
        <v>110</v>
      </c>
      <c r="L86" s="9"/>
    </row>
    <row r="87" customFormat="false" ht="15" hidden="false" customHeight="false" outlineLevel="0" collapsed="false">
      <c r="A87" s="9" t="s">
        <v>268</v>
      </c>
      <c r="B87" s="9" t="s">
        <v>269</v>
      </c>
      <c r="C87" s="9" t="s">
        <v>249</v>
      </c>
      <c r="D87" s="9" t="s">
        <v>71</v>
      </c>
      <c r="E87" s="9" t="s">
        <v>108</v>
      </c>
      <c r="F87" s="12" t="n">
        <v>23.89</v>
      </c>
      <c r="G87" s="12" t="n">
        <v>70.22</v>
      </c>
      <c r="H87" s="9" t="s">
        <v>87</v>
      </c>
      <c r="I87" s="9" t="s">
        <v>109</v>
      </c>
      <c r="J87" s="9" t="n">
        <v>2</v>
      </c>
      <c r="K87" s="9" t="s">
        <v>110</v>
      </c>
      <c r="L87" s="9"/>
    </row>
    <row r="88" customFormat="false" ht="15" hidden="false" customHeight="false" outlineLevel="0" collapsed="false">
      <c r="A88" s="9" t="s">
        <v>270</v>
      </c>
      <c r="B88" s="9" t="s">
        <v>271</v>
      </c>
      <c r="C88" s="9" t="s">
        <v>249</v>
      </c>
      <c r="D88" s="9" t="s">
        <v>71</v>
      </c>
      <c r="E88" s="9" t="s">
        <v>108</v>
      </c>
      <c r="F88" s="12" t="n">
        <v>23.58</v>
      </c>
      <c r="G88" s="12" t="n">
        <v>72.13</v>
      </c>
      <c r="H88" s="9" t="s">
        <v>87</v>
      </c>
      <c r="I88" s="9" t="s">
        <v>109</v>
      </c>
      <c r="J88" s="9" t="n">
        <v>2</v>
      </c>
      <c r="K88" s="9" t="s">
        <v>110</v>
      </c>
      <c r="L88" s="9"/>
    </row>
    <row r="89" customFormat="false" ht="15" hidden="false" customHeight="false" outlineLevel="0" collapsed="false">
      <c r="A89" s="9" t="s">
        <v>272</v>
      </c>
      <c r="B89" s="9" t="s">
        <v>273</v>
      </c>
      <c r="C89" s="9" t="s">
        <v>249</v>
      </c>
      <c r="D89" s="9" t="s">
        <v>71</v>
      </c>
      <c r="E89" s="9" t="s">
        <v>108</v>
      </c>
      <c r="F89" s="12" t="n">
        <v>23.85</v>
      </c>
      <c r="G89" s="12" t="n">
        <v>72.13</v>
      </c>
      <c r="H89" s="9" t="s">
        <v>65</v>
      </c>
      <c r="I89" s="9" t="s">
        <v>109</v>
      </c>
      <c r="J89" s="9" t="n">
        <v>2</v>
      </c>
      <c r="K89" s="9" t="s">
        <v>110</v>
      </c>
      <c r="L89" s="9"/>
    </row>
    <row r="90" customFormat="false" ht="15" hidden="false" customHeight="false" outlineLevel="0" collapsed="false">
      <c r="A90" s="9" t="s">
        <v>274</v>
      </c>
      <c r="B90" s="9" t="s">
        <v>275</v>
      </c>
      <c r="C90" s="9" t="s">
        <v>249</v>
      </c>
      <c r="D90" s="9" t="s">
        <v>71</v>
      </c>
      <c r="E90" s="9" t="s">
        <v>108</v>
      </c>
      <c r="F90" s="12" t="n">
        <v>22.49</v>
      </c>
      <c r="G90" s="12" t="n">
        <v>73.53</v>
      </c>
      <c r="H90" s="9" t="s">
        <v>87</v>
      </c>
      <c r="I90" s="9" t="s">
        <v>109</v>
      </c>
      <c r="J90" s="9" t="n">
        <v>2</v>
      </c>
      <c r="K90" s="9" t="s">
        <v>110</v>
      </c>
      <c r="L90" s="9"/>
    </row>
    <row r="91" customFormat="false" ht="15" hidden="false" customHeight="false" outlineLevel="0" collapsed="false">
      <c r="A91" s="9" t="s">
        <v>276</v>
      </c>
      <c r="B91" s="9" t="s">
        <v>277</v>
      </c>
      <c r="C91" s="9" t="s">
        <v>249</v>
      </c>
      <c r="D91" s="9" t="s">
        <v>71</v>
      </c>
      <c r="E91" s="9" t="s">
        <v>108</v>
      </c>
      <c r="F91" s="12" t="n">
        <v>20.57</v>
      </c>
      <c r="G91" s="12" t="n">
        <v>73.75</v>
      </c>
      <c r="H91" s="9" t="s">
        <v>87</v>
      </c>
      <c r="I91" s="9" t="s">
        <v>109</v>
      </c>
      <c r="J91" s="9" t="n">
        <v>2</v>
      </c>
      <c r="K91" s="9" t="s">
        <v>110</v>
      </c>
      <c r="L91" s="9"/>
    </row>
    <row r="92" customFormat="false" ht="15" hidden="false" customHeight="false" outlineLevel="0" collapsed="false">
      <c r="A92" s="9" t="s">
        <v>278</v>
      </c>
      <c r="B92" s="9" t="s">
        <v>279</v>
      </c>
      <c r="C92" s="9" t="s">
        <v>249</v>
      </c>
      <c r="D92" s="9" t="s">
        <v>71</v>
      </c>
      <c r="E92" s="9" t="s">
        <v>108</v>
      </c>
      <c r="F92" s="12" t="n">
        <v>21.52</v>
      </c>
      <c r="G92" s="12" t="n">
        <v>70.46</v>
      </c>
      <c r="H92" s="9" t="s">
        <v>65</v>
      </c>
      <c r="I92" s="9" t="s">
        <v>109</v>
      </c>
      <c r="J92" s="9" t="n">
        <v>2</v>
      </c>
      <c r="K92" s="9" t="s">
        <v>110</v>
      </c>
      <c r="L92" s="9"/>
    </row>
    <row r="93" customFormat="false" ht="15" hidden="false" customHeight="false" outlineLevel="0" collapsed="false">
      <c r="A93" s="9" t="s">
        <v>280</v>
      </c>
      <c r="B93" s="9" t="s">
        <v>281</v>
      </c>
      <c r="C93" s="9" t="s">
        <v>249</v>
      </c>
      <c r="D93" s="9" t="s">
        <v>71</v>
      </c>
      <c r="E93" s="9" t="s">
        <v>108</v>
      </c>
      <c r="F93" s="12" t="n">
        <v>21.52</v>
      </c>
      <c r="G93" s="12" t="n">
        <v>71.82</v>
      </c>
      <c r="H93" s="9" t="s">
        <v>65</v>
      </c>
      <c r="I93" s="9" t="s">
        <v>109</v>
      </c>
      <c r="J93" s="9" t="n">
        <v>2</v>
      </c>
      <c r="K93" s="9" t="s">
        <v>110</v>
      </c>
      <c r="L93" s="9"/>
    </row>
    <row r="94" customFormat="false" ht="15" hidden="false" customHeight="false" outlineLevel="0" collapsed="false">
      <c r="A94" s="9" t="s">
        <v>282</v>
      </c>
      <c r="B94" s="9" t="s">
        <v>283</v>
      </c>
      <c r="C94" s="9" t="s">
        <v>249</v>
      </c>
      <c r="D94" s="9" t="s">
        <v>71</v>
      </c>
      <c r="E94" s="9" t="s">
        <v>108</v>
      </c>
      <c r="F94" s="12" t="n">
        <v>21.64</v>
      </c>
      <c r="G94" s="12" t="n">
        <v>69.61</v>
      </c>
      <c r="H94" s="9" t="s">
        <v>65</v>
      </c>
      <c r="I94" s="9" t="s">
        <v>109</v>
      </c>
      <c r="J94" s="9" t="n">
        <v>2</v>
      </c>
      <c r="K94" s="9" t="s">
        <v>110</v>
      </c>
      <c r="L94" s="9"/>
    </row>
    <row r="95" customFormat="false" ht="15" hidden="false" customHeight="false" outlineLevel="0" collapsed="false">
      <c r="A95" s="9" t="s">
        <v>284</v>
      </c>
      <c r="B95" s="9" t="s">
        <v>285</v>
      </c>
      <c r="C95" s="9" t="s">
        <v>249</v>
      </c>
      <c r="D95" s="9" t="s">
        <v>71</v>
      </c>
      <c r="E95" s="9" t="s">
        <v>108</v>
      </c>
      <c r="F95" s="12" t="n">
        <v>23.22</v>
      </c>
      <c r="G95" s="12" t="n">
        <v>72.65</v>
      </c>
      <c r="H95" s="9" t="s">
        <v>65</v>
      </c>
      <c r="I95" s="9" t="s">
        <v>109</v>
      </c>
      <c r="J95" s="9" t="n">
        <v>2</v>
      </c>
      <c r="K95" s="9" t="s">
        <v>110</v>
      </c>
      <c r="L95" s="9"/>
    </row>
    <row r="96" customFormat="false" ht="15" hidden="false" customHeight="false" outlineLevel="0" collapsed="false">
      <c r="A96" s="9" t="s">
        <v>286</v>
      </c>
      <c r="B96" s="9" t="s">
        <v>287</v>
      </c>
      <c r="C96" s="9" t="s">
        <v>249</v>
      </c>
      <c r="D96" s="9" t="s">
        <v>71</v>
      </c>
      <c r="E96" s="9" t="s">
        <v>108</v>
      </c>
      <c r="F96" s="12" t="n">
        <v>23.92</v>
      </c>
      <c r="G96" s="12" t="n">
        <v>72.38</v>
      </c>
      <c r="H96" s="9" t="s">
        <v>87</v>
      </c>
      <c r="I96" s="9" t="s">
        <v>109</v>
      </c>
      <c r="J96" s="9" t="n">
        <v>2</v>
      </c>
      <c r="K96" s="9" t="s">
        <v>110</v>
      </c>
      <c r="L96" s="9"/>
    </row>
    <row r="97" customFormat="false" ht="15" hidden="false" customHeight="false" outlineLevel="0" collapsed="false">
      <c r="A97" s="9" t="s">
        <v>288</v>
      </c>
      <c r="B97" s="9" t="s">
        <v>289</v>
      </c>
      <c r="C97" s="9" t="s">
        <v>290</v>
      </c>
      <c r="D97" s="9" t="s">
        <v>71</v>
      </c>
      <c r="E97" s="9" t="s">
        <v>108</v>
      </c>
      <c r="F97" s="12" t="n">
        <v>19.08</v>
      </c>
      <c r="G97" s="12" t="n">
        <v>72.88</v>
      </c>
      <c r="H97" s="9" t="s">
        <v>65</v>
      </c>
      <c r="I97" s="9" t="s">
        <v>109</v>
      </c>
      <c r="J97" s="9" t="n">
        <v>2</v>
      </c>
      <c r="K97" s="9" t="s">
        <v>110</v>
      </c>
      <c r="L97" s="9"/>
    </row>
    <row r="98" customFormat="false" ht="15" hidden="false" customHeight="false" outlineLevel="0" collapsed="false">
      <c r="A98" s="9" t="s">
        <v>291</v>
      </c>
      <c r="B98" s="9" t="s">
        <v>292</v>
      </c>
      <c r="C98" s="9" t="s">
        <v>290</v>
      </c>
      <c r="D98" s="9" t="s">
        <v>71</v>
      </c>
      <c r="E98" s="9" t="s">
        <v>108</v>
      </c>
      <c r="F98" s="12" t="n">
        <v>18.52</v>
      </c>
      <c r="G98" s="12" t="n">
        <v>73.86</v>
      </c>
      <c r="H98" s="9" t="s">
        <v>65</v>
      </c>
      <c r="I98" s="9" t="s">
        <v>109</v>
      </c>
      <c r="J98" s="9" t="n">
        <v>2</v>
      </c>
      <c r="K98" s="9" t="s">
        <v>110</v>
      </c>
      <c r="L98" s="9"/>
    </row>
    <row r="99" customFormat="false" ht="15" hidden="false" customHeight="false" outlineLevel="0" collapsed="false">
      <c r="A99" s="9" t="s">
        <v>293</v>
      </c>
      <c r="B99" s="9" t="s">
        <v>294</v>
      </c>
      <c r="C99" s="9" t="s">
        <v>290</v>
      </c>
      <c r="D99" s="9" t="s">
        <v>71</v>
      </c>
      <c r="E99" s="9" t="s">
        <v>108</v>
      </c>
      <c r="F99" s="12" t="n">
        <v>18.75</v>
      </c>
      <c r="G99" s="12" t="n">
        <v>73.41</v>
      </c>
      <c r="H99" s="9" t="s">
        <v>65</v>
      </c>
      <c r="I99" s="9" t="s">
        <v>109</v>
      </c>
      <c r="J99" s="9" t="n">
        <v>2</v>
      </c>
      <c r="K99" s="9" t="s">
        <v>110</v>
      </c>
      <c r="L99" s="9"/>
    </row>
    <row r="100" customFormat="false" ht="15" hidden="false" customHeight="false" outlineLevel="0" collapsed="false">
      <c r="A100" s="9" t="s">
        <v>295</v>
      </c>
      <c r="B100" s="9" t="s">
        <v>296</v>
      </c>
      <c r="C100" s="9" t="s">
        <v>290</v>
      </c>
      <c r="D100" s="9" t="s">
        <v>71</v>
      </c>
      <c r="E100" s="9" t="s">
        <v>108</v>
      </c>
      <c r="F100" s="12" t="n">
        <v>18.76</v>
      </c>
      <c r="G100" s="12" t="n">
        <v>73.38</v>
      </c>
      <c r="H100" s="9" t="s">
        <v>87</v>
      </c>
      <c r="I100" s="9" t="s">
        <v>109</v>
      </c>
      <c r="J100" s="9" t="n">
        <v>2</v>
      </c>
      <c r="K100" s="9" t="s">
        <v>110</v>
      </c>
      <c r="L100" s="9"/>
    </row>
    <row r="101" customFormat="false" ht="15" hidden="false" customHeight="false" outlineLevel="0" collapsed="false">
      <c r="A101" s="9" t="s">
        <v>297</v>
      </c>
      <c r="B101" s="9" t="s">
        <v>298</v>
      </c>
      <c r="C101" s="9" t="s">
        <v>290</v>
      </c>
      <c r="D101" s="9" t="s">
        <v>71</v>
      </c>
      <c r="E101" s="9" t="s">
        <v>108</v>
      </c>
      <c r="F101" s="12" t="n">
        <v>17.92</v>
      </c>
      <c r="G101" s="12" t="n">
        <v>73.66</v>
      </c>
      <c r="H101" s="9" t="s">
        <v>87</v>
      </c>
      <c r="I101" s="9" t="s">
        <v>109</v>
      </c>
      <c r="J101" s="9" t="n">
        <v>2</v>
      </c>
      <c r="K101" s="9" t="s">
        <v>110</v>
      </c>
      <c r="L101" s="9"/>
    </row>
    <row r="102" customFormat="false" ht="15" hidden="false" customHeight="false" outlineLevel="0" collapsed="false">
      <c r="A102" s="9" t="s">
        <v>299</v>
      </c>
      <c r="B102" s="9" t="s">
        <v>300</v>
      </c>
      <c r="C102" s="9" t="s">
        <v>290</v>
      </c>
      <c r="D102" s="9" t="s">
        <v>71</v>
      </c>
      <c r="E102" s="9" t="s">
        <v>108</v>
      </c>
      <c r="F102" s="12" t="n">
        <v>17.92</v>
      </c>
      <c r="G102" s="12" t="n">
        <v>73.8</v>
      </c>
      <c r="H102" s="9" t="s">
        <v>87</v>
      </c>
      <c r="I102" s="9" t="s">
        <v>109</v>
      </c>
      <c r="J102" s="9" t="n">
        <v>2</v>
      </c>
      <c r="K102" s="9" t="s">
        <v>110</v>
      </c>
      <c r="L102" s="9"/>
    </row>
    <row r="103" customFormat="false" ht="15" hidden="false" customHeight="false" outlineLevel="0" collapsed="false">
      <c r="A103" s="9" t="s">
        <v>301</v>
      </c>
      <c r="B103" s="9" t="s">
        <v>302</v>
      </c>
      <c r="C103" s="9" t="s">
        <v>290</v>
      </c>
      <c r="D103" s="9" t="s">
        <v>71</v>
      </c>
      <c r="E103" s="9" t="s">
        <v>108</v>
      </c>
      <c r="F103" s="12" t="n">
        <v>20</v>
      </c>
      <c r="G103" s="12" t="n">
        <v>73.79</v>
      </c>
      <c r="H103" s="9" t="s">
        <v>65</v>
      </c>
      <c r="I103" s="9" t="s">
        <v>109</v>
      </c>
      <c r="J103" s="9" t="n">
        <v>2</v>
      </c>
      <c r="K103" s="9" t="s">
        <v>110</v>
      </c>
      <c r="L103" s="9"/>
    </row>
    <row r="104" customFormat="false" ht="15" hidden="false" customHeight="false" outlineLevel="0" collapsed="false">
      <c r="A104" s="9" t="s">
        <v>303</v>
      </c>
      <c r="B104" s="9" t="s">
        <v>304</v>
      </c>
      <c r="C104" s="9" t="s">
        <v>290</v>
      </c>
      <c r="D104" s="9" t="s">
        <v>71</v>
      </c>
      <c r="E104" s="9" t="s">
        <v>108</v>
      </c>
      <c r="F104" s="12" t="n">
        <v>19.77</v>
      </c>
      <c r="G104" s="12" t="n">
        <v>74.48</v>
      </c>
      <c r="H104" s="9" t="s">
        <v>65</v>
      </c>
      <c r="I104" s="9" t="s">
        <v>109</v>
      </c>
      <c r="J104" s="9" t="n">
        <v>2</v>
      </c>
      <c r="K104" s="9" t="s">
        <v>110</v>
      </c>
      <c r="L104" s="9"/>
    </row>
    <row r="105" customFormat="false" ht="15" hidden="false" customHeight="false" outlineLevel="0" collapsed="false">
      <c r="A105" s="9" t="s">
        <v>305</v>
      </c>
      <c r="B105" s="9" t="s">
        <v>306</v>
      </c>
      <c r="C105" s="9" t="s">
        <v>290</v>
      </c>
      <c r="D105" s="9" t="s">
        <v>71</v>
      </c>
      <c r="E105" s="9" t="s">
        <v>108</v>
      </c>
      <c r="F105" s="12" t="n">
        <v>19.88</v>
      </c>
      <c r="G105" s="12" t="n">
        <v>75.34</v>
      </c>
      <c r="H105" s="9" t="s">
        <v>87</v>
      </c>
      <c r="I105" s="9" t="s">
        <v>109</v>
      </c>
      <c r="J105" s="9" t="n">
        <v>2</v>
      </c>
      <c r="K105" s="9" t="s">
        <v>110</v>
      </c>
      <c r="L105" s="9"/>
    </row>
    <row r="106" customFormat="false" ht="15" hidden="false" customHeight="false" outlineLevel="0" collapsed="false">
      <c r="A106" s="9" t="s">
        <v>307</v>
      </c>
      <c r="B106" s="9" t="s">
        <v>308</v>
      </c>
      <c r="C106" s="9" t="s">
        <v>290</v>
      </c>
      <c r="D106" s="9" t="s">
        <v>71</v>
      </c>
      <c r="E106" s="9" t="s">
        <v>108</v>
      </c>
      <c r="F106" s="12" t="n">
        <v>20.55</v>
      </c>
      <c r="G106" s="12" t="n">
        <v>75.7</v>
      </c>
      <c r="H106" s="9" t="s">
        <v>87</v>
      </c>
      <c r="I106" s="9" t="s">
        <v>109</v>
      </c>
      <c r="J106" s="9" t="n">
        <v>2</v>
      </c>
      <c r="K106" s="9" t="s">
        <v>110</v>
      </c>
      <c r="L106" s="9"/>
    </row>
    <row r="107" customFormat="false" ht="15" hidden="false" customHeight="false" outlineLevel="0" collapsed="false">
      <c r="A107" s="9" t="s">
        <v>309</v>
      </c>
      <c r="B107" s="9" t="s">
        <v>310</v>
      </c>
      <c r="C107" s="9" t="s">
        <v>290</v>
      </c>
      <c r="D107" s="9" t="s">
        <v>71</v>
      </c>
      <c r="E107" s="9" t="s">
        <v>108</v>
      </c>
      <c r="F107" s="12" t="n">
        <v>20.03</v>
      </c>
      <c r="G107" s="12" t="n">
        <v>75.18</v>
      </c>
      <c r="H107" s="9" t="s">
        <v>87</v>
      </c>
      <c r="I107" s="9" t="s">
        <v>109</v>
      </c>
      <c r="J107" s="9" t="n">
        <v>2</v>
      </c>
      <c r="K107" s="9" t="s">
        <v>110</v>
      </c>
      <c r="L107" s="9"/>
    </row>
    <row r="108" customFormat="false" ht="15" hidden="false" customHeight="false" outlineLevel="0" collapsed="false">
      <c r="A108" s="9" t="s">
        <v>311</v>
      </c>
      <c r="B108" s="9" t="s">
        <v>312</v>
      </c>
      <c r="C108" s="9" t="s">
        <v>290</v>
      </c>
      <c r="D108" s="9" t="s">
        <v>71</v>
      </c>
      <c r="E108" s="9" t="s">
        <v>108</v>
      </c>
      <c r="F108" s="12" t="n">
        <v>18.64</v>
      </c>
      <c r="G108" s="12" t="n">
        <v>72.87</v>
      </c>
      <c r="H108" s="9" t="s">
        <v>87</v>
      </c>
      <c r="I108" s="9" t="s">
        <v>109</v>
      </c>
      <c r="J108" s="9" t="n">
        <v>2</v>
      </c>
      <c r="K108" s="9" t="s">
        <v>110</v>
      </c>
      <c r="L108" s="9"/>
    </row>
    <row r="109" customFormat="false" ht="15" hidden="false" customHeight="false" outlineLevel="0" collapsed="false">
      <c r="A109" s="9" t="s">
        <v>313</v>
      </c>
      <c r="B109" s="9" t="s">
        <v>314</v>
      </c>
      <c r="C109" s="9" t="s">
        <v>290</v>
      </c>
      <c r="D109" s="9" t="s">
        <v>71</v>
      </c>
      <c r="E109" s="9" t="s">
        <v>108</v>
      </c>
      <c r="F109" s="12" t="n">
        <v>18.99</v>
      </c>
      <c r="G109" s="12" t="n">
        <v>73.27</v>
      </c>
      <c r="H109" s="9" t="s">
        <v>87</v>
      </c>
      <c r="I109" s="9" t="s">
        <v>109</v>
      </c>
      <c r="J109" s="9" t="n">
        <v>2</v>
      </c>
      <c r="K109" s="9" t="s">
        <v>110</v>
      </c>
      <c r="L109" s="9"/>
    </row>
    <row r="110" customFormat="false" ht="15" hidden="false" customHeight="false" outlineLevel="0" collapsed="false">
      <c r="A110" s="9" t="s">
        <v>315</v>
      </c>
      <c r="B110" s="9" t="s">
        <v>316</v>
      </c>
      <c r="C110" s="9" t="s">
        <v>290</v>
      </c>
      <c r="D110" s="9" t="s">
        <v>71</v>
      </c>
      <c r="E110" s="9" t="s">
        <v>108</v>
      </c>
      <c r="F110" s="12" t="n">
        <v>16.7</v>
      </c>
      <c r="G110" s="12" t="n">
        <v>74.24</v>
      </c>
      <c r="H110" s="9" t="s">
        <v>65</v>
      </c>
      <c r="I110" s="9" t="s">
        <v>109</v>
      </c>
      <c r="J110" s="9" t="n">
        <v>2</v>
      </c>
      <c r="K110" s="9" t="s">
        <v>110</v>
      </c>
      <c r="L110" s="9"/>
    </row>
    <row r="111" customFormat="false" ht="15" hidden="false" customHeight="false" outlineLevel="0" collapsed="false">
      <c r="A111" s="9" t="s">
        <v>317</v>
      </c>
      <c r="B111" s="9" t="s">
        <v>318</v>
      </c>
      <c r="C111" s="9" t="s">
        <v>290</v>
      </c>
      <c r="D111" s="9" t="s">
        <v>71</v>
      </c>
      <c r="E111" s="9" t="s">
        <v>108</v>
      </c>
      <c r="F111" s="12" t="n">
        <v>16.99</v>
      </c>
      <c r="G111" s="12" t="n">
        <v>73.3</v>
      </c>
      <c r="H111" s="9" t="s">
        <v>65</v>
      </c>
      <c r="I111" s="9" t="s">
        <v>109</v>
      </c>
      <c r="J111" s="9" t="n">
        <v>2</v>
      </c>
      <c r="K111" s="9" t="s">
        <v>110</v>
      </c>
      <c r="L111" s="9"/>
    </row>
    <row r="112" customFormat="false" ht="15" hidden="false" customHeight="false" outlineLevel="0" collapsed="false">
      <c r="A112" s="9" t="s">
        <v>319</v>
      </c>
      <c r="B112" s="9" t="s">
        <v>320</v>
      </c>
      <c r="C112" s="9" t="s">
        <v>290</v>
      </c>
      <c r="D112" s="9" t="s">
        <v>71</v>
      </c>
      <c r="E112" s="9" t="s">
        <v>108</v>
      </c>
      <c r="F112" s="12" t="n">
        <v>17.14</v>
      </c>
      <c r="G112" s="12" t="n">
        <v>73.27</v>
      </c>
      <c r="H112" s="9" t="s">
        <v>87</v>
      </c>
      <c r="I112" s="9" t="s">
        <v>109</v>
      </c>
      <c r="J112" s="9" t="n">
        <v>2</v>
      </c>
      <c r="K112" s="9" t="s">
        <v>110</v>
      </c>
      <c r="L112" s="9"/>
    </row>
    <row r="113" customFormat="false" ht="15" hidden="false" customHeight="false" outlineLevel="0" collapsed="false">
      <c r="A113" s="9" t="s">
        <v>321</v>
      </c>
      <c r="B113" s="9" t="s">
        <v>322</v>
      </c>
      <c r="C113" s="9" t="s">
        <v>290</v>
      </c>
      <c r="D113" s="9" t="s">
        <v>71</v>
      </c>
      <c r="E113" s="9" t="s">
        <v>108</v>
      </c>
      <c r="F113" s="12" t="n">
        <v>16.02</v>
      </c>
      <c r="G113" s="12" t="n">
        <v>73.47</v>
      </c>
      <c r="H113" s="9" t="s">
        <v>87</v>
      </c>
      <c r="I113" s="9" t="s">
        <v>109</v>
      </c>
      <c r="J113" s="9" t="n">
        <v>2</v>
      </c>
      <c r="K113" s="9" t="s">
        <v>110</v>
      </c>
      <c r="L113" s="9"/>
    </row>
    <row r="114" customFormat="false" ht="15" hidden="false" customHeight="false" outlineLevel="0" collapsed="false">
      <c r="A114" s="9" t="s">
        <v>323</v>
      </c>
      <c r="B114" s="9" t="s">
        <v>324</v>
      </c>
      <c r="C114" s="9" t="s">
        <v>290</v>
      </c>
      <c r="D114" s="9" t="s">
        <v>71</v>
      </c>
      <c r="E114" s="9" t="s">
        <v>108</v>
      </c>
      <c r="F114" s="12" t="n">
        <v>21.15</v>
      </c>
      <c r="G114" s="12" t="n">
        <v>79.09</v>
      </c>
      <c r="H114" s="9" t="s">
        <v>65</v>
      </c>
      <c r="I114" s="9" t="s">
        <v>109</v>
      </c>
      <c r="J114" s="9" t="n">
        <v>2</v>
      </c>
      <c r="K114" s="9" t="s">
        <v>110</v>
      </c>
      <c r="L114" s="9"/>
    </row>
    <row r="115" customFormat="false" ht="15" hidden="false" customHeight="false" outlineLevel="0" collapsed="false">
      <c r="A115" s="9" t="s">
        <v>325</v>
      </c>
      <c r="B115" s="9" t="s">
        <v>326</v>
      </c>
      <c r="C115" s="9" t="s">
        <v>290</v>
      </c>
      <c r="D115" s="9" t="s">
        <v>71</v>
      </c>
      <c r="E115" s="9" t="s">
        <v>108</v>
      </c>
      <c r="F115" s="12" t="n">
        <v>19.98</v>
      </c>
      <c r="G115" s="12" t="n">
        <v>76.51</v>
      </c>
      <c r="H115" s="9" t="s">
        <v>65</v>
      </c>
      <c r="I115" s="9" t="s">
        <v>109</v>
      </c>
      <c r="J115" s="9" t="n">
        <v>2</v>
      </c>
      <c r="K115" s="9" t="s">
        <v>110</v>
      </c>
      <c r="L115" s="9"/>
    </row>
    <row r="116" customFormat="false" ht="15" hidden="false" customHeight="false" outlineLevel="0" collapsed="false">
      <c r="A116" s="9" t="s">
        <v>327</v>
      </c>
      <c r="B116" s="9" t="s">
        <v>328</v>
      </c>
      <c r="C116" s="9" t="s">
        <v>290</v>
      </c>
      <c r="D116" s="9" t="s">
        <v>71</v>
      </c>
      <c r="E116" s="9" t="s">
        <v>108</v>
      </c>
      <c r="F116" s="12" t="n">
        <v>19.54</v>
      </c>
      <c r="G116" s="12" t="n">
        <v>73.76</v>
      </c>
      <c r="H116" s="9" t="s">
        <v>87</v>
      </c>
      <c r="I116" s="9" t="s">
        <v>109</v>
      </c>
      <c r="J116" s="9" t="n">
        <v>2</v>
      </c>
      <c r="K116" s="9" t="s">
        <v>110</v>
      </c>
      <c r="L116" s="9"/>
    </row>
    <row r="117" customFormat="false" ht="15" hidden="false" customHeight="false" outlineLevel="0" collapsed="false">
      <c r="A117" s="9" t="s">
        <v>329</v>
      </c>
      <c r="B117" s="9" t="s">
        <v>330</v>
      </c>
      <c r="C117" s="9" t="s">
        <v>290</v>
      </c>
      <c r="D117" s="9" t="s">
        <v>71</v>
      </c>
      <c r="E117" s="9" t="s">
        <v>108</v>
      </c>
      <c r="F117" s="12" t="n">
        <v>19.7</v>
      </c>
      <c r="G117" s="12" t="n">
        <v>73.56</v>
      </c>
      <c r="H117" s="9" t="s">
        <v>65</v>
      </c>
      <c r="I117" s="9" t="s">
        <v>109</v>
      </c>
      <c r="J117" s="9" t="n">
        <v>2</v>
      </c>
      <c r="K117" s="9" t="s">
        <v>110</v>
      </c>
      <c r="L117" s="9"/>
    </row>
    <row r="118" customFormat="false" ht="15" hidden="false" customHeight="false" outlineLevel="0" collapsed="false">
      <c r="A118" s="9" t="s">
        <v>331</v>
      </c>
      <c r="B118" s="9" t="s">
        <v>332</v>
      </c>
      <c r="C118" s="9" t="s">
        <v>290</v>
      </c>
      <c r="D118" s="9" t="s">
        <v>71</v>
      </c>
      <c r="E118" s="9" t="s">
        <v>108</v>
      </c>
      <c r="F118" s="12" t="n">
        <v>18.3</v>
      </c>
      <c r="G118" s="12" t="n">
        <v>72.96</v>
      </c>
      <c r="H118" s="9" t="s">
        <v>87</v>
      </c>
      <c r="I118" s="9" t="s">
        <v>109</v>
      </c>
      <c r="J118" s="9" t="n">
        <v>2</v>
      </c>
      <c r="K118" s="9" t="s">
        <v>110</v>
      </c>
      <c r="L118" s="9"/>
    </row>
    <row r="119" customFormat="false" ht="15" hidden="false" customHeight="false" outlineLevel="0" collapsed="false">
      <c r="A119" s="9" t="s">
        <v>333</v>
      </c>
      <c r="B119" s="9" t="s">
        <v>334</v>
      </c>
      <c r="C119" s="9" t="s">
        <v>290</v>
      </c>
      <c r="D119" s="9" t="s">
        <v>71</v>
      </c>
      <c r="E119" s="9" t="s">
        <v>108</v>
      </c>
      <c r="F119" s="12" t="n">
        <v>18.96</v>
      </c>
      <c r="G119" s="12" t="n">
        <v>72.93</v>
      </c>
      <c r="H119" s="9" t="s">
        <v>87</v>
      </c>
      <c r="I119" s="9" t="s">
        <v>109</v>
      </c>
      <c r="J119" s="9" t="n">
        <v>2</v>
      </c>
      <c r="K119" s="9" t="s">
        <v>110</v>
      </c>
      <c r="L119" s="9"/>
    </row>
    <row r="120" customFormat="false" ht="15" hidden="false" customHeight="false" outlineLevel="0" collapsed="false">
      <c r="A120" s="9" t="s">
        <v>335</v>
      </c>
      <c r="B120" s="9" t="s">
        <v>336</v>
      </c>
      <c r="C120" s="9" t="s">
        <v>290</v>
      </c>
      <c r="D120" s="9" t="s">
        <v>71</v>
      </c>
      <c r="E120" s="9" t="s">
        <v>108</v>
      </c>
      <c r="F120" s="12" t="n">
        <v>17.68</v>
      </c>
      <c r="G120" s="12" t="n">
        <v>74</v>
      </c>
      <c r="H120" s="9" t="s">
        <v>65</v>
      </c>
      <c r="I120" s="9" t="s">
        <v>109</v>
      </c>
      <c r="J120" s="9" t="n">
        <v>2</v>
      </c>
      <c r="K120" s="9" t="s">
        <v>110</v>
      </c>
      <c r="L120" s="9"/>
    </row>
    <row r="121" customFormat="false" ht="15" hidden="false" customHeight="false" outlineLevel="0" collapsed="false">
      <c r="A121" s="9" t="s">
        <v>337</v>
      </c>
      <c r="B121" s="9" t="s">
        <v>338</v>
      </c>
      <c r="C121" s="9" t="s">
        <v>290</v>
      </c>
      <c r="D121" s="9" t="s">
        <v>71</v>
      </c>
      <c r="E121" s="9" t="s">
        <v>108</v>
      </c>
      <c r="F121" s="12" t="n">
        <v>15.96</v>
      </c>
      <c r="G121" s="12" t="n">
        <v>74</v>
      </c>
      <c r="H121" s="9" t="s">
        <v>87</v>
      </c>
      <c r="I121" s="9" t="s">
        <v>109</v>
      </c>
      <c r="J121" s="9" t="n">
        <v>2</v>
      </c>
      <c r="K121" s="9" t="s">
        <v>110</v>
      </c>
      <c r="L121" s="9"/>
    </row>
    <row r="122" customFormat="false" ht="15" hidden="false" customHeight="false" outlineLevel="0" collapsed="false">
      <c r="A122" s="9" t="s">
        <v>339</v>
      </c>
      <c r="B122" s="9" t="s">
        <v>340</v>
      </c>
      <c r="C122" s="9" t="s">
        <v>97</v>
      </c>
      <c r="D122" s="9" t="s">
        <v>71</v>
      </c>
      <c r="E122" s="9" t="s">
        <v>108</v>
      </c>
      <c r="F122" s="12" t="n">
        <v>15.5</v>
      </c>
      <c r="G122" s="12" t="n">
        <v>73.83</v>
      </c>
      <c r="H122" s="9" t="s">
        <v>65</v>
      </c>
      <c r="I122" s="9" t="s">
        <v>109</v>
      </c>
      <c r="J122" s="9" t="n">
        <v>2</v>
      </c>
      <c r="K122" s="9" t="s">
        <v>110</v>
      </c>
      <c r="L122" s="9"/>
    </row>
    <row r="123" customFormat="false" ht="15" hidden="false" customHeight="false" outlineLevel="0" collapsed="false">
      <c r="A123" s="9" t="s">
        <v>341</v>
      </c>
      <c r="B123" s="9" t="s">
        <v>342</v>
      </c>
      <c r="C123" s="9" t="s">
        <v>97</v>
      </c>
      <c r="D123" s="9" t="s">
        <v>71</v>
      </c>
      <c r="E123" s="9" t="s">
        <v>108</v>
      </c>
      <c r="F123" s="12" t="n">
        <v>15.55</v>
      </c>
      <c r="G123" s="12" t="n">
        <v>73.85</v>
      </c>
      <c r="H123" s="9" t="s">
        <v>87</v>
      </c>
      <c r="I123" s="9" t="s">
        <v>109</v>
      </c>
      <c r="J123" s="9" t="n">
        <v>2</v>
      </c>
      <c r="K123" s="9" t="s">
        <v>110</v>
      </c>
      <c r="L123" s="9" t="s">
        <v>343</v>
      </c>
    </row>
    <row r="124" customFormat="false" ht="15" hidden="false" customHeight="false" outlineLevel="0" collapsed="false">
      <c r="A124" s="9" t="s">
        <v>344</v>
      </c>
      <c r="B124" s="9" t="s">
        <v>345</v>
      </c>
      <c r="C124" s="9" t="s">
        <v>97</v>
      </c>
      <c r="D124" s="9" t="s">
        <v>71</v>
      </c>
      <c r="E124" s="9" t="s">
        <v>108</v>
      </c>
      <c r="F124" s="12" t="n">
        <v>15.2</v>
      </c>
      <c r="G124" s="12" t="n">
        <v>74</v>
      </c>
      <c r="H124" s="9" t="s">
        <v>87</v>
      </c>
      <c r="I124" s="9" t="s">
        <v>109</v>
      </c>
      <c r="J124" s="9" t="n">
        <v>2</v>
      </c>
      <c r="K124" s="9" t="s">
        <v>110</v>
      </c>
      <c r="L124" s="9" t="s">
        <v>343</v>
      </c>
    </row>
    <row r="125" customFormat="false" ht="15" hidden="false" customHeight="false" outlineLevel="0" collapsed="false">
      <c r="A125" s="9" t="s">
        <v>346</v>
      </c>
      <c r="B125" s="9" t="s">
        <v>347</v>
      </c>
      <c r="C125" s="9" t="s">
        <v>97</v>
      </c>
      <c r="D125" s="9" t="s">
        <v>71</v>
      </c>
      <c r="E125" s="9" t="s">
        <v>108</v>
      </c>
      <c r="F125" s="12" t="n">
        <v>15.54</v>
      </c>
      <c r="G125" s="12" t="n">
        <v>73.76</v>
      </c>
      <c r="H125" s="9" t="s">
        <v>65</v>
      </c>
      <c r="I125" s="9" t="s">
        <v>109</v>
      </c>
      <c r="J125" s="9" t="n">
        <v>2</v>
      </c>
      <c r="K125" s="9" t="s">
        <v>110</v>
      </c>
      <c r="L125" s="9"/>
    </row>
    <row r="126" customFormat="false" ht="15" hidden="false" customHeight="false" outlineLevel="0" collapsed="false">
      <c r="A126" s="9" t="s">
        <v>348</v>
      </c>
      <c r="B126" s="9" t="s">
        <v>349</v>
      </c>
      <c r="C126" s="9" t="s">
        <v>97</v>
      </c>
      <c r="D126" s="9" t="s">
        <v>71</v>
      </c>
      <c r="E126" s="9" t="s">
        <v>108</v>
      </c>
      <c r="F126" s="12" t="n">
        <v>15.56</v>
      </c>
      <c r="G126" s="12" t="n">
        <v>73.75</v>
      </c>
      <c r="H126" s="9" t="s">
        <v>87</v>
      </c>
      <c r="I126" s="9" t="s">
        <v>109</v>
      </c>
      <c r="J126" s="9" t="n">
        <v>2</v>
      </c>
      <c r="K126" s="9" t="s">
        <v>110</v>
      </c>
      <c r="L126" s="9"/>
    </row>
    <row r="127" customFormat="false" ht="15" hidden="false" customHeight="false" outlineLevel="0" collapsed="false">
      <c r="A127" s="9" t="s">
        <v>350</v>
      </c>
      <c r="B127" s="9" t="s">
        <v>351</v>
      </c>
      <c r="C127" s="9" t="s">
        <v>97</v>
      </c>
      <c r="D127" s="9" t="s">
        <v>71</v>
      </c>
      <c r="E127" s="9" t="s">
        <v>108</v>
      </c>
      <c r="F127" s="12" t="n">
        <v>15.58</v>
      </c>
      <c r="G127" s="12" t="n">
        <v>73.74</v>
      </c>
      <c r="H127" s="9" t="s">
        <v>87</v>
      </c>
      <c r="I127" s="9" t="s">
        <v>109</v>
      </c>
      <c r="J127" s="9" t="n">
        <v>2</v>
      </c>
      <c r="K127" s="9" t="s">
        <v>110</v>
      </c>
      <c r="L127" s="9"/>
    </row>
    <row r="128" customFormat="false" ht="15" hidden="false" customHeight="false" outlineLevel="0" collapsed="false">
      <c r="A128" s="9" t="s">
        <v>352</v>
      </c>
      <c r="B128" s="9" t="s">
        <v>353</v>
      </c>
      <c r="C128" s="9" t="s">
        <v>97</v>
      </c>
      <c r="D128" s="9" t="s">
        <v>71</v>
      </c>
      <c r="E128" s="9" t="s">
        <v>108</v>
      </c>
      <c r="F128" s="12" t="n">
        <v>15.6</v>
      </c>
      <c r="G128" s="12" t="n">
        <v>73.74</v>
      </c>
      <c r="H128" s="9" t="s">
        <v>87</v>
      </c>
      <c r="I128" s="9" t="s">
        <v>109</v>
      </c>
      <c r="J128" s="9" t="n">
        <v>2</v>
      </c>
      <c r="K128" s="9" t="s">
        <v>110</v>
      </c>
      <c r="L128" s="9"/>
    </row>
    <row r="129" customFormat="false" ht="15" hidden="false" customHeight="false" outlineLevel="0" collapsed="false">
      <c r="A129" s="9" t="s">
        <v>354</v>
      </c>
      <c r="B129" s="9" t="s">
        <v>355</v>
      </c>
      <c r="C129" s="9" t="s">
        <v>97</v>
      </c>
      <c r="D129" s="9" t="s">
        <v>71</v>
      </c>
      <c r="E129" s="9" t="s">
        <v>108</v>
      </c>
      <c r="F129" s="12" t="n">
        <v>15.52</v>
      </c>
      <c r="G129" s="12" t="n">
        <v>73.76</v>
      </c>
      <c r="H129" s="9" t="s">
        <v>87</v>
      </c>
      <c r="I129" s="9" t="s">
        <v>109</v>
      </c>
      <c r="J129" s="9" t="n">
        <v>2</v>
      </c>
      <c r="K129" s="9" t="s">
        <v>110</v>
      </c>
      <c r="L129" s="9"/>
    </row>
    <row r="130" customFormat="false" ht="15" hidden="false" customHeight="false" outlineLevel="0" collapsed="false">
      <c r="A130" s="9" t="s">
        <v>356</v>
      </c>
      <c r="B130" s="9" t="s">
        <v>357</v>
      </c>
      <c r="C130" s="9" t="s">
        <v>97</v>
      </c>
      <c r="D130" s="9" t="s">
        <v>71</v>
      </c>
      <c r="E130" s="9" t="s">
        <v>108</v>
      </c>
      <c r="F130" s="12" t="n">
        <v>15.01</v>
      </c>
      <c r="G130" s="12" t="n">
        <v>74.02</v>
      </c>
      <c r="H130" s="9" t="s">
        <v>87</v>
      </c>
      <c r="I130" s="9" t="s">
        <v>109</v>
      </c>
      <c r="J130" s="9" t="n">
        <v>2</v>
      </c>
      <c r="K130" s="9" t="s">
        <v>110</v>
      </c>
      <c r="L130" s="9"/>
    </row>
    <row r="131" customFormat="false" ht="15" hidden="false" customHeight="false" outlineLevel="0" collapsed="false">
      <c r="A131" s="9" t="s">
        <v>358</v>
      </c>
      <c r="B131" s="9" t="s">
        <v>359</v>
      </c>
      <c r="C131" s="9" t="s">
        <v>97</v>
      </c>
      <c r="D131" s="9" t="s">
        <v>71</v>
      </c>
      <c r="E131" s="9" t="s">
        <v>108</v>
      </c>
      <c r="F131" s="12" t="n">
        <v>15.28</v>
      </c>
      <c r="G131" s="12" t="n">
        <v>73.92</v>
      </c>
      <c r="H131" s="9" t="s">
        <v>87</v>
      </c>
      <c r="I131" s="9" t="s">
        <v>109</v>
      </c>
      <c r="J131" s="9" t="n">
        <v>2</v>
      </c>
      <c r="K131" s="9" t="s">
        <v>110</v>
      </c>
      <c r="L131" s="9"/>
    </row>
    <row r="132" customFormat="false" ht="15" hidden="false" customHeight="false" outlineLevel="0" collapsed="false">
      <c r="A132" s="9" t="s">
        <v>360</v>
      </c>
      <c r="B132" s="9" t="s">
        <v>361</v>
      </c>
      <c r="C132" s="9" t="s">
        <v>97</v>
      </c>
      <c r="D132" s="9" t="s">
        <v>71</v>
      </c>
      <c r="E132" s="9" t="s">
        <v>108</v>
      </c>
      <c r="F132" s="12" t="n">
        <v>15.5</v>
      </c>
      <c r="G132" s="12" t="n">
        <v>73.91</v>
      </c>
      <c r="H132" s="9" t="s">
        <v>87</v>
      </c>
      <c r="I132" s="9" t="s">
        <v>109</v>
      </c>
      <c r="J132" s="9" t="n">
        <v>2</v>
      </c>
      <c r="K132" s="9" t="s">
        <v>110</v>
      </c>
      <c r="L132" s="9"/>
    </row>
    <row r="133" customFormat="false" ht="15" hidden="false" customHeight="false" outlineLevel="0" collapsed="false">
      <c r="A133" s="9" t="s">
        <v>362</v>
      </c>
      <c r="B133" s="9" t="s">
        <v>363</v>
      </c>
      <c r="C133" s="9" t="s">
        <v>97</v>
      </c>
      <c r="D133" s="9" t="s">
        <v>71</v>
      </c>
      <c r="E133" s="9" t="s">
        <v>108</v>
      </c>
      <c r="F133" s="12" t="n">
        <v>15.31</v>
      </c>
      <c r="G133" s="12" t="n">
        <v>74.31</v>
      </c>
      <c r="H133" s="9" t="s">
        <v>87</v>
      </c>
      <c r="I133" s="9" t="s">
        <v>109</v>
      </c>
      <c r="J133" s="9" t="n">
        <v>2</v>
      </c>
      <c r="K133" s="9" t="s">
        <v>110</v>
      </c>
      <c r="L133" s="9"/>
    </row>
    <row r="134" customFormat="false" ht="15" hidden="false" customHeight="false" outlineLevel="0" collapsed="false">
      <c r="A134" s="9" t="s">
        <v>364</v>
      </c>
      <c r="B134" s="9" t="s">
        <v>365</v>
      </c>
      <c r="C134" s="9" t="s">
        <v>97</v>
      </c>
      <c r="D134" s="9" t="s">
        <v>71</v>
      </c>
      <c r="E134" s="9" t="s">
        <v>108</v>
      </c>
      <c r="F134" s="12" t="n">
        <v>15.63</v>
      </c>
      <c r="G134" s="12" t="n">
        <v>73.74</v>
      </c>
      <c r="H134" s="9" t="s">
        <v>87</v>
      </c>
      <c r="I134" s="9" t="s">
        <v>109</v>
      </c>
      <c r="J134" s="9" t="n">
        <v>2</v>
      </c>
      <c r="K134" s="9" t="s">
        <v>110</v>
      </c>
      <c r="L134" s="9"/>
    </row>
    <row r="135" customFormat="false" ht="15" hidden="false" customHeight="false" outlineLevel="0" collapsed="false">
      <c r="A135" s="9" t="s">
        <v>366</v>
      </c>
      <c r="B135" s="9" t="s">
        <v>367</v>
      </c>
      <c r="C135" s="9" t="s">
        <v>97</v>
      </c>
      <c r="D135" s="9" t="s">
        <v>71</v>
      </c>
      <c r="E135" s="9" t="s">
        <v>108</v>
      </c>
      <c r="F135" s="12" t="n">
        <v>15.69</v>
      </c>
      <c r="G135" s="12" t="n">
        <v>73.7</v>
      </c>
      <c r="H135" s="9" t="s">
        <v>87</v>
      </c>
      <c r="I135" s="9" t="s">
        <v>109</v>
      </c>
      <c r="J135" s="9" t="n">
        <v>2</v>
      </c>
      <c r="K135" s="9" t="s">
        <v>110</v>
      </c>
      <c r="L135" s="9"/>
    </row>
    <row r="136" customFormat="false" ht="15" hidden="false" customHeight="false" outlineLevel="0" collapsed="false">
      <c r="A136" s="9" t="s">
        <v>368</v>
      </c>
      <c r="B136" s="9" t="s">
        <v>369</v>
      </c>
      <c r="C136" s="9" t="s">
        <v>97</v>
      </c>
      <c r="D136" s="9" t="s">
        <v>71</v>
      </c>
      <c r="E136" s="9" t="s">
        <v>108</v>
      </c>
      <c r="F136" s="12" t="n">
        <v>15.05</v>
      </c>
      <c r="G136" s="12" t="n">
        <v>73.99</v>
      </c>
      <c r="H136" s="9" t="s">
        <v>87</v>
      </c>
      <c r="I136" s="9" t="s">
        <v>109</v>
      </c>
      <c r="J136" s="9" t="n">
        <v>2</v>
      </c>
      <c r="K136" s="9" t="s">
        <v>110</v>
      </c>
      <c r="L136" s="9"/>
    </row>
    <row r="137" customFormat="false" ht="15" hidden="false" customHeight="false" outlineLevel="0" collapsed="false">
      <c r="A137" s="9" t="s">
        <v>370</v>
      </c>
      <c r="B137" s="9" t="s">
        <v>371</v>
      </c>
      <c r="C137" s="9" t="s">
        <v>77</v>
      </c>
      <c r="D137" s="9" t="s">
        <v>78</v>
      </c>
      <c r="E137" s="9" t="s">
        <v>108</v>
      </c>
      <c r="F137" s="12" t="n">
        <v>12.97</v>
      </c>
      <c r="G137" s="12" t="n">
        <v>77.59</v>
      </c>
      <c r="H137" s="9" t="s">
        <v>65</v>
      </c>
      <c r="I137" s="9" t="s">
        <v>109</v>
      </c>
      <c r="J137" s="9" t="n">
        <v>2</v>
      </c>
      <c r="K137" s="9" t="s">
        <v>110</v>
      </c>
      <c r="L137" s="9"/>
    </row>
    <row r="138" customFormat="false" ht="15" hidden="false" customHeight="false" outlineLevel="0" collapsed="false">
      <c r="A138" s="9" t="s">
        <v>372</v>
      </c>
      <c r="B138" s="9" t="s">
        <v>373</v>
      </c>
      <c r="C138" s="9" t="s">
        <v>77</v>
      </c>
      <c r="D138" s="9" t="s">
        <v>78</v>
      </c>
      <c r="E138" s="9" t="s">
        <v>108</v>
      </c>
      <c r="F138" s="12" t="n">
        <v>12.42</v>
      </c>
      <c r="G138" s="12" t="n">
        <v>75.74</v>
      </c>
      <c r="H138" s="9" t="s">
        <v>87</v>
      </c>
      <c r="I138" s="9" t="s">
        <v>109</v>
      </c>
      <c r="J138" s="9" t="n">
        <v>2</v>
      </c>
      <c r="K138" s="9" t="s">
        <v>110</v>
      </c>
      <c r="L138" s="9" t="s">
        <v>374</v>
      </c>
    </row>
    <row r="139" customFormat="false" ht="15" hidden="false" customHeight="false" outlineLevel="0" collapsed="false">
      <c r="A139" s="9" t="s">
        <v>375</v>
      </c>
      <c r="B139" s="9" t="s">
        <v>376</v>
      </c>
      <c r="C139" s="9" t="s">
        <v>77</v>
      </c>
      <c r="D139" s="9" t="s">
        <v>78</v>
      </c>
      <c r="E139" s="9" t="s">
        <v>108</v>
      </c>
      <c r="F139" s="12" t="n">
        <v>13.32</v>
      </c>
      <c r="G139" s="12" t="n">
        <v>75.77</v>
      </c>
      <c r="H139" s="9" t="s">
        <v>65</v>
      </c>
      <c r="I139" s="9" t="s">
        <v>109</v>
      </c>
      <c r="J139" s="9" t="n">
        <v>2</v>
      </c>
      <c r="K139" s="9" t="s">
        <v>110</v>
      </c>
      <c r="L139" s="9"/>
    </row>
    <row r="140" customFormat="false" ht="15" hidden="false" customHeight="false" outlineLevel="0" collapsed="false">
      <c r="A140" s="9" t="s">
        <v>377</v>
      </c>
      <c r="B140" s="9" t="s">
        <v>378</v>
      </c>
      <c r="C140" s="9" t="s">
        <v>77</v>
      </c>
      <c r="D140" s="9" t="s">
        <v>78</v>
      </c>
      <c r="E140" s="9" t="s">
        <v>108</v>
      </c>
      <c r="F140" s="12" t="n">
        <v>14.55</v>
      </c>
      <c r="G140" s="12" t="n">
        <v>74.32</v>
      </c>
      <c r="H140" s="9" t="s">
        <v>65</v>
      </c>
      <c r="I140" s="9" t="s">
        <v>109</v>
      </c>
      <c r="J140" s="9" t="n">
        <v>2</v>
      </c>
      <c r="K140" s="9" t="s">
        <v>110</v>
      </c>
      <c r="L140" s="9"/>
    </row>
    <row r="141" customFormat="false" ht="15" hidden="false" customHeight="false" outlineLevel="0" collapsed="false">
      <c r="A141" s="9" t="s">
        <v>379</v>
      </c>
      <c r="B141" s="9" t="s">
        <v>380</v>
      </c>
      <c r="C141" s="9" t="s">
        <v>77</v>
      </c>
      <c r="D141" s="9" t="s">
        <v>78</v>
      </c>
      <c r="E141" s="9" t="s">
        <v>108</v>
      </c>
      <c r="F141" s="12" t="n">
        <v>13.34</v>
      </c>
      <c r="G141" s="12" t="n">
        <v>74.75</v>
      </c>
      <c r="H141" s="9" t="s">
        <v>65</v>
      </c>
      <c r="I141" s="9" t="s">
        <v>109</v>
      </c>
      <c r="J141" s="9" t="n">
        <v>2</v>
      </c>
      <c r="K141" s="9" t="s">
        <v>110</v>
      </c>
      <c r="L141" s="9"/>
    </row>
    <row r="142" customFormat="false" ht="15" hidden="false" customHeight="false" outlineLevel="0" collapsed="false">
      <c r="A142" s="9" t="s">
        <v>381</v>
      </c>
      <c r="B142" s="9" t="s">
        <v>382</v>
      </c>
      <c r="C142" s="9" t="s">
        <v>77</v>
      </c>
      <c r="D142" s="9" t="s">
        <v>78</v>
      </c>
      <c r="E142" s="9" t="s">
        <v>108</v>
      </c>
      <c r="F142" s="12" t="n">
        <v>12.91</v>
      </c>
      <c r="G142" s="12" t="n">
        <v>74.86</v>
      </c>
      <c r="H142" s="9" t="s">
        <v>65</v>
      </c>
      <c r="I142" s="9" t="s">
        <v>109</v>
      </c>
      <c r="J142" s="9" t="n">
        <v>2</v>
      </c>
      <c r="K142" s="9" t="s">
        <v>110</v>
      </c>
      <c r="L142" s="9"/>
    </row>
    <row r="143" customFormat="false" ht="15" hidden="false" customHeight="false" outlineLevel="0" collapsed="false">
      <c r="A143" s="9" t="s">
        <v>383</v>
      </c>
      <c r="B143" s="9" t="s">
        <v>384</v>
      </c>
      <c r="C143" s="9" t="s">
        <v>77</v>
      </c>
      <c r="D143" s="9" t="s">
        <v>78</v>
      </c>
      <c r="E143" s="9" t="s">
        <v>108</v>
      </c>
      <c r="F143" s="12" t="n">
        <v>15.92</v>
      </c>
      <c r="G143" s="12" t="n">
        <v>75.68</v>
      </c>
      <c r="H143" s="9" t="s">
        <v>65</v>
      </c>
      <c r="I143" s="9" t="s">
        <v>109</v>
      </c>
      <c r="J143" s="9" t="n">
        <v>2</v>
      </c>
      <c r="K143" s="9" t="s">
        <v>110</v>
      </c>
      <c r="L143" s="9"/>
    </row>
    <row r="144" customFormat="false" ht="15" hidden="false" customHeight="false" outlineLevel="0" collapsed="false">
      <c r="A144" s="9" t="s">
        <v>385</v>
      </c>
      <c r="B144" s="9" t="s">
        <v>386</v>
      </c>
      <c r="C144" s="9" t="s">
        <v>77</v>
      </c>
      <c r="D144" s="9" t="s">
        <v>78</v>
      </c>
      <c r="E144" s="9" t="s">
        <v>108</v>
      </c>
      <c r="F144" s="12" t="n">
        <v>16.02</v>
      </c>
      <c r="G144" s="12" t="n">
        <v>75.88</v>
      </c>
      <c r="H144" s="9" t="s">
        <v>87</v>
      </c>
      <c r="I144" s="9" t="s">
        <v>109</v>
      </c>
      <c r="J144" s="9" t="n">
        <v>2</v>
      </c>
      <c r="K144" s="9" t="s">
        <v>110</v>
      </c>
      <c r="L144" s="9"/>
    </row>
    <row r="145" customFormat="false" ht="15" hidden="false" customHeight="false" outlineLevel="0" collapsed="false">
      <c r="A145" s="9" t="s">
        <v>387</v>
      </c>
      <c r="B145" s="9" t="s">
        <v>388</v>
      </c>
      <c r="C145" s="9" t="s">
        <v>77</v>
      </c>
      <c r="D145" s="9" t="s">
        <v>78</v>
      </c>
      <c r="E145" s="9" t="s">
        <v>108</v>
      </c>
      <c r="F145" s="12" t="n">
        <v>15.95</v>
      </c>
      <c r="G145" s="12" t="n">
        <v>75.82</v>
      </c>
      <c r="H145" s="9" t="s">
        <v>87</v>
      </c>
      <c r="I145" s="9" t="s">
        <v>109</v>
      </c>
      <c r="J145" s="9" t="n">
        <v>2</v>
      </c>
      <c r="K145" s="9" t="s">
        <v>110</v>
      </c>
      <c r="L145" s="9"/>
    </row>
    <row r="146" customFormat="false" ht="15" hidden="false" customHeight="false" outlineLevel="0" collapsed="false">
      <c r="A146" s="9" t="s">
        <v>389</v>
      </c>
      <c r="B146" s="9" t="s">
        <v>390</v>
      </c>
      <c r="C146" s="9" t="s">
        <v>77</v>
      </c>
      <c r="D146" s="9" t="s">
        <v>78</v>
      </c>
      <c r="E146" s="9" t="s">
        <v>108</v>
      </c>
      <c r="F146" s="12" t="n">
        <v>13.16</v>
      </c>
      <c r="G146" s="12" t="n">
        <v>75.86</v>
      </c>
      <c r="H146" s="9" t="s">
        <v>65</v>
      </c>
      <c r="I146" s="9" t="s">
        <v>109</v>
      </c>
      <c r="J146" s="9" t="n">
        <v>2</v>
      </c>
      <c r="K146" s="9" t="s">
        <v>110</v>
      </c>
      <c r="L146" s="9"/>
    </row>
    <row r="147" customFormat="false" ht="15" hidden="false" customHeight="false" outlineLevel="0" collapsed="false">
      <c r="A147" s="9" t="s">
        <v>391</v>
      </c>
      <c r="B147" s="9" t="s">
        <v>392</v>
      </c>
      <c r="C147" s="9" t="s">
        <v>77</v>
      </c>
      <c r="D147" s="9" t="s">
        <v>78</v>
      </c>
      <c r="E147" s="9" t="s">
        <v>108</v>
      </c>
      <c r="F147" s="12" t="n">
        <v>13.21</v>
      </c>
      <c r="G147" s="12" t="n">
        <v>76</v>
      </c>
      <c r="H147" s="9" t="s">
        <v>87</v>
      </c>
      <c r="I147" s="9" t="s">
        <v>109</v>
      </c>
      <c r="J147" s="9" t="n">
        <v>2</v>
      </c>
      <c r="K147" s="9" t="s">
        <v>110</v>
      </c>
      <c r="L147" s="9"/>
    </row>
    <row r="148" customFormat="false" ht="15" hidden="false" customHeight="false" outlineLevel="0" collapsed="false">
      <c r="A148" s="9" t="s">
        <v>393</v>
      </c>
      <c r="B148" s="9" t="s">
        <v>394</v>
      </c>
      <c r="C148" s="9" t="s">
        <v>77</v>
      </c>
      <c r="D148" s="9" t="s">
        <v>78</v>
      </c>
      <c r="E148" s="9" t="s">
        <v>108</v>
      </c>
      <c r="F148" s="12" t="n">
        <v>13.93</v>
      </c>
      <c r="G148" s="12" t="n">
        <v>75.57</v>
      </c>
      <c r="H148" s="9" t="s">
        <v>65</v>
      </c>
      <c r="I148" s="9" t="s">
        <v>109</v>
      </c>
      <c r="J148" s="9" t="n">
        <v>2</v>
      </c>
      <c r="K148" s="9" t="s">
        <v>110</v>
      </c>
      <c r="L148" s="9"/>
    </row>
    <row r="149" customFormat="false" ht="15" hidden="false" customHeight="false" outlineLevel="0" collapsed="false">
      <c r="A149" s="9" t="s">
        <v>395</v>
      </c>
      <c r="B149" s="9" t="s">
        <v>396</v>
      </c>
      <c r="C149" s="9" t="s">
        <v>77</v>
      </c>
      <c r="D149" s="9" t="s">
        <v>78</v>
      </c>
      <c r="E149" s="9" t="s">
        <v>108</v>
      </c>
      <c r="F149" s="12" t="n">
        <v>14.23</v>
      </c>
      <c r="G149" s="12" t="n">
        <v>74.81</v>
      </c>
      <c r="H149" s="9" t="s">
        <v>87</v>
      </c>
      <c r="I149" s="9" t="s">
        <v>109</v>
      </c>
      <c r="J149" s="9" t="n">
        <v>2</v>
      </c>
      <c r="K149" s="9" t="s">
        <v>110</v>
      </c>
      <c r="L149" s="9"/>
    </row>
    <row r="150" customFormat="false" ht="15" hidden="false" customHeight="false" outlineLevel="0" collapsed="false">
      <c r="A150" s="9" t="s">
        <v>397</v>
      </c>
      <c r="B150" s="9" t="s">
        <v>398</v>
      </c>
      <c r="C150" s="9" t="s">
        <v>77</v>
      </c>
      <c r="D150" s="9" t="s">
        <v>78</v>
      </c>
      <c r="E150" s="9" t="s">
        <v>108</v>
      </c>
      <c r="F150" s="12" t="n">
        <v>11.99</v>
      </c>
      <c r="G150" s="12" t="n">
        <v>76.35</v>
      </c>
      <c r="H150" s="9" t="s">
        <v>87</v>
      </c>
      <c r="I150" s="9" t="s">
        <v>109</v>
      </c>
      <c r="J150" s="9" t="n">
        <v>2</v>
      </c>
      <c r="K150" s="9" t="s">
        <v>110</v>
      </c>
      <c r="L150" s="9"/>
    </row>
    <row r="151" customFormat="false" ht="15" hidden="false" customHeight="false" outlineLevel="0" collapsed="false">
      <c r="A151" s="9" t="s">
        <v>399</v>
      </c>
      <c r="B151" s="9" t="s">
        <v>400</v>
      </c>
      <c r="C151" s="9" t="s">
        <v>77</v>
      </c>
      <c r="D151" s="9" t="s">
        <v>78</v>
      </c>
      <c r="E151" s="9" t="s">
        <v>108</v>
      </c>
      <c r="F151" s="12" t="n">
        <v>11.67</v>
      </c>
      <c r="G151" s="12" t="n">
        <v>76.63</v>
      </c>
      <c r="H151" s="9" t="s">
        <v>87</v>
      </c>
      <c r="I151" s="9" t="s">
        <v>109</v>
      </c>
      <c r="J151" s="9" t="n">
        <v>2</v>
      </c>
      <c r="K151" s="9" t="s">
        <v>110</v>
      </c>
      <c r="L151" s="9"/>
    </row>
    <row r="152" customFormat="false" ht="15" hidden="false" customHeight="false" outlineLevel="0" collapsed="false">
      <c r="A152" s="9" t="s">
        <v>401</v>
      </c>
      <c r="B152" s="9" t="s">
        <v>402</v>
      </c>
      <c r="C152" s="9" t="s">
        <v>77</v>
      </c>
      <c r="D152" s="9" t="s">
        <v>78</v>
      </c>
      <c r="E152" s="9" t="s">
        <v>108</v>
      </c>
      <c r="F152" s="12" t="n">
        <v>15.27</v>
      </c>
      <c r="G152" s="12" t="n">
        <v>74.62</v>
      </c>
      <c r="H152" s="9" t="s">
        <v>65</v>
      </c>
      <c r="I152" s="9" t="s">
        <v>109</v>
      </c>
      <c r="J152" s="9" t="n">
        <v>2</v>
      </c>
      <c r="K152" s="9" t="s">
        <v>110</v>
      </c>
      <c r="L152" s="9"/>
    </row>
    <row r="153" customFormat="false" ht="15" hidden="false" customHeight="false" outlineLevel="0" collapsed="false">
      <c r="A153" s="9" t="s">
        <v>403</v>
      </c>
      <c r="B153" s="9" t="s">
        <v>404</v>
      </c>
      <c r="C153" s="9" t="s">
        <v>77</v>
      </c>
      <c r="D153" s="9" t="s">
        <v>78</v>
      </c>
      <c r="E153" s="9" t="s">
        <v>108</v>
      </c>
      <c r="F153" s="12" t="n">
        <v>12.94</v>
      </c>
      <c r="G153" s="12" t="n">
        <v>75.79</v>
      </c>
      <c r="H153" s="9" t="s">
        <v>65</v>
      </c>
      <c r="I153" s="9" t="s">
        <v>109</v>
      </c>
      <c r="J153" s="9" t="n">
        <v>2</v>
      </c>
      <c r="K153" s="9" t="s">
        <v>110</v>
      </c>
      <c r="L153" s="9"/>
    </row>
    <row r="154" customFormat="false" ht="15" hidden="false" customHeight="false" outlineLevel="0" collapsed="false">
      <c r="A154" s="9" t="s">
        <v>405</v>
      </c>
      <c r="B154" s="9" t="s">
        <v>406</v>
      </c>
      <c r="C154" s="9" t="s">
        <v>77</v>
      </c>
      <c r="D154" s="9" t="s">
        <v>78</v>
      </c>
      <c r="E154" s="9" t="s">
        <v>108</v>
      </c>
      <c r="F154" s="12" t="n">
        <v>14.09</v>
      </c>
      <c r="G154" s="12" t="n">
        <v>74.49</v>
      </c>
      <c r="H154" s="9" t="s">
        <v>87</v>
      </c>
      <c r="I154" s="9" t="s">
        <v>109</v>
      </c>
      <c r="J154" s="9" t="n">
        <v>2</v>
      </c>
      <c r="K154" s="9" t="s">
        <v>110</v>
      </c>
      <c r="L154" s="9"/>
    </row>
    <row r="155" customFormat="false" ht="15" hidden="false" customHeight="false" outlineLevel="0" collapsed="false">
      <c r="A155" s="9" t="s">
        <v>407</v>
      </c>
      <c r="B155" s="9" t="s">
        <v>408</v>
      </c>
      <c r="C155" s="9" t="s">
        <v>77</v>
      </c>
      <c r="D155" s="9" t="s">
        <v>78</v>
      </c>
      <c r="E155" s="9" t="s">
        <v>108</v>
      </c>
      <c r="F155" s="12" t="n">
        <v>13.42</v>
      </c>
      <c r="G155" s="12" t="n">
        <v>75.25</v>
      </c>
      <c r="H155" s="9" t="s">
        <v>87</v>
      </c>
      <c r="I155" s="9" t="s">
        <v>109</v>
      </c>
      <c r="J155" s="9" t="n">
        <v>2</v>
      </c>
      <c r="K155" s="9" t="s">
        <v>110</v>
      </c>
      <c r="L155" s="9"/>
    </row>
    <row r="156" customFormat="false" ht="15" hidden="false" customHeight="false" outlineLevel="0" collapsed="false">
      <c r="A156" s="9" t="s">
        <v>409</v>
      </c>
      <c r="B156" s="9" t="s">
        <v>410</v>
      </c>
      <c r="C156" s="9" t="s">
        <v>77</v>
      </c>
      <c r="D156" s="9" t="s">
        <v>78</v>
      </c>
      <c r="E156" s="9" t="s">
        <v>108</v>
      </c>
      <c r="F156" s="12" t="n">
        <v>12.95</v>
      </c>
      <c r="G156" s="12" t="n">
        <v>75.38</v>
      </c>
      <c r="H156" s="9" t="s">
        <v>87</v>
      </c>
      <c r="I156" s="9" t="s">
        <v>109</v>
      </c>
      <c r="J156" s="9" t="n">
        <v>2</v>
      </c>
      <c r="K156" s="9" t="s">
        <v>110</v>
      </c>
      <c r="L156" s="9"/>
    </row>
    <row r="157" customFormat="false" ht="15" hidden="false" customHeight="false" outlineLevel="0" collapsed="false">
      <c r="A157" s="9" t="s">
        <v>411</v>
      </c>
      <c r="B157" s="9" t="s">
        <v>412</v>
      </c>
      <c r="C157" s="9" t="s">
        <v>77</v>
      </c>
      <c r="D157" s="9" t="s">
        <v>78</v>
      </c>
      <c r="E157" s="9" t="s">
        <v>108</v>
      </c>
      <c r="F157" s="12" t="n">
        <v>14.23</v>
      </c>
      <c r="G157" s="12" t="n">
        <v>76.4</v>
      </c>
      <c r="H157" s="9" t="s">
        <v>65</v>
      </c>
      <c r="I157" s="9" t="s">
        <v>109</v>
      </c>
      <c r="J157" s="9" t="n">
        <v>2</v>
      </c>
      <c r="K157" s="9" t="s">
        <v>110</v>
      </c>
      <c r="L157" s="9"/>
    </row>
    <row r="158" customFormat="false" ht="15" hidden="false" customHeight="false" outlineLevel="0" collapsed="false">
      <c r="A158" s="9" t="s">
        <v>413</v>
      </c>
      <c r="B158" s="9" t="s">
        <v>414</v>
      </c>
      <c r="C158" s="9" t="s">
        <v>77</v>
      </c>
      <c r="D158" s="9" t="s">
        <v>78</v>
      </c>
      <c r="E158" s="9" t="s">
        <v>108</v>
      </c>
      <c r="F158" s="12" t="n">
        <v>16.83</v>
      </c>
      <c r="G158" s="12" t="n">
        <v>75.71</v>
      </c>
      <c r="H158" s="9" t="s">
        <v>65</v>
      </c>
      <c r="I158" s="9" t="s">
        <v>109</v>
      </c>
      <c r="J158" s="9" t="n">
        <v>2</v>
      </c>
      <c r="K158" s="9" t="s">
        <v>110</v>
      </c>
      <c r="L158" s="9"/>
    </row>
    <row r="159" customFormat="false" ht="15" hidden="false" customHeight="false" outlineLevel="0" collapsed="false">
      <c r="A159" s="9" t="s">
        <v>415</v>
      </c>
      <c r="B159" s="9" t="s">
        <v>416</v>
      </c>
      <c r="C159" s="9" t="s">
        <v>77</v>
      </c>
      <c r="D159" s="9" t="s">
        <v>78</v>
      </c>
      <c r="E159" s="9" t="s">
        <v>108</v>
      </c>
      <c r="F159" s="12" t="n">
        <v>17.91</v>
      </c>
      <c r="G159" s="12" t="n">
        <v>77.52</v>
      </c>
      <c r="H159" s="9" t="s">
        <v>65</v>
      </c>
      <c r="I159" s="9" t="s">
        <v>109</v>
      </c>
      <c r="J159" s="9" t="n">
        <v>2</v>
      </c>
      <c r="K159" s="9" t="s">
        <v>110</v>
      </c>
      <c r="L159" s="9"/>
    </row>
    <row r="160" customFormat="false" ht="15" hidden="false" customHeight="false" outlineLevel="0" collapsed="false">
      <c r="A160" s="9" t="s">
        <v>417</v>
      </c>
      <c r="B160" s="9" t="s">
        <v>418</v>
      </c>
      <c r="C160" s="9" t="s">
        <v>77</v>
      </c>
      <c r="D160" s="9" t="s">
        <v>78</v>
      </c>
      <c r="E160" s="9" t="s">
        <v>108</v>
      </c>
      <c r="F160" s="12" t="n">
        <v>15.35</v>
      </c>
      <c r="G160" s="12" t="n">
        <v>76.49</v>
      </c>
      <c r="H160" s="9" t="s">
        <v>87</v>
      </c>
      <c r="I160" s="9" t="s">
        <v>109</v>
      </c>
      <c r="J160" s="9" t="n">
        <v>2</v>
      </c>
      <c r="K160" s="9" t="s">
        <v>110</v>
      </c>
      <c r="L160" s="9"/>
    </row>
    <row r="161" customFormat="false" ht="15" hidden="false" customHeight="false" outlineLevel="0" collapsed="false">
      <c r="A161" s="9" t="s">
        <v>419</v>
      </c>
      <c r="B161" s="9" t="s">
        <v>420</v>
      </c>
      <c r="C161" s="9" t="s">
        <v>77</v>
      </c>
      <c r="D161" s="9" t="s">
        <v>78</v>
      </c>
      <c r="E161" s="9" t="s">
        <v>108</v>
      </c>
      <c r="F161" s="12" t="n">
        <v>13.22</v>
      </c>
      <c r="G161" s="12" t="n">
        <v>75.25</v>
      </c>
      <c r="H161" s="9" t="s">
        <v>87</v>
      </c>
      <c r="I161" s="9" t="s">
        <v>109</v>
      </c>
      <c r="J161" s="9" t="n">
        <v>2</v>
      </c>
      <c r="K161" s="9" t="s">
        <v>110</v>
      </c>
      <c r="L161" s="9"/>
    </row>
    <row r="162" customFormat="false" ht="15" hidden="false" customHeight="false" outlineLevel="0" collapsed="false">
      <c r="A162" s="9" t="s">
        <v>421</v>
      </c>
      <c r="B162" s="9" t="s">
        <v>422</v>
      </c>
      <c r="C162" s="9" t="s">
        <v>77</v>
      </c>
      <c r="D162" s="9" t="s">
        <v>78</v>
      </c>
      <c r="E162" s="9" t="s">
        <v>108</v>
      </c>
      <c r="F162" s="12" t="n">
        <v>13.5</v>
      </c>
      <c r="G162" s="12" t="n">
        <v>75.09</v>
      </c>
      <c r="H162" s="9" t="s">
        <v>87</v>
      </c>
      <c r="I162" s="9" t="s">
        <v>109</v>
      </c>
      <c r="J162" s="9" t="n">
        <v>2</v>
      </c>
      <c r="K162" s="9" t="s">
        <v>110</v>
      </c>
      <c r="L162" s="9"/>
    </row>
    <row r="163" customFormat="false" ht="15" hidden="false" customHeight="false" outlineLevel="0" collapsed="false">
      <c r="A163" s="9" t="s">
        <v>423</v>
      </c>
      <c r="B163" s="9" t="s">
        <v>424</v>
      </c>
      <c r="C163" s="9" t="s">
        <v>77</v>
      </c>
      <c r="D163" s="9" t="s">
        <v>78</v>
      </c>
      <c r="E163" s="9" t="s">
        <v>108</v>
      </c>
      <c r="F163" s="12" t="n">
        <v>14.57</v>
      </c>
      <c r="G163" s="12" t="n">
        <v>74.55</v>
      </c>
      <c r="H163" s="9" t="s">
        <v>87</v>
      </c>
      <c r="I163" s="9" t="s">
        <v>109</v>
      </c>
      <c r="J163" s="9" t="n">
        <v>2</v>
      </c>
      <c r="K163" s="9" t="s">
        <v>110</v>
      </c>
      <c r="L163" s="9"/>
    </row>
    <row r="164" customFormat="false" ht="15" hidden="false" customHeight="false" outlineLevel="0" collapsed="false">
      <c r="A164" s="9" t="s">
        <v>425</v>
      </c>
      <c r="B164" s="9" t="s">
        <v>426</v>
      </c>
      <c r="C164" s="9" t="s">
        <v>77</v>
      </c>
      <c r="D164" s="9" t="s">
        <v>78</v>
      </c>
      <c r="E164" s="9" t="s">
        <v>108</v>
      </c>
      <c r="F164" s="12" t="n">
        <v>12.05</v>
      </c>
      <c r="G164" s="12" t="n">
        <v>76.1</v>
      </c>
      <c r="H164" s="9" t="s">
        <v>87</v>
      </c>
      <c r="I164" s="9" t="s">
        <v>109</v>
      </c>
      <c r="J164" s="9" t="n">
        <v>2</v>
      </c>
      <c r="K164" s="9" t="s">
        <v>110</v>
      </c>
      <c r="L164" s="9"/>
    </row>
    <row r="165" customFormat="false" ht="15" hidden="false" customHeight="false" outlineLevel="0" collapsed="false">
      <c r="A165" s="9" t="s">
        <v>427</v>
      </c>
      <c r="B165" s="9" t="s">
        <v>428</v>
      </c>
      <c r="C165" s="9" t="s">
        <v>94</v>
      </c>
      <c r="D165" s="9" t="s">
        <v>78</v>
      </c>
      <c r="E165" s="9" t="s">
        <v>108</v>
      </c>
      <c r="F165" s="12" t="n">
        <v>13.08</v>
      </c>
      <c r="G165" s="12" t="n">
        <v>80.27</v>
      </c>
      <c r="H165" s="9" t="s">
        <v>65</v>
      </c>
      <c r="I165" s="9" t="s">
        <v>109</v>
      </c>
      <c r="J165" s="9" t="n">
        <v>2</v>
      </c>
      <c r="K165" s="9" t="s">
        <v>110</v>
      </c>
      <c r="L165" s="9"/>
    </row>
    <row r="166" customFormat="false" ht="15" hidden="false" customHeight="false" outlineLevel="0" collapsed="false">
      <c r="A166" s="9" t="s">
        <v>429</v>
      </c>
      <c r="B166" s="9" t="s">
        <v>430</v>
      </c>
      <c r="C166" s="9" t="s">
        <v>94</v>
      </c>
      <c r="D166" s="9" t="s">
        <v>78</v>
      </c>
      <c r="E166" s="9" t="s">
        <v>108</v>
      </c>
      <c r="F166" s="12" t="n">
        <v>12.62</v>
      </c>
      <c r="G166" s="12" t="n">
        <v>80.19</v>
      </c>
      <c r="H166" s="9" t="s">
        <v>65</v>
      </c>
      <c r="I166" s="9" t="s">
        <v>109</v>
      </c>
      <c r="J166" s="9" t="n">
        <v>2</v>
      </c>
      <c r="K166" s="9" t="s">
        <v>110</v>
      </c>
      <c r="L166" s="9"/>
    </row>
    <row r="167" customFormat="false" ht="15" hidden="false" customHeight="false" outlineLevel="0" collapsed="false">
      <c r="A167" s="9" t="s">
        <v>431</v>
      </c>
      <c r="B167" s="9" t="s">
        <v>432</v>
      </c>
      <c r="C167" s="9" t="s">
        <v>94</v>
      </c>
      <c r="D167" s="9" t="s">
        <v>78</v>
      </c>
      <c r="E167" s="9" t="s">
        <v>108</v>
      </c>
      <c r="F167" s="12" t="n">
        <v>12.83</v>
      </c>
      <c r="G167" s="12" t="n">
        <v>79.7</v>
      </c>
      <c r="H167" s="9" t="s">
        <v>65</v>
      </c>
      <c r="I167" s="9" t="s">
        <v>109</v>
      </c>
      <c r="J167" s="9" t="n">
        <v>2</v>
      </c>
      <c r="K167" s="9" t="s">
        <v>110</v>
      </c>
      <c r="L167" s="9"/>
    </row>
    <row r="168" customFormat="false" ht="15" hidden="false" customHeight="false" outlineLevel="0" collapsed="false">
      <c r="A168" s="9" t="s">
        <v>433</v>
      </c>
      <c r="B168" s="9" t="s">
        <v>434</v>
      </c>
      <c r="C168" s="9" t="s">
        <v>94</v>
      </c>
      <c r="D168" s="9" t="s">
        <v>78</v>
      </c>
      <c r="E168" s="9" t="s">
        <v>108</v>
      </c>
      <c r="F168" s="12" t="n">
        <v>9.93</v>
      </c>
      <c r="G168" s="12" t="n">
        <v>78.12</v>
      </c>
      <c r="H168" s="9" t="s">
        <v>65</v>
      </c>
      <c r="I168" s="9" t="s">
        <v>109</v>
      </c>
      <c r="J168" s="9" t="n">
        <v>2</v>
      </c>
      <c r="K168" s="9" t="s">
        <v>110</v>
      </c>
      <c r="L168" s="9"/>
    </row>
    <row r="169" customFormat="false" ht="15" hidden="false" customHeight="false" outlineLevel="0" collapsed="false">
      <c r="A169" s="9" t="s">
        <v>435</v>
      </c>
      <c r="B169" s="9" t="s">
        <v>436</v>
      </c>
      <c r="C169" s="9" t="s">
        <v>94</v>
      </c>
      <c r="D169" s="9" t="s">
        <v>78</v>
      </c>
      <c r="E169" s="9" t="s">
        <v>108</v>
      </c>
      <c r="F169" s="12" t="n">
        <v>10.79</v>
      </c>
      <c r="G169" s="12" t="n">
        <v>79.14</v>
      </c>
      <c r="H169" s="9" t="s">
        <v>65</v>
      </c>
      <c r="I169" s="9" t="s">
        <v>109</v>
      </c>
      <c r="J169" s="9" t="n">
        <v>2</v>
      </c>
      <c r="K169" s="9" t="s">
        <v>110</v>
      </c>
      <c r="L169" s="9"/>
    </row>
    <row r="170" customFormat="false" ht="15" hidden="false" customHeight="false" outlineLevel="0" collapsed="false">
      <c r="A170" s="9" t="s">
        <v>437</v>
      </c>
      <c r="B170" s="9" t="s">
        <v>438</v>
      </c>
      <c r="C170" s="9" t="s">
        <v>94</v>
      </c>
      <c r="D170" s="9" t="s">
        <v>78</v>
      </c>
      <c r="E170" s="9" t="s">
        <v>108</v>
      </c>
      <c r="F170" s="12" t="n">
        <v>10.79</v>
      </c>
      <c r="G170" s="12" t="n">
        <v>78.7</v>
      </c>
      <c r="H170" s="9" t="s">
        <v>65</v>
      </c>
      <c r="I170" s="9" t="s">
        <v>109</v>
      </c>
      <c r="J170" s="9" t="n">
        <v>2</v>
      </c>
      <c r="K170" s="9" t="s">
        <v>110</v>
      </c>
      <c r="L170" s="9"/>
    </row>
    <row r="171" customFormat="false" ht="15" hidden="false" customHeight="false" outlineLevel="0" collapsed="false">
      <c r="A171" s="9" t="s">
        <v>439</v>
      </c>
      <c r="B171" s="9" t="s">
        <v>440</v>
      </c>
      <c r="C171" s="9" t="s">
        <v>94</v>
      </c>
      <c r="D171" s="9" t="s">
        <v>78</v>
      </c>
      <c r="E171" s="9" t="s">
        <v>108</v>
      </c>
      <c r="F171" s="12" t="n">
        <v>8.09</v>
      </c>
      <c r="G171" s="12" t="n">
        <v>77.54</v>
      </c>
      <c r="H171" s="9" t="s">
        <v>65</v>
      </c>
      <c r="I171" s="9" t="s">
        <v>109</v>
      </c>
      <c r="J171" s="9" t="n">
        <v>2</v>
      </c>
      <c r="K171" s="9" t="s">
        <v>110</v>
      </c>
      <c r="L171" s="9"/>
    </row>
    <row r="172" customFormat="false" ht="15" hidden="false" customHeight="false" outlineLevel="0" collapsed="false">
      <c r="A172" s="9" t="s">
        <v>441</v>
      </c>
      <c r="B172" s="9" t="s">
        <v>442</v>
      </c>
      <c r="C172" s="9" t="s">
        <v>94</v>
      </c>
      <c r="D172" s="9" t="s">
        <v>78</v>
      </c>
      <c r="E172" s="9" t="s">
        <v>108</v>
      </c>
      <c r="F172" s="12" t="n">
        <v>11.41</v>
      </c>
      <c r="G172" s="12" t="n">
        <v>76.7</v>
      </c>
      <c r="H172" s="9" t="s">
        <v>65</v>
      </c>
      <c r="I172" s="9" t="s">
        <v>109</v>
      </c>
      <c r="J172" s="9" t="n">
        <v>2</v>
      </c>
      <c r="K172" s="9" t="s">
        <v>110</v>
      </c>
      <c r="L172" s="9"/>
    </row>
    <row r="173" customFormat="false" ht="15" hidden="false" customHeight="false" outlineLevel="0" collapsed="false">
      <c r="A173" s="9" t="s">
        <v>443</v>
      </c>
      <c r="B173" s="9" t="s">
        <v>444</v>
      </c>
      <c r="C173" s="9" t="s">
        <v>94</v>
      </c>
      <c r="D173" s="9" t="s">
        <v>78</v>
      </c>
      <c r="E173" s="9" t="s">
        <v>108</v>
      </c>
      <c r="F173" s="12" t="n">
        <v>11.35</v>
      </c>
      <c r="G173" s="12" t="n">
        <v>76.8</v>
      </c>
      <c r="H173" s="9" t="s">
        <v>65</v>
      </c>
      <c r="I173" s="9" t="s">
        <v>109</v>
      </c>
      <c r="J173" s="9" t="n">
        <v>2</v>
      </c>
      <c r="K173" s="9" t="s">
        <v>110</v>
      </c>
      <c r="L173" s="9"/>
    </row>
    <row r="174" customFormat="false" ht="15" hidden="false" customHeight="false" outlineLevel="0" collapsed="false">
      <c r="A174" s="9" t="s">
        <v>445</v>
      </c>
      <c r="B174" s="9" t="s">
        <v>446</v>
      </c>
      <c r="C174" s="9" t="s">
        <v>94</v>
      </c>
      <c r="D174" s="9" t="s">
        <v>78</v>
      </c>
      <c r="E174" s="9" t="s">
        <v>108</v>
      </c>
      <c r="F174" s="12" t="n">
        <v>10.24</v>
      </c>
      <c r="G174" s="12" t="n">
        <v>77.49</v>
      </c>
      <c r="H174" s="9" t="s">
        <v>65</v>
      </c>
      <c r="I174" s="9" t="s">
        <v>109</v>
      </c>
      <c r="J174" s="9" t="n">
        <v>2</v>
      </c>
      <c r="K174" s="9" t="s">
        <v>110</v>
      </c>
      <c r="L174" s="9"/>
    </row>
    <row r="175" customFormat="false" ht="15" hidden="false" customHeight="false" outlineLevel="0" collapsed="false">
      <c r="A175" s="9" t="s">
        <v>447</v>
      </c>
      <c r="B175" s="9" t="s">
        <v>448</v>
      </c>
      <c r="C175" s="9" t="s">
        <v>94</v>
      </c>
      <c r="D175" s="9" t="s">
        <v>78</v>
      </c>
      <c r="E175" s="9" t="s">
        <v>108</v>
      </c>
      <c r="F175" s="12" t="n">
        <v>11.78</v>
      </c>
      <c r="G175" s="12" t="n">
        <v>78.21</v>
      </c>
      <c r="H175" s="9" t="s">
        <v>87</v>
      </c>
      <c r="I175" s="9" t="s">
        <v>109</v>
      </c>
      <c r="J175" s="9" t="n">
        <v>2</v>
      </c>
      <c r="K175" s="9" t="s">
        <v>110</v>
      </c>
      <c r="L175" s="9"/>
    </row>
    <row r="176" customFormat="false" ht="15" hidden="false" customHeight="false" outlineLevel="0" collapsed="false">
      <c r="A176" s="9" t="s">
        <v>449</v>
      </c>
      <c r="B176" s="9" t="s">
        <v>450</v>
      </c>
      <c r="C176" s="9" t="s">
        <v>94</v>
      </c>
      <c r="D176" s="9" t="s">
        <v>78</v>
      </c>
      <c r="E176" s="9" t="s">
        <v>108</v>
      </c>
      <c r="F176" s="12" t="n">
        <v>11.02</v>
      </c>
      <c r="G176" s="12" t="n">
        <v>76.96</v>
      </c>
      <c r="H176" s="9" t="s">
        <v>65</v>
      </c>
      <c r="I176" s="9" t="s">
        <v>109</v>
      </c>
      <c r="J176" s="9" t="n">
        <v>2</v>
      </c>
      <c r="K176" s="9" t="s">
        <v>110</v>
      </c>
      <c r="L176" s="9"/>
    </row>
    <row r="177" customFormat="false" ht="15" hidden="false" customHeight="false" outlineLevel="0" collapsed="false">
      <c r="A177" s="9" t="s">
        <v>451</v>
      </c>
      <c r="B177" s="9" t="s">
        <v>452</v>
      </c>
      <c r="C177" s="9" t="s">
        <v>94</v>
      </c>
      <c r="D177" s="9" t="s">
        <v>78</v>
      </c>
      <c r="E177" s="9" t="s">
        <v>108</v>
      </c>
      <c r="F177" s="12" t="n">
        <v>8.73</v>
      </c>
      <c r="G177" s="12" t="n">
        <v>77.7</v>
      </c>
      <c r="H177" s="9" t="s">
        <v>65</v>
      </c>
      <c r="I177" s="9" t="s">
        <v>109</v>
      </c>
      <c r="J177" s="9" t="n">
        <v>2</v>
      </c>
      <c r="K177" s="9" t="s">
        <v>110</v>
      </c>
      <c r="L177" s="9"/>
    </row>
    <row r="178" customFormat="false" ht="15" hidden="false" customHeight="false" outlineLevel="0" collapsed="false">
      <c r="A178" s="9" t="s">
        <v>453</v>
      </c>
      <c r="B178" s="9" t="s">
        <v>454</v>
      </c>
      <c r="C178" s="9" t="s">
        <v>94</v>
      </c>
      <c r="D178" s="9" t="s">
        <v>78</v>
      </c>
      <c r="E178" s="9" t="s">
        <v>108</v>
      </c>
      <c r="F178" s="12" t="n">
        <v>10.96</v>
      </c>
      <c r="G178" s="12" t="n">
        <v>79.38</v>
      </c>
      <c r="H178" s="9" t="s">
        <v>65</v>
      </c>
      <c r="I178" s="9" t="s">
        <v>109</v>
      </c>
      <c r="J178" s="9" t="n">
        <v>2</v>
      </c>
      <c r="K178" s="9" t="s">
        <v>110</v>
      </c>
      <c r="L178" s="9"/>
    </row>
    <row r="179" customFormat="false" ht="15" hidden="false" customHeight="false" outlineLevel="0" collapsed="false">
      <c r="A179" s="9" t="s">
        <v>455</v>
      </c>
      <c r="B179" s="9" t="s">
        <v>456</v>
      </c>
      <c r="C179" s="9" t="s">
        <v>94</v>
      </c>
      <c r="D179" s="9" t="s">
        <v>78</v>
      </c>
      <c r="E179" s="9" t="s">
        <v>108</v>
      </c>
      <c r="F179" s="12" t="n">
        <v>11.4</v>
      </c>
      <c r="G179" s="12" t="n">
        <v>79.69</v>
      </c>
      <c r="H179" s="9" t="s">
        <v>65</v>
      </c>
      <c r="I179" s="9" t="s">
        <v>109</v>
      </c>
      <c r="J179" s="9" t="n">
        <v>2</v>
      </c>
      <c r="K179" s="9" t="s">
        <v>110</v>
      </c>
      <c r="L179" s="9"/>
    </row>
    <row r="180" customFormat="false" ht="15" hidden="false" customHeight="false" outlineLevel="0" collapsed="false">
      <c r="A180" s="9" t="s">
        <v>457</v>
      </c>
      <c r="B180" s="9" t="s">
        <v>458</v>
      </c>
      <c r="C180" s="9" t="s">
        <v>94</v>
      </c>
      <c r="D180" s="9" t="s">
        <v>78</v>
      </c>
      <c r="E180" s="9" t="s">
        <v>108</v>
      </c>
      <c r="F180" s="12" t="n">
        <v>10.86</v>
      </c>
      <c r="G180" s="12" t="n">
        <v>78.69</v>
      </c>
      <c r="H180" s="9" t="s">
        <v>87</v>
      </c>
      <c r="I180" s="9" t="s">
        <v>109</v>
      </c>
      <c r="J180" s="9" t="n">
        <v>2</v>
      </c>
      <c r="K180" s="9" t="s">
        <v>110</v>
      </c>
      <c r="L180" s="9"/>
    </row>
    <row r="181" customFormat="false" ht="15" hidden="false" customHeight="false" outlineLevel="0" collapsed="false">
      <c r="A181" s="9" t="s">
        <v>459</v>
      </c>
      <c r="B181" s="9" t="s">
        <v>460</v>
      </c>
      <c r="C181" s="9" t="s">
        <v>94</v>
      </c>
      <c r="D181" s="9" t="s">
        <v>78</v>
      </c>
      <c r="E181" s="9" t="s">
        <v>108</v>
      </c>
      <c r="F181" s="12" t="n">
        <v>10.68</v>
      </c>
      <c r="G181" s="12" t="n">
        <v>79.85</v>
      </c>
      <c r="H181" s="9" t="s">
        <v>87</v>
      </c>
      <c r="I181" s="9" t="s">
        <v>109</v>
      </c>
      <c r="J181" s="9" t="n">
        <v>2</v>
      </c>
      <c r="K181" s="9" t="s">
        <v>110</v>
      </c>
      <c r="L181" s="9"/>
    </row>
    <row r="182" customFormat="false" ht="15" hidden="false" customHeight="false" outlineLevel="0" collapsed="false">
      <c r="A182" s="9" t="s">
        <v>461</v>
      </c>
      <c r="B182" s="9" t="s">
        <v>462</v>
      </c>
      <c r="C182" s="9" t="s">
        <v>94</v>
      </c>
      <c r="D182" s="9" t="s">
        <v>78</v>
      </c>
      <c r="E182" s="9" t="s">
        <v>108</v>
      </c>
      <c r="F182" s="12" t="n">
        <v>12.23</v>
      </c>
      <c r="G182" s="12" t="n">
        <v>79.07</v>
      </c>
      <c r="H182" s="9" t="s">
        <v>65</v>
      </c>
      <c r="I182" s="9" t="s">
        <v>109</v>
      </c>
      <c r="J182" s="9" t="n">
        <v>2</v>
      </c>
      <c r="K182" s="9" t="s">
        <v>110</v>
      </c>
      <c r="L182" s="9"/>
    </row>
    <row r="183" customFormat="false" ht="15" hidden="false" customHeight="false" outlineLevel="0" collapsed="false">
      <c r="A183" s="9" t="s">
        <v>463</v>
      </c>
      <c r="B183" s="9" t="s">
        <v>464</v>
      </c>
      <c r="C183" s="9" t="s">
        <v>94</v>
      </c>
      <c r="D183" s="9" t="s">
        <v>78</v>
      </c>
      <c r="E183" s="9" t="s">
        <v>108</v>
      </c>
      <c r="F183" s="12" t="n">
        <v>8.93</v>
      </c>
      <c r="G183" s="12" t="n">
        <v>77.27</v>
      </c>
      <c r="H183" s="9" t="s">
        <v>87</v>
      </c>
      <c r="I183" s="9" t="s">
        <v>109</v>
      </c>
      <c r="J183" s="9" t="n">
        <v>2</v>
      </c>
      <c r="K183" s="9" t="s">
        <v>110</v>
      </c>
      <c r="L183" s="9"/>
    </row>
    <row r="184" customFormat="false" ht="15" hidden="false" customHeight="false" outlineLevel="0" collapsed="false">
      <c r="A184" s="9" t="s">
        <v>465</v>
      </c>
      <c r="B184" s="9" t="s">
        <v>466</v>
      </c>
      <c r="C184" s="9" t="s">
        <v>94</v>
      </c>
      <c r="D184" s="9" t="s">
        <v>78</v>
      </c>
      <c r="E184" s="9" t="s">
        <v>108</v>
      </c>
      <c r="F184" s="12" t="n">
        <v>9.18</v>
      </c>
      <c r="G184" s="12" t="n">
        <v>79.41</v>
      </c>
      <c r="H184" s="9" t="s">
        <v>87</v>
      </c>
      <c r="I184" s="9" t="s">
        <v>109</v>
      </c>
      <c r="J184" s="9" t="n">
        <v>2</v>
      </c>
      <c r="K184" s="9" t="s">
        <v>110</v>
      </c>
      <c r="L184" s="9"/>
    </row>
    <row r="185" customFormat="false" ht="15" hidden="false" customHeight="false" outlineLevel="0" collapsed="false">
      <c r="A185" s="9" t="s">
        <v>467</v>
      </c>
      <c r="B185" s="9" t="s">
        <v>468</v>
      </c>
      <c r="C185" s="9" t="s">
        <v>94</v>
      </c>
      <c r="D185" s="9" t="s">
        <v>78</v>
      </c>
      <c r="E185" s="9" t="s">
        <v>108</v>
      </c>
      <c r="F185" s="12" t="n">
        <v>10.07</v>
      </c>
      <c r="G185" s="12" t="n">
        <v>78.78</v>
      </c>
      <c r="H185" s="9" t="s">
        <v>87</v>
      </c>
      <c r="I185" s="9" t="s">
        <v>109</v>
      </c>
      <c r="J185" s="9" t="n">
        <v>2</v>
      </c>
      <c r="K185" s="9" t="s">
        <v>110</v>
      </c>
      <c r="L185" s="9" t="s">
        <v>469</v>
      </c>
    </row>
    <row r="186" customFormat="false" ht="15" hidden="false" customHeight="false" outlineLevel="0" collapsed="false">
      <c r="A186" s="9" t="s">
        <v>470</v>
      </c>
      <c r="B186" s="9" t="s">
        <v>471</v>
      </c>
      <c r="C186" s="9" t="s">
        <v>94</v>
      </c>
      <c r="D186" s="9" t="s">
        <v>78</v>
      </c>
      <c r="E186" s="9" t="s">
        <v>108</v>
      </c>
      <c r="F186" s="12" t="n">
        <v>10.07</v>
      </c>
      <c r="G186" s="12" t="n">
        <v>78.78</v>
      </c>
      <c r="H186" s="9" t="s">
        <v>65</v>
      </c>
      <c r="I186" s="9" t="s">
        <v>109</v>
      </c>
      <c r="J186" s="9" t="n">
        <v>2</v>
      </c>
      <c r="K186" s="9" t="s">
        <v>110</v>
      </c>
      <c r="L186" s="9"/>
    </row>
    <row r="187" customFormat="false" ht="15" hidden="false" customHeight="false" outlineLevel="0" collapsed="false">
      <c r="A187" s="9" t="s">
        <v>472</v>
      </c>
      <c r="B187" s="9" t="s">
        <v>473</v>
      </c>
      <c r="C187" s="9" t="s">
        <v>94</v>
      </c>
      <c r="D187" s="9" t="s">
        <v>78</v>
      </c>
      <c r="E187" s="9" t="s">
        <v>108</v>
      </c>
      <c r="F187" s="12" t="n">
        <v>10.77</v>
      </c>
      <c r="G187" s="12" t="n">
        <v>79.84</v>
      </c>
      <c r="H187" s="9" t="s">
        <v>65</v>
      </c>
      <c r="I187" s="9" t="s">
        <v>109</v>
      </c>
      <c r="J187" s="9" t="n">
        <v>2</v>
      </c>
      <c r="K187" s="9" t="s">
        <v>110</v>
      </c>
      <c r="L187" s="9"/>
    </row>
    <row r="188" customFormat="false" ht="15" hidden="false" customHeight="false" outlineLevel="0" collapsed="false">
      <c r="A188" s="9" t="s">
        <v>474</v>
      </c>
      <c r="B188" s="9" t="s">
        <v>475</v>
      </c>
      <c r="C188" s="9" t="s">
        <v>94</v>
      </c>
      <c r="D188" s="9" t="s">
        <v>78</v>
      </c>
      <c r="E188" s="9" t="s">
        <v>108</v>
      </c>
      <c r="F188" s="12" t="n">
        <v>11.43</v>
      </c>
      <c r="G188" s="12" t="n">
        <v>79.78</v>
      </c>
      <c r="H188" s="9" t="s">
        <v>87</v>
      </c>
      <c r="I188" s="9" t="s">
        <v>109</v>
      </c>
      <c r="J188" s="9" t="n">
        <v>2</v>
      </c>
      <c r="K188" s="9" t="s">
        <v>110</v>
      </c>
      <c r="L188" s="9"/>
    </row>
    <row r="189" customFormat="false" ht="15" hidden="false" customHeight="false" outlineLevel="0" collapsed="false">
      <c r="A189" s="9" t="s">
        <v>476</v>
      </c>
      <c r="B189" s="9" t="s">
        <v>477</v>
      </c>
      <c r="C189" s="9" t="s">
        <v>94</v>
      </c>
      <c r="D189" s="9" t="s">
        <v>78</v>
      </c>
      <c r="E189" s="9" t="s">
        <v>108</v>
      </c>
      <c r="F189" s="12" t="n">
        <v>11.57</v>
      </c>
      <c r="G189" s="12" t="n">
        <v>76.53</v>
      </c>
      <c r="H189" s="9" t="s">
        <v>87</v>
      </c>
      <c r="I189" s="9" t="s">
        <v>109</v>
      </c>
      <c r="J189" s="9" t="n">
        <v>2</v>
      </c>
      <c r="K189" s="9" t="s">
        <v>110</v>
      </c>
      <c r="L189" s="9"/>
    </row>
    <row r="190" customFormat="false" ht="15" hidden="false" customHeight="false" outlineLevel="0" collapsed="false">
      <c r="A190" s="9" t="s">
        <v>478</v>
      </c>
      <c r="B190" s="9" t="s">
        <v>479</v>
      </c>
      <c r="C190" s="9" t="s">
        <v>94</v>
      </c>
      <c r="D190" s="9" t="s">
        <v>78</v>
      </c>
      <c r="E190" s="9" t="s">
        <v>108</v>
      </c>
      <c r="F190" s="12" t="n">
        <v>10.33</v>
      </c>
      <c r="G190" s="12" t="n">
        <v>76.96</v>
      </c>
      <c r="H190" s="9" t="s">
        <v>65</v>
      </c>
      <c r="I190" s="9" t="s">
        <v>109</v>
      </c>
      <c r="J190" s="9" t="n">
        <v>2</v>
      </c>
      <c r="K190" s="9" t="s">
        <v>110</v>
      </c>
      <c r="L190" s="9"/>
    </row>
    <row r="191" customFormat="false" ht="15" hidden="false" customHeight="false" outlineLevel="0" collapsed="false">
      <c r="A191" s="9" t="s">
        <v>480</v>
      </c>
      <c r="B191" s="9" t="s">
        <v>481</v>
      </c>
      <c r="C191" s="9" t="s">
        <v>94</v>
      </c>
      <c r="D191" s="9" t="s">
        <v>78</v>
      </c>
      <c r="E191" s="9" t="s">
        <v>108</v>
      </c>
      <c r="F191" s="12" t="n">
        <v>10.66</v>
      </c>
      <c r="G191" s="12" t="n">
        <v>77.01</v>
      </c>
      <c r="H191" s="9" t="s">
        <v>65</v>
      </c>
      <c r="I191" s="9" t="s">
        <v>109</v>
      </c>
      <c r="J191" s="9" t="n">
        <v>2</v>
      </c>
      <c r="K191" s="9" t="s">
        <v>110</v>
      </c>
      <c r="L191" s="9"/>
    </row>
    <row r="192" customFormat="false" ht="15" hidden="false" customHeight="false" outlineLevel="0" collapsed="false">
      <c r="A192" s="9" t="s">
        <v>482</v>
      </c>
      <c r="B192" s="9" t="s">
        <v>483</v>
      </c>
      <c r="C192" s="9" t="s">
        <v>94</v>
      </c>
      <c r="D192" s="9" t="s">
        <v>78</v>
      </c>
      <c r="E192" s="9" t="s">
        <v>108</v>
      </c>
      <c r="F192" s="12" t="n">
        <v>12.92</v>
      </c>
      <c r="G192" s="12" t="n">
        <v>79.13</v>
      </c>
      <c r="H192" s="9" t="s">
        <v>65</v>
      </c>
      <c r="I192" s="9" t="s">
        <v>109</v>
      </c>
      <c r="J192" s="9" t="n">
        <v>2</v>
      </c>
      <c r="K192" s="9" t="s">
        <v>110</v>
      </c>
      <c r="L192" s="9"/>
    </row>
    <row r="193" customFormat="false" ht="15" hidden="false" customHeight="false" outlineLevel="0" collapsed="false">
      <c r="A193" s="9" t="s">
        <v>484</v>
      </c>
      <c r="B193" s="9" t="s">
        <v>485</v>
      </c>
      <c r="C193" s="9" t="s">
        <v>94</v>
      </c>
      <c r="D193" s="9" t="s">
        <v>78</v>
      </c>
      <c r="E193" s="9" t="s">
        <v>108</v>
      </c>
      <c r="F193" s="12" t="n">
        <v>12.25</v>
      </c>
      <c r="G193" s="12" t="n">
        <v>79.42</v>
      </c>
      <c r="H193" s="9" t="s">
        <v>65</v>
      </c>
      <c r="I193" s="9" t="s">
        <v>109</v>
      </c>
      <c r="J193" s="9" t="n">
        <v>2</v>
      </c>
      <c r="K193" s="9" t="s">
        <v>110</v>
      </c>
      <c r="L193" s="9"/>
    </row>
    <row r="194" customFormat="false" ht="15" hidden="false" customHeight="false" outlineLevel="0" collapsed="false">
      <c r="A194" s="9" t="s">
        <v>486</v>
      </c>
      <c r="B194" s="9" t="s">
        <v>487</v>
      </c>
      <c r="C194" s="9" t="s">
        <v>94</v>
      </c>
      <c r="D194" s="9" t="s">
        <v>78</v>
      </c>
      <c r="E194" s="9" t="s">
        <v>108</v>
      </c>
      <c r="F194" s="12" t="n">
        <v>8.49</v>
      </c>
      <c r="G194" s="12" t="n">
        <v>78.12</v>
      </c>
      <c r="H194" s="9" t="s">
        <v>65</v>
      </c>
      <c r="I194" s="9" t="s">
        <v>109</v>
      </c>
      <c r="J194" s="9" t="n">
        <v>2</v>
      </c>
      <c r="K194" s="9" t="s">
        <v>110</v>
      </c>
      <c r="L194" s="9"/>
    </row>
    <row r="195" customFormat="false" ht="15" hidden="false" customHeight="false" outlineLevel="0" collapsed="false">
      <c r="A195" s="9" t="s">
        <v>488</v>
      </c>
      <c r="B195" s="9" t="s">
        <v>489</v>
      </c>
      <c r="C195" s="9" t="s">
        <v>94</v>
      </c>
      <c r="D195" s="9" t="s">
        <v>78</v>
      </c>
      <c r="E195" s="9" t="s">
        <v>108</v>
      </c>
      <c r="F195" s="12" t="n">
        <v>10.45</v>
      </c>
      <c r="G195" s="12" t="n">
        <v>77.52</v>
      </c>
      <c r="H195" s="9" t="s">
        <v>65</v>
      </c>
      <c r="I195" s="9" t="s">
        <v>109</v>
      </c>
      <c r="J195" s="9" t="n">
        <v>2</v>
      </c>
      <c r="K195" s="9" t="s">
        <v>110</v>
      </c>
      <c r="L195" s="9"/>
    </row>
    <row r="196" customFormat="false" ht="15" hidden="false" customHeight="false" outlineLevel="0" collapsed="false">
      <c r="A196" s="9" t="s">
        <v>490</v>
      </c>
      <c r="B196" s="9" t="s">
        <v>491</v>
      </c>
      <c r="C196" s="9" t="s">
        <v>94</v>
      </c>
      <c r="D196" s="9" t="s">
        <v>78</v>
      </c>
      <c r="E196" s="9" t="s">
        <v>108</v>
      </c>
      <c r="F196" s="12" t="n">
        <v>12.18</v>
      </c>
      <c r="G196" s="12" t="n">
        <v>78.85</v>
      </c>
      <c r="H196" s="9" t="s">
        <v>87</v>
      </c>
      <c r="I196" s="9" t="s">
        <v>109</v>
      </c>
      <c r="J196" s="9" t="n">
        <v>2</v>
      </c>
      <c r="K196" s="9" t="s">
        <v>110</v>
      </c>
      <c r="L196" s="9"/>
    </row>
    <row r="197" customFormat="false" ht="15" hidden="false" customHeight="false" outlineLevel="0" collapsed="false">
      <c r="A197" s="9" t="s">
        <v>492</v>
      </c>
      <c r="B197" s="9" t="s">
        <v>493</v>
      </c>
      <c r="C197" s="9" t="s">
        <v>94</v>
      </c>
      <c r="D197" s="9" t="s">
        <v>78</v>
      </c>
      <c r="E197" s="9" t="s">
        <v>108</v>
      </c>
      <c r="F197" s="12" t="n">
        <v>12.58</v>
      </c>
      <c r="G197" s="12" t="n">
        <v>78.64</v>
      </c>
      <c r="H197" s="9" t="s">
        <v>87</v>
      </c>
      <c r="I197" s="9" t="s">
        <v>109</v>
      </c>
      <c r="J197" s="9" t="n">
        <v>2</v>
      </c>
      <c r="K197" s="9" t="s">
        <v>110</v>
      </c>
      <c r="L197" s="9"/>
    </row>
    <row r="198" customFormat="false" ht="15" hidden="false" customHeight="false" outlineLevel="0" collapsed="false">
      <c r="A198" s="9" t="s">
        <v>494</v>
      </c>
      <c r="B198" s="9" t="s">
        <v>495</v>
      </c>
      <c r="C198" s="9" t="s">
        <v>94</v>
      </c>
      <c r="D198" s="9" t="s">
        <v>78</v>
      </c>
      <c r="E198" s="9" t="s">
        <v>108</v>
      </c>
      <c r="F198" s="12" t="n">
        <v>11.14</v>
      </c>
      <c r="G198" s="12" t="n">
        <v>79.85</v>
      </c>
      <c r="H198" s="9" t="s">
        <v>87</v>
      </c>
      <c r="I198" s="9" t="s">
        <v>109</v>
      </c>
      <c r="J198" s="9" t="n">
        <v>2</v>
      </c>
      <c r="K198" s="9" t="s">
        <v>110</v>
      </c>
      <c r="L198" s="9"/>
    </row>
    <row r="199" customFormat="false" ht="15" hidden="false" customHeight="false" outlineLevel="0" collapsed="false">
      <c r="A199" s="9" t="s">
        <v>496</v>
      </c>
      <c r="B199" s="9" t="s">
        <v>497</v>
      </c>
      <c r="C199" s="9" t="s">
        <v>82</v>
      </c>
      <c r="D199" s="9" t="s">
        <v>78</v>
      </c>
      <c r="E199" s="9" t="s">
        <v>108</v>
      </c>
      <c r="F199" s="12" t="n">
        <v>9.49</v>
      </c>
      <c r="G199" s="12" t="n">
        <v>76.34</v>
      </c>
      <c r="H199" s="9" t="s">
        <v>65</v>
      </c>
      <c r="I199" s="9" t="s">
        <v>109</v>
      </c>
      <c r="J199" s="9" t="n">
        <v>2</v>
      </c>
      <c r="K199" s="9" t="s">
        <v>110</v>
      </c>
      <c r="L199" s="9"/>
    </row>
    <row r="200" customFormat="false" ht="15" hidden="false" customHeight="false" outlineLevel="0" collapsed="false">
      <c r="A200" s="9" t="s">
        <v>498</v>
      </c>
      <c r="B200" s="9" t="s">
        <v>499</v>
      </c>
      <c r="C200" s="9" t="s">
        <v>82</v>
      </c>
      <c r="D200" s="9" t="s">
        <v>78</v>
      </c>
      <c r="E200" s="9" t="s">
        <v>108</v>
      </c>
      <c r="F200" s="12" t="n">
        <v>9.62</v>
      </c>
      <c r="G200" s="12" t="n">
        <v>76.43</v>
      </c>
      <c r="H200" s="9" t="s">
        <v>87</v>
      </c>
      <c r="I200" s="9" t="s">
        <v>109</v>
      </c>
      <c r="J200" s="9" t="n">
        <v>2</v>
      </c>
      <c r="K200" s="9" t="s">
        <v>110</v>
      </c>
      <c r="L200" s="9"/>
    </row>
    <row r="201" customFormat="false" ht="15" hidden="false" customHeight="false" outlineLevel="0" collapsed="false">
      <c r="A201" s="9" t="s">
        <v>500</v>
      </c>
      <c r="B201" s="9" t="s">
        <v>501</v>
      </c>
      <c r="C201" s="9" t="s">
        <v>82</v>
      </c>
      <c r="D201" s="9" t="s">
        <v>78</v>
      </c>
      <c r="E201" s="9" t="s">
        <v>108</v>
      </c>
      <c r="F201" s="12" t="n">
        <v>9.6</v>
      </c>
      <c r="G201" s="12" t="n">
        <v>77.16</v>
      </c>
      <c r="H201" s="9" t="s">
        <v>87</v>
      </c>
      <c r="I201" s="9" t="s">
        <v>109</v>
      </c>
      <c r="J201" s="9" t="n">
        <v>2</v>
      </c>
      <c r="K201" s="9" t="s">
        <v>110</v>
      </c>
      <c r="L201" s="9"/>
    </row>
    <row r="202" customFormat="false" ht="15" hidden="false" customHeight="false" outlineLevel="0" collapsed="false">
      <c r="A202" s="9" t="s">
        <v>502</v>
      </c>
      <c r="B202" s="9" t="s">
        <v>503</v>
      </c>
      <c r="C202" s="9" t="s">
        <v>82</v>
      </c>
      <c r="D202" s="9" t="s">
        <v>78</v>
      </c>
      <c r="E202" s="9" t="s">
        <v>108</v>
      </c>
      <c r="F202" s="12" t="n">
        <v>11.69</v>
      </c>
      <c r="G202" s="12" t="n">
        <v>76.08</v>
      </c>
      <c r="H202" s="9" t="s">
        <v>87</v>
      </c>
      <c r="I202" s="9" t="s">
        <v>109</v>
      </c>
      <c r="J202" s="9" t="n">
        <v>2</v>
      </c>
      <c r="K202" s="9" t="s">
        <v>110</v>
      </c>
      <c r="L202" s="9"/>
    </row>
    <row r="203" customFormat="false" ht="15" hidden="false" customHeight="false" outlineLevel="0" collapsed="false">
      <c r="A203" s="9" t="s">
        <v>504</v>
      </c>
      <c r="B203" s="9" t="s">
        <v>505</v>
      </c>
      <c r="C203" s="9" t="s">
        <v>82</v>
      </c>
      <c r="D203" s="9" t="s">
        <v>78</v>
      </c>
      <c r="E203" s="9" t="s">
        <v>108</v>
      </c>
      <c r="F203" s="12" t="n">
        <v>8.4</v>
      </c>
      <c r="G203" s="12" t="n">
        <v>76.98</v>
      </c>
      <c r="H203" s="9" t="s">
        <v>87</v>
      </c>
      <c r="I203" s="9" t="s">
        <v>109</v>
      </c>
      <c r="J203" s="9" t="n">
        <v>2</v>
      </c>
      <c r="K203" s="9" t="s">
        <v>110</v>
      </c>
      <c r="L203" s="9"/>
    </row>
    <row r="204" customFormat="false" ht="15" hidden="false" customHeight="false" outlineLevel="0" collapsed="false">
      <c r="A204" s="9" t="s">
        <v>506</v>
      </c>
      <c r="B204" s="9" t="s">
        <v>507</v>
      </c>
      <c r="C204" s="9" t="s">
        <v>82</v>
      </c>
      <c r="D204" s="9" t="s">
        <v>78</v>
      </c>
      <c r="E204" s="9" t="s">
        <v>108</v>
      </c>
      <c r="F204" s="12" t="n">
        <v>8.73</v>
      </c>
      <c r="G204" s="12" t="n">
        <v>76.72</v>
      </c>
      <c r="H204" s="9" t="s">
        <v>65</v>
      </c>
      <c r="I204" s="9" t="s">
        <v>109</v>
      </c>
      <c r="J204" s="9" t="n">
        <v>2</v>
      </c>
      <c r="K204" s="9" t="s">
        <v>110</v>
      </c>
      <c r="L204" s="9"/>
    </row>
    <row r="205" customFormat="false" ht="15" hidden="false" customHeight="false" outlineLevel="0" collapsed="false">
      <c r="A205" s="9" t="s">
        <v>508</v>
      </c>
      <c r="B205" s="9" t="s">
        <v>509</v>
      </c>
      <c r="C205" s="9" t="s">
        <v>82</v>
      </c>
      <c r="D205" s="9" t="s">
        <v>78</v>
      </c>
      <c r="E205" s="9" t="s">
        <v>108</v>
      </c>
      <c r="F205" s="12" t="n">
        <v>8.52</v>
      </c>
      <c r="G205" s="12" t="n">
        <v>76.94</v>
      </c>
      <c r="H205" s="9" t="s">
        <v>65</v>
      </c>
      <c r="I205" s="9" t="s">
        <v>109</v>
      </c>
      <c r="J205" s="9" t="n">
        <v>2</v>
      </c>
      <c r="K205" s="9" t="s">
        <v>110</v>
      </c>
      <c r="L205" s="9"/>
    </row>
    <row r="206" customFormat="false" ht="15" hidden="false" customHeight="false" outlineLevel="0" collapsed="false">
      <c r="A206" s="9" t="s">
        <v>510</v>
      </c>
      <c r="B206" s="9" t="s">
        <v>511</v>
      </c>
      <c r="C206" s="9" t="s">
        <v>82</v>
      </c>
      <c r="D206" s="9" t="s">
        <v>78</v>
      </c>
      <c r="E206" s="9" t="s">
        <v>108</v>
      </c>
      <c r="F206" s="12" t="n">
        <v>11.25</v>
      </c>
      <c r="G206" s="12" t="n">
        <v>75.78</v>
      </c>
      <c r="H206" s="9" t="s">
        <v>65</v>
      </c>
      <c r="I206" s="9" t="s">
        <v>109</v>
      </c>
      <c r="J206" s="9" t="n">
        <v>2</v>
      </c>
      <c r="K206" s="9" t="s">
        <v>110</v>
      </c>
      <c r="L206" s="9"/>
    </row>
    <row r="207" customFormat="false" ht="15" hidden="false" customHeight="false" outlineLevel="0" collapsed="false">
      <c r="A207" s="9" t="s">
        <v>512</v>
      </c>
      <c r="B207" s="9" t="s">
        <v>513</v>
      </c>
      <c r="C207" s="9" t="s">
        <v>82</v>
      </c>
      <c r="D207" s="9" t="s">
        <v>78</v>
      </c>
      <c r="E207" s="9" t="s">
        <v>108</v>
      </c>
      <c r="F207" s="12" t="n">
        <v>11.87</v>
      </c>
      <c r="G207" s="12" t="n">
        <v>75.37</v>
      </c>
      <c r="H207" s="9" t="s">
        <v>65</v>
      </c>
      <c r="I207" s="9" t="s">
        <v>109</v>
      </c>
      <c r="J207" s="9" t="n">
        <v>2</v>
      </c>
      <c r="K207" s="9" t="s">
        <v>110</v>
      </c>
      <c r="L207" s="9"/>
    </row>
    <row r="208" customFormat="false" ht="15" hidden="false" customHeight="false" outlineLevel="0" collapsed="false">
      <c r="A208" s="9" t="s">
        <v>514</v>
      </c>
      <c r="B208" s="9" t="s">
        <v>515</v>
      </c>
      <c r="C208" s="9" t="s">
        <v>82</v>
      </c>
      <c r="D208" s="9" t="s">
        <v>78</v>
      </c>
      <c r="E208" s="9" t="s">
        <v>108</v>
      </c>
      <c r="F208" s="12" t="n">
        <v>12.39</v>
      </c>
      <c r="G208" s="12" t="n">
        <v>75.03</v>
      </c>
      <c r="H208" s="9" t="s">
        <v>87</v>
      </c>
      <c r="I208" s="9" t="s">
        <v>109</v>
      </c>
      <c r="J208" s="9" t="n">
        <v>2</v>
      </c>
      <c r="K208" s="9" t="s">
        <v>110</v>
      </c>
      <c r="L208" s="9"/>
    </row>
    <row r="209" customFormat="false" ht="15" hidden="false" customHeight="false" outlineLevel="0" collapsed="false">
      <c r="A209" s="9" t="s">
        <v>516</v>
      </c>
      <c r="B209" s="9" t="s">
        <v>517</v>
      </c>
      <c r="C209" s="9" t="s">
        <v>82</v>
      </c>
      <c r="D209" s="9" t="s">
        <v>78</v>
      </c>
      <c r="E209" s="9" t="s">
        <v>108</v>
      </c>
      <c r="F209" s="12" t="n">
        <v>9.69</v>
      </c>
      <c r="G209" s="12" t="n">
        <v>76.9</v>
      </c>
      <c r="H209" s="9" t="s">
        <v>87</v>
      </c>
      <c r="I209" s="9" t="s">
        <v>109</v>
      </c>
      <c r="J209" s="9" t="n">
        <v>2</v>
      </c>
      <c r="K209" s="9" t="s">
        <v>110</v>
      </c>
      <c r="L209" s="9"/>
    </row>
    <row r="210" customFormat="false" ht="15" hidden="false" customHeight="false" outlineLevel="0" collapsed="false">
      <c r="A210" s="9" t="s">
        <v>518</v>
      </c>
      <c r="B210" s="9" t="s">
        <v>519</v>
      </c>
      <c r="C210" s="9" t="s">
        <v>82</v>
      </c>
      <c r="D210" s="9" t="s">
        <v>78</v>
      </c>
      <c r="E210" s="9" t="s">
        <v>108</v>
      </c>
      <c r="F210" s="12" t="n">
        <v>8.76</v>
      </c>
      <c r="G210" s="12" t="n">
        <v>77.11</v>
      </c>
      <c r="H210" s="9" t="s">
        <v>87</v>
      </c>
      <c r="I210" s="9" t="s">
        <v>109</v>
      </c>
      <c r="J210" s="9" t="n">
        <v>2</v>
      </c>
      <c r="K210" s="9" t="s">
        <v>110</v>
      </c>
      <c r="L210" s="9"/>
    </row>
    <row r="211" customFormat="false" ht="15" hidden="false" customHeight="false" outlineLevel="0" collapsed="false">
      <c r="A211" s="9" t="s">
        <v>520</v>
      </c>
      <c r="B211" s="9" t="s">
        <v>521</v>
      </c>
      <c r="C211" s="9" t="s">
        <v>82</v>
      </c>
      <c r="D211" s="9" t="s">
        <v>78</v>
      </c>
      <c r="E211" s="9" t="s">
        <v>108</v>
      </c>
      <c r="F211" s="12" t="n">
        <v>10.29</v>
      </c>
      <c r="G211" s="12" t="n">
        <v>76.57</v>
      </c>
      <c r="H211" s="9" t="s">
        <v>87</v>
      </c>
      <c r="I211" s="9" t="s">
        <v>109</v>
      </c>
      <c r="J211" s="9" t="n">
        <v>2</v>
      </c>
      <c r="K211" s="9" t="s">
        <v>110</v>
      </c>
      <c r="L211" s="9"/>
    </row>
    <row r="212" customFormat="false" ht="15" hidden="false" customHeight="false" outlineLevel="0" collapsed="false">
      <c r="A212" s="9" t="s">
        <v>522</v>
      </c>
      <c r="B212" s="9" t="s">
        <v>523</v>
      </c>
      <c r="C212" s="9" t="s">
        <v>82</v>
      </c>
      <c r="D212" s="9" t="s">
        <v>78</v>
      </c>
      <c r="E212" s="9" t="s">
        <v>108</v>
      </c>
      <c r="F212" s="12" t="n">
        <v>9.6</v>
      </c>
      <c r="G212" s="12" t="n">
        <v>76.3</v>
      </c>
      <c r="H212" s="9" t="s">
        <v>87</v>
      </c>
      <c r="I212" s="9" t="s">
        <v>109</v>
      </c>
      <c r="J212" s="9" t="n">
        <v>2</v>
      </c>
      <c r="K212" s="9" t="s">
        <v>110</v>
      </c>
      <c r="L212" s="9"/>
    </row>
    <row r="213" customFormat="false" ht="15" hidden="false" customHeight="false" outlineLevel="0" collapsed="false">
      <c r="A213" s="9" t="s">
        <v>524</v>
      </c>
      <c r="B213" s="9" t="s">
        <v>525</v>
      </c>
      <c r="C213" s="9" t="s">
        <v>82</v>
      </c>
      <c r="D213" s="9" t="s">
        <v>78</v>
      </c>
      <c r="E213" s="9" t="s">
        <v>108</v>
      </c>
      <c r="F213" s="12" t="n">
        <v>9.96</v>
      </c>
      <c r="G213" s="12" t="n">
        <v>76.24</v>
      </c>
      <c r="H213" s="9" t="s">
        <v>87</v>
      </c>
      <c r="I213" s="9" t="s">
        <v>109</v>
      </c>
      <c r="J213" s="9" t="n">
        <v>2</v>
      </c>
      <c r="K213" s="9" t="s">
        <v>110</v>
      </c>
      <c r="L213" s="9" t="s">
        <v>526</v>
      </c>
    </row>
    <row r="214" customFormat="false" ht="15" hidden="false" customHeight="false" outlineLevel="0" collapsed="false">
      <c r="A214" s="9" t="s">
        <v>527</v>
      </c>
      <c r="B214" s="9" t="s">
        <v>528</v>
      </c>
      <c r="C214" s="9" t="s">
        <v>82</v>
      </c>
      <c r="D214" s="9" t="s">
        <v>78</v>
      </c>
      <c r="E214" s="9" t="s">
        <v>108</v>
      </c>
      <c r="F214" s="12" t="n">
        <v>8.89</v>
      </c>
      <c r="G214" s="12" t="n">
        <v>76.61</v>
      </c>
      <c r="H214" s="9" t="s">
        <v>65</v>
      </c>
      <c r="I214" s="9" t="s">
        <v>109</v>
      </c>
      <c r="J214" s="9" t="n">
        <v>2</v>
      </c>
      <c r="K214" s="9" t="s">
        <v>110</v>
      </c>
      <c r="L214" s="9"/>
    </row>
    <row r="215" customFormat="false" ht="15" hidden="false" customHeight="false" outlineLevel="0" collapsed="false">
      <c r="A215" s="9" t="s">
        <v>529</v>
      </c>
      <c r="B215" s="9" t="s">
        <v>530</v>
      </c>
      <c r="C215" s="9" t="s">
        <v>82</v>
      </c>
      <c r="D215" s="9" t="s">
        <v>78</v>
      </c>
      <c r="E215" s="9" t="s">
        <v>108</v>
      </c>
      <c r="F215" s="12" t="n">
        <v>8.32</v>
      </c>
      <c r="G215" s="12" t="n">
        <v>77.07</v>
      </c>
      <c r="H215" s="9" t="s">
        <v>87</v>
      </c>
      <c r="I215" s="9" t="s">
        <v>109</v>
      </c>
      <c r="J215" s="9" t="n">
        <v>2</v>
      </c>
      <c r="K215" s="9" t="s">
        <v>110</v>
      </c>
      <c r="L215" s="9"/>
    </row>
    <row r="216" customFormat="false" ht="15" hidden="false" customHeight="false" outlineLevel="0" collapsed="false">
      <c r="A216" s="9" t="s">
        <v>531</v>
      </c>
      <c r="B216" s="9" t="s">
        <v>532</v>
      </c>
      <c r="C216" s="9" t="s">
        <v>82</v>
      </c>
      <c r="D216" s="9" t="s">
        <v>78</v>
      </c>
      <c r="E216" s="9" t="s">
        <v>108</v>
      </c>
      <c r="F216" s="12" t="n">
        <v>9.85</v>
      </c>
      <c r="G216" s="12" t="n">
        <v>76.97</v>
      </c>
      <c r="H216" s="9" t="s">
        <v>87</v>
      </c>
      <c r="I216" s="9" t="s">
        <v>109</v>
      </c>
      <c r="J216" s="9" t="n">
        <v>2</v>
      </c>
      <c r="K216" s="9" t="s">
        <v>110</v>
      </c>
      <c r="L216" s="9"/>
    </row>
    <row r="217" customFormat="false" ht="15" hidden="false" customHeight="false" outlineLevel="0" collapsed="false">
      <c r="A217" s="9" t="s">
        <v>533</v>
      </c>
      <c r="B217" s="9" t="s">
        <v>534</v>
      </c>
      <c r="C217" s="9" t="s">
        <v>82</v>
      </c>
      <c r="D217" s="9" t="s">
        <v>78</v>
      </c>
      <c r="E217" s="9" t="s">
        <v>108</v>
      </c>
      <c r="F217" s="12" t="n">
        <v>11.08</v>
      </c>
      <c r="G217" s="12" t="n">
        <v>76.44</v>
      </c>
      <c r="H217" s="9" t="s">
        <v>87</v>
      </c>
      <c r="I217" s="9" t="s">
        <v>109</v>
      </c>
      <c r="J217" s="9" t="n">
        <v>2</v>
      </c>
      <c r="K217" s="9" t="s">
        <v>110</v>
      </c>
      <c r="L217" s="9"/>
    </row>
    <row r="218" customFormat="false" ht="15" hidden="false" customHeight="false" outlineLevel="0" collapsed="false">
      <c r="A218" s="9" t="s">
        <v>535</v>
      </c>
      <c r="B218" s="9" t="s">
        <v>536</v>
      </c>
      <c r="C218" s="9" t="s">
        <v>82</v>
      </c>
      <c r="D218" s="9" t="s">
        <v>78</v>
      </c>
      <c r="E218" s="9" t="s">
        <v>108</v>
      </c>
      <c r="F218" s="12" t="n">
        <v>9.47</v>
      </c>
      <c r="G218" s="12" t="n">
        <v>77.17</v>
      </c>
      <c r="H218" s="9" t="s">
        <v>87</v>
      </c>
      <c r="I218" s="9" t="s">
        <v>109</v>
      </c>
      <c r="J218" s="9" t="n">
        <v>2</v>
      </c>
      <c r="K218" s="9" t="s">
        <v>110</v>
      </c>
      <c r="L218" s="9" t="s">
        <v>537</v>
      </c>
    </row>
    <row r="219" customFormat="false" ht="15" hidden="false" customHeight="false" outlineLevel="0" collapsed="false">
      <c r="A219" s="9" t="s">
        <v>538</v>
      </c>
      <c r="B219" s="9" t="s">
        <v>539</v>
      </c>
      <c r="C219" s="9" t="s">
        <v>82</v>
      </c>
      <c r="D219" s="9" t="s">
        <v>78</v>
      </c>
      <c r="E219" s="9" t="s">
        <v>108</v>
      </c>
      <c r="F219" s="12" t="n">
        <v>10.59</v>
      </c>
      <c r="G219" s="12" t="n">
        <v>76.04</v>
      </c>
      <c r="H219" s="9" t="s">
        <v>65</v>
      </c>
      <c r="I219" s="9" t="s">
        <v>109</v>
      </c>
      <c r="J219" s="9" t="n">
        <v>2</v>
      </c>
      <c r="K219" s="9" t="s">
        <v>110</v>
      </c>
      <c r="L219" s="9"/>
    </row>
    <row r="220" customFormat="false" ht="15" hidden="false" customHeight="false" outlineLevel="0" collapsed="false">
      <c r="A220" s="9" t="s">
        <v>540</v>
      </c>
      <c r="B220" s="9" t="s">
        <v>541</v>
      </c>
      <c r="C220" s="9" t="s">
        <v>82</v>
      </c>
      <c r="D220" s="9" t="s">
        <v>78</v>
      </c>
      <c r="E220" s="9" t="s">
        <v>108</v>
      </c>
      <c r="F220" s="12" t="n">
        <v>9.44</v>
      </c>
      <c r="G220" s="12" t="n">
        <v>77.08</v>
      </c>
      <c r="H220" s="9" t="s">
        <v>87</v>
      </c>
      <c r="I220" s="9" t="s">
        <v>109</v>
      </c>
      <c r="J220" s="9" t="n">
        <v>2</v>
      </c>
      <c r="K220" s="9" t="s">
        <v>110</v>
      </c>
      <c r="L220" s="9"/>
    </row>
    <row r="221" customFormat="false" ht="15" hidden="false" customHeight="false" outlineLevel="0" collapsed="false">
      <c r="A221" s="9" t="s">
        <v>542</v>
      </c>
      <c r="B221" s="9" t="s">
        <v>543</v>
      </c>
      <c r="C221" s="9" t="s">
        <v>82</v>
      </c>
      <c r="D221" s="9" t="s">
        <v>78</v>
      </c>
      <c r="E221" s="9" t="s">
        <v>108</v>
      </c>
      <c r="F221" s="12" t="n">
        <v>10.53</v>
      </c>
      <c r="G221" s="12" t="n">
        <v>76.21</v>
      </c>
      <c r="H221" s="9" t="s">
        <v>65</v>
      </c>
      <c r="I221" s="9" t="s">
        <v>109</v>
      </c>
      <c r="J221" s="9" t="n">
        <v>2</v>
      </c>
      <c r="K221" s="9" t="s">
        <v>110</v>
      </c>
      <c r="L221" s="9"/>
    </row>
    <row r="222" customFormat="false" ht="15" hidden="false" customHeight="false" outlineLevel="0" collapsed="false">
      <c r="A222" s="9" t="s">
        <v>544</v>
      </c>
      <c r="B222" s="9" t="s">
        <v>545</v>
      </c>
      <c r="C222" s="9" t="s">
        <v>546</v>
      </c>
      <c r="D222" s="9" t="s">
        <v>78</v>
      </c>
      <c r="E222" s="9" t="s">
        <v>108</v>
      </c>
      <c r="F222" s="12" t="n">
        <v>17.69</v>
      </c>
      <c r="G222" s="12" t="n">
        <v>83.22</v>
      </c>
      <c r="H222" s="9" t="s">
        <v>65</v>
      </c>
      <c r="I222" s="9" t="s">
        <v>109</v>
      </c>
      <c r="J222" s="9" t="n">
        <v>2</v>
      </c>
      <c r="K222" s="9" t="s">
        <v>110</v>
      </c>
      <c r="L222" s="9"/>
    </row>
    <row r="223" customFormat="false" ht="15" hidden="false" customHeight="false" outlineLevel="0" collapsed="false">
      <c r="A223" s="9" t="s">
        <v>547</v>
      </c>
      <c r="B223" s="9" t="s">
        <v>548</v>
      </c>
      <c r="C223" s="9" t="s">
        <v>546</v>
      </c>
      <c r="D223" s="9" t="s">
        <v>78</v>
      </c>
      <c r="E223" s="9" t="s">
        <v>108</v>
      </c>
      <c r="F223" s="12" t="n">
        <v>13.63</v>
      </c>
      <c r="G223" s="12" t="n">
        <v>79.42</v>
      </c>
      <c r="H223" s="9" t="s">
        <v>65</v>
      </c>
      <c r="I223" s="9" t="s">
        <v>109</v>
      </c>
      <c r="J223" s="9" t="n">
        <v>2</v>
      </c>
      <c r="K223" s="9" t="s">
        <v>110</v>
      </c>
      <c r="L223" s="9"/>
    </row>
    <row r="224" customFormat="false" ht="15" hidden="false" customHeight="false" outlineLevel="0" collapsed="false">
      <c r="A224" s="9" t="s">
        <v>549</v>
      </c>
      <c r="B224" s="9" t="s">
        <v>550</v>
      </c>
      <c r="C224" s="9" t="s">
        <v>546</v>
      </c>
      <c r="D224" s="9" t="s">
        <v>78</v>
      </c>
      <c r="E224" s="9" t="s">
        <v>108</v>
      </c>
      <c r="F224" s="12" t="n">
        <v>16.51</v>
      </c>
      <c r="G224" s="12" t="n">
        <v>80.65</v>
      </c>
      <c r="H224" s="9" t="s">
        <v>65</v>
      </c>
      <c r="I224" s="9" t="s">
        <v>109</v>
      </c>
      <c r="J224" s="9" t="n">
        <v>2</v>
      </c>
      <c r="K224" s="9" t="s">
        <v>110</v>
      </c>
      <c r="L224" s="9"/>
    </row>
    <row r="225" customFormat="false" ht="15" hidden="false" customHeight="false" outlineLevel="0" collapsed="false">
      <c r="A225" s="9" t="s">
        <v>551</v>
      </c>
      <c r="B225" s="9" t="s">
        <v>552</v>
      </c>
      <c r="C225" s="9" t="s">
        <v>546</v>
      </c>
      <c r="D225" s="9" t="s">
        <v>78</v>
      </c>
      <c r="E225" s="9" t="s">
        <v>108</v>
      </c>
      <c r="F225" s="12" t="n">
        <v>18.33</v>
      </c>
      <c r="G225" s="12" t="n">
        <v>82.88</v>
      </c>
      <c r="H225" s="9" t="s">
        <v>87</v>
      </c>
      <c r="I225" s="9" t="s">
        <v>109</v>
      </c>
      <c r="J225" s="9" t="n">
        <v>2</v>
      </c>
      <c r="K225" s="9" t="s">
        <v>110</v>
      </c>
      <c r="L225" s="9"/>
    </row>
    <row r="226" customFormat="false" ht="15" hidden="false" customHeight="false" outlineLevel="0" collapsed="false">
      <c r="A226" s="9" t="s">
        <v>553</v>
      </c>
      <c r="B226" s="9" t="s">
        <v>554</v>
      </c>
      <c r="C226" s="9" t="s">
        <v>546</v>
      </c>
      <c r="D226" s="9" t="s">
        <v>78</v>
      </c>
      <c r="E226" s="9" t="s">
        <v>108</v>
      </c>
      <c r="F226" s="12" t="n">
        <v>16.57</v>
      </c>
      <c r="G226" s="12" t="n">
        <v>80.36</v>
      </c>
      <c r="H226" s="9" t="s">
        <v>65</v>
      </c>
      <c r="I226" s="9" t="s">
        <v>109</v>
      </c>
      <c r="J226" s="9" t="n">
        <v>2</v>
      </c>
      <c r="K226" s="9" t="s">
        <v>110</v>
      </c>
      <c r="L226" s="9"/>
    </row>
    <row r="227" customFormat="false" ht="15" hidden="false" customHeight="false" outlineLevel="0" collapsed="false">
      <c r="A227" s="9" t="s">
        <v>555</v>
      </c>
      <c r="B227" s="9" t="s">
        <v>556</v>
      </c>
      <c r="C227" s="9" t="s">
        <v>546</v>
      </c>
      <c r="D227" s="9" t="s">
        <v>78</v>
      </c>
      <c r="E227" s="9" t="s">
        <v>108</v>
      </c>
      <c r="F227" s="12" t="n">
        <v>16.07</v>
      </c>
      <c r="G227" s="12" t="n">
        <v>78.87</v>
      </c>
      <c r="H227" s="9" t="s">
        <v>65</v>
      </c>
      <c r="I227" s="9" t="s">
        <v>109</v>
      </c>
      <c r="J227" s="9" t="n">
        <v>2</v>
      </c>
      <c r="K227" s="9" t="s">
        <v>110</v>
      </c>
      <c r="L227" s="9"/>
    </row>
    <row r="228" customFormat="false" ht="15" hidden="false" customHeight="false" outlineLevel="0" collapsed="false">
      <c r="A228" s="9" t="s">
        <v>557</v>
      </c>
      <c r="B228" s="9" t="s">
        <v>558</v>
      </c>
      <c r="C228" s="9" t="s">
        <v>546</v>
      </c>
      <c r="D228" s="9" t="s">
        <v>78</v>
      </c>
      <c r="E228" s="9" t="s">
        <v>108</v>
      </c>
      <c r="F228" s="12" t="n">
        <v>17</v>
      </c>
      <c r="G228" s="12" t="n">
        <v>81.8</v>
      </c>
      <c r="H228" s="9" t="s">
        <v>65</v>
      </c>
      <c r="I228" s="9" t="s">
        <v>109</v>
      </c>
      <c r="J228" s="9" t="n">
        <v>2</v>
      </c>
      <c r="K228" s="9" t="s">
        <v>110</v>
      </c>
      <c r="L228" s="9"/>
    </row>
    <row r="229" customFormat="false" ht="15" hidden="false" customHeight="false" outlineLevel="0" collapsed="false">
      <c r="A229" s="9" t="s">
        <v>559</v>
      </c>
      <c r="B229" s="9" t="s">
        <v>560</v>
      </c>
      <c r="C229" s="9" t="s">
        <v>546</v>
      </c>
      <c r="D229" s="9" t="s">
        <v>78</v>
      </c>
      <c r="E229" s="9" t="s">
        <v>108</v>
      </c>
      <c r="F229" s="12" t="n">
        <v>14.81</v>
      </c>
      <c r="G229" s="12" t="n">
        <v>78.28</v>
      </c>
      <c r="H229" s="9" t="s">
        <v>87</v>
      </c>
      <c r="I229" s="9" t="s">
        <v>109</v>
      </c>
      <c r="J229" s="9" t="n">
        <v>2</v>
      </c>
      <c r="K229" s="9" t="s">
        <v>110</v>
      </c>
      <c r="L229" s="9"/>
    </row>
    <row r="230" customFormat="false" ht="15" hidden="false" customHeight="false" outlineLevel="0" collapsed="false">
      <c r="A230" s="9" t="s">
        <v>561</v>
      </c>
      <c r="B230" s="9" t="s">
        <v>562</v>
      </c>
      <c r="C230" s="9" t="s">
        <v>546</v>
      </c>
      <c r="D230" s="9" t="s">
        <v>78</v>
      </c>
      <c r="E230" s="9" t="s">
        <v>108</v>
      </c>
      <c r="F230" s="12" t="n">
        <v>13.8</v>
      </c>
      <c r="G230" s="12" t="n">
        <v>77.61</v>
      </c>
      <c r="H230" s="9" t="s">
        <v>87</v>
      </c>
      <c r="I230" s="9" t="s">
        <v>109</v>
      </c>
      <c r="J230" s="9" t="n">
        <v>2</v>
      </c>
      <c r="K230" s="9" t="s">
        <v>110</v>
      </c>
      <c r="L230" s="9"/>
    </row>
    <row r="231" customFormat="false" ht="15" hidden="false" customHeight="false" outlineLevel="0" collapsed="false">
      <c r="A231" s="9" t="s">
        <v>563</v>
      </c>
      <c r="B231" s="9" t="s">
        <v>564</v>
      </c>
      <c r="C231" s="9" t="s">
        <v>546</v>
      </c>
      <c r="D231" s="9" t="s">
        <v>78</v>
      </c>
      <c r="E231" s="9" t="s">
        <v>108</v>
      </c>
      <c r="F231" s="12" t="n">
        <v>15.83</v>
      </c>
      <c r="G231" s="12" t="n">
        <v>78.04</v>
      </c>
      <c r="H231" s="9" t="s">
        <v>65</v>
      </c>
      <c r="I231" s="9" t="s">
        <v>109</v>
      </c>
      <c r="J231" s="9" t="n">
        <v>2</v>
      </c>
      <c r="K231" s="9" t="s">
        <v>110</v>
      </c>
      <c r="L231" s="9"/>
    </row>
    <row r="232" customFormat="false" ht="15" hidden="false" customHeight="false" outlineLevel="0" collapsed="false">
      <c r="A232" s="9" t="s">
        <v>565</v>
      </c>
      <c r="B232" s="9" t="s">
        <v>566</v>
      </c>
      <c r="C232" s="9" t="s">
        <v>546</v>
      </c>
      <c r="D232" s="9" t="s">
        <v>78</v>
      </c>
      <c r="E232" s="9" t="s">
        <v>108</v>
      </c>
      <c r="F232" s="12" t="n">
        <v>13.65</v>
      </c>
      <c r="G232" s="12" t="n">
        <v>78.4</v>
      </c>
      <c r="H232" s="9" t="s">
        <v>87</v>
      </c>
      <c r="I232" s="9" t="s">
        <v>109</v>
      </c>
      <c r="J232" s="9" t="n">
        <v>2</v>
      </c>
      <c r="K232" s="9" t="s">
        <v>110</v>
      </c>
      <c r="L232" s="9"/>
    </row>
    <row r="233" customFormat="false" ht="15" hidden="false" customHeight="false" outlineLevel="0" collapsed="false">
      <c r="A233" s="9" t="s">
        <v>567</v>
      </c>
      <c r="B233" s="9" t="s">
        <v>568</v>
      </c>
      <c r="C233" s="9" t="s">
        <v>546</v>
      </c>
      <c r="D233" s="9" t="s">
        <v>78</v>
      </c>
      <c r="E233" s="9" t="s">
        <v>108</v>
      </c>
      <c r="F233" s="12" t="n">
        <v>14.44</v>
      </c>
      <c r="G233" s="12" t="n">
        <v>79.99</v>
      </c>
      <c r="H233" s="9" t="s">
        <v>65</v>
      </c>
      <c r="I233" s="9" t="s">
        <v>109</v>
      </c>
      <c r="J233" s="9" t="n">
        <v>2</v>
      </c>
      <c r="K233" s="9" t="s">
        <v>110</v>
      </c>
      <c r="L233" s="9"/>
    </row>
    <row r="234" customFormat="false" ht="15" hidden="false" customHeight="false" outlineLevel="0" collapsed="false">
      <c r="A234" s="9" t="s">
        <v>569</v>
      </c>
      <c r="B234" s="9" t="s">
        <v>570</v>
      </c>
      <c r="C234" s="9" t="s">
        <v>546</v>
      </c>
      <c r="D234" s="9" t="s">
        <v>78</v>
      </c>
      <c r="E234" s="9" t="s">
        <v>108</v>
      </c>
      <c r="F234" s="12" t="n">
        <v>16.58</v>
      </c>
      <c r="G234" s="12" t="n">
        <v>82.01</v>
      </c>
      <c r="H234" s="9" t="s">
        <v>87</v>
      </c>
      <c r="I234" s="9" t="s">
        <v>109</v>
      </c>
      <c r="J234" s="9" t="n">
        <v>2</v>
      </c>
      <c r="K234" s="9" t="s">
        <v>110</v>
      </c>
      <c r="L234" s="9" t="s">
        <v>571</v>
      </c>
    </row>
    <row r="235" customFormat="false" ht="15" hidden="false" customHeight="false" outlineLevel="0" collapsed="false">
      <c r="A235" s="9" t="s">
        <v>572</v>
      </c>
      <c r="B235" s="9" t="s">
        <v>573</v>
      </c>
      <c r="C235" s="9" t="s">
        <v>546</v>
      </c>
      <c r="D235" s="9" t="s">
        <v>78</v>
      </c>
      <c r="E235" s="9" t="s">
        <v>108</v>
      </c>
      <c r="F235" s="12" t="n">
        <v>17.42</v>
      </c>
      <c r="G235" s="12" t="n">
        <v>81.55</v>
      </c>
      <c r="H235" s="9" t="s">
        <v>87</v>
      </c>
      <c r="I235" s="9" t="s">
        <v>109</v>
      </c>
      <c r="J235" s="9" t="n">
        <v>2</v>
      </c>
      <c r="K235" s="9" t="s">
        <v>110</v>
      </c>
      <c r="L235" s="9" t="s">
        <v>574</v>
      </c>
    </row>
    <row r="236" customFormat="false" ht="15" hidden="false" customHeight="false" outlineLevel="0" collapsed="false">
      <c r="A236" s="9" t="s">
        <v>575</v>
      </c>
      <c r="B236" s="9" t="s">
        <v>576</v>
      </c>
      <c r="C236" s="9" t="s">
        <v>546</v>
      </c>
      <c r="D236" s="9" t="s">
        <v>78</v>
      </c>
      <c r="E236" s="9" t="s">
        <v>108</v>
      </c>
      <c r="F236" s="12" t="n">
        <v>17.77</v>
      </c>
      <c r="G236" s="12" t="n">
        <v>83.25</v>
      </c>
      <c r="H236" s="9" t="s">
        <v>87</v>
      </c>
      <c r="I236" s="9" t="s">
        <v>109</v>
      </c>
      <c r="J236" s="9" t="n">
        <v>2</v>
      </c>
      <c r="K236" s="9" t="s">
        <v>110</v>
      </c>
      <c r="L236" s="9"/>
    </row>
    <row r="237" customFormat="false" ht="15" hidden="false" customHeight="false" outlineLevel="0" collapsed="false">
      <c r="A237" s="9" t="s">
        <v>577</v>
      </c>
      <c r="B237" s="9" t="s">
        <v>578</v>
      </c>
      <c r="C237" s="9" t="s">
        <v>546</v>
      </c>
      <c r="D237" s="9" t="s">
        <v>78</v>
      </c>
      <c r="E237" s="9" t="s">
        <v>108</v>
      </c>
      <c r="F237" s="12" t="n">
        <v>15.13</v>
      </c>
      <c r="G237" s="12" t="n">
        <v>78.73</v>
      </c>
      <c r="H237" s="9" t="s">
        <v>87</v>
      </c>
      <c r="I237" s="9" t="s">
        <v>109</v>
      </c>
      <c r="J237" s="9" t="n">
        <v>2</v>
      </c>
      <c r="K237" s="9" t="s">
        <v>110</v>
      </c>
      <c r="L237" s="9"/>
    </row>
    <row r="238" customFormat="false" ht="15" hidden="false" customHeight="false" outlineLevel="0" collapsed="false">
      <c r="A238" s="9" t="s">
        <v>579</v>
      </c>
      <c r="B238" s="9" t="s">
        <v>580</v>
      </c>
      <c r="C238" s="9" t="s">
        <v>546</v>
      </c>
      <c r="D238" s="9" t="s">
        <v>78</v>
      </c>
      <c r="E238" s="9" t="s">
        <v>108</v>
      </c>
      <c r="F238" s="12" t="n">
        <v>16.43</v>
      </c>
      <c r="G238" s="12" t="n">
        <v>80.57</v>
      </c>
      <c r="H238" s="9" t="s">
        <v>65</v>
      </c>
      <c r="I238" s="9" t="s">
        <v>109</v>
      </c>
      <c r="J238" s="9" t="n">
        <v>2</v>
      </c>
      <c r="K238" s="9" t="s">
        <v>110</v>
      </c>
      <c r="L238" s="9"/>
    </row>
    <row r="239" customFormat="false" ht="15" hidden="false" customHeight="false" outlineLevel="0" collapsed="false">
      <c r="A239" s="9" t="s">
        <v>581</v>
      </c>
      <c r="B239" s="9" t="s">
        <v>582</v>
      </c>
      <c r="C239" s="9" t="s">
        <v>546</v>
      </c>
      <c r="D239" s="9" t="s">
        <v>78</v>
      </c>
      <c r="E239" s="9" t="s">
        <v>108</v>
      </c>
      <c r="F239" s="12" t="n">
        <v>16.19</v>
      </c>
      <c r="G239" s="12" t="n">
        <v>81.14</v>
      </c>
      <c r="H239" s="9" t="s">
        <v>65</v>
      </c>
      <c r="I239" s="9" t="s">
        <v>109</v>
      </c>
      <c r="J239" s="9" t="n">
        <v>2</v>
      </c>
      <c r="K239" s="9" t="s">
        <v>110</v>
      </c>
      <c r="L239" s="9"/>
    </row>
    <row r="240" customFormat="false" ht="15" hidden="false" customHeight="false" outlineLevel="0" collapsed="false">
      <c r="A240" s="9" t="s">
        <v>583</v>
      </c>
      <c r="B240" s="9" t="s">
        <v>584</v>
      </c>
      <c r="C240" s="9" t="s">
        <v>546</v>
      </c>
      <c r="D240" s="9" t="s">
        <v>78</v>
      </c>
      <c r="E240" s="9" t="s">
        <v>108</v>
      </c>
      <c r="F240" s="12" t="n">
        <v>18.28</v>
      </c>
      <c r="G240" s="12" t="n">
        <v>83.04</v>
      </c>
      <c r="H240" s="9" t="s">
        <v>87</v>
      </c>
      <c r="I240" s="9" t="s">
        <v>109</v>
      </c>
      <c r="J240" s="9" t="n">
        <v>2</v>
      </c>
      <c r="K240" s="9" t="s">
        <v>110</v>
      </c>
      <c r="L240" s="9"/>
    </row>
    <row r="241" customFormat="false" ht="15" hidden="false" customHeight="false" outlineLevel="0" collapsed="false">
      <c r="A241" s="9" t="s">
        <v>585</v>
      </c>
      <c r="B241" s="9" t="s">
        <v>586</v>
      </c>
      <c r="C241" s="9" t="s">
        <v>546</v>
      </c>
      <c r="D241" s="9" t="s">
        <v>78</v>
      </c>
      <c r="E241" s="9" t="s">
        <v>108</v>
      </c>
      <c r="F241" s="12" t="n">
        <v>13.83</v>
      </c>
      <c r="G241" s="12" t="n">
        <v>79.25</v>
      </c>
      <c r="H241" s="9" t="s">
        <v>87</v>
      </c>
      <c r="I241" s="9" t="s">
        <v>109</v>
      </c>
      <c r="J241" s="9" t="n">
        <v>2</v>
      </c>
      <c r="K241" s="9" t="s">
        <v>110</v>
      </c>
      <c r="L241" s="9"/>
    </row>
    <row r="242" customFormat="false" ht="15" hidden="false" customHeight="false" outlineLevel="0" collapsed="false">
      <c r="A242" s="9" t="s">
        <v>587</v>
      </c>
      <c r="B242" s="9" t="s">
        <v>588</v>
      </c>
      <c r="C242" s="9" t="s">
        <v>589</v>
      </c>
      <c r="D242" s="9" t="s">
        <v>78</v>
      </c>
      <c r="E242" s="9" t="s">
        <v>108</v>
      </c>
      <c r="F242" s="12" t="n">
        <v>17.39</v>
      </c>
      <c r="G242" s="12" t="n">
        <v>78.49</v>
      </c>
      <c r="H242" s="9" t="s">
        <v>65</v>
      </c>
      <c r="I242" s="9" t="s">
        <v>109</v>
      </c>
      <c r="J242" s="9" t="n">
        <v>2</v>
      </c>
      <c r="K242" s="9" t="s">
        <v>110</v>
      </c>
      <c r="L242" s="9"/>
    </row>
    <row r="243" customFormat="false" ht="15" hidden="false" customHeight="false" outlineLevel="0" collapsed="false">
      <c r="A243" s="9" t="s">
        <v>590</v>
      </c>
      <c r="B243" s="9" t="s">
        <v>591</v>
      </c>
      <c r="C243" s="9" t="s">
        <v>589</v>
      </c>
      <c r="D243" s="9" t="s">
        <v>78</v>
      </c>
      <c r="E243" s="9" t="s">
        <v>108</v>
      </c>
      <c r="F243" s="12" t="n">
        <v>17.97</v>
      </c>
      <c r="G243" s="12" t="n">
        <v>79.59</v>
      </c>
      <c r="H243" s="9" t="s">
        <v>65</v>
      </c>
      <c r="I243" s="9" t="s">
        <v>109</v>
      </c>
      <c r="J243" s="9" t="n">
        <v>2</v>
      </c>
      <c r="K243" s="9" t="s">
        <v>110</v>
      </c>
      <c r="L243" s="9"/>
    </row>
    <row r="244" customFormat="false" ht="15" hidden="false" customHeight="false" outlineLevel="0" collapsed="false">
      <c r="A244" s="9" t="s">
        <v>592</v>
      </c>
      <c r="B244" s="9" t="s">
        <v>593</v>
      </c>
      <c r="C244" s="9" t="s">
        <v>589</v>
      </c>
      <c r="D244" s="9" t="s">
        <v>78</v>
      </c>
      <c r="E244" s="9" t="s">
        <v>108</v>
      </c>
      <c r="F244" s="12" t="n">
        <v>18.26</v>
      </c>
      <c r="G244" s="12" t="n">
        <v>79.94</v>
      </c>
      <c r="H244" s="9" t="s">
        <v>87</v>
      </c>
      <c r="I244" s="9" t="s">
        <v>109</v>
      </c>
      <c r="J244" s="9" t="n">
        <v>2</v>
      </c>
      <c r="K244" s="9" t="s">
        <v>110</v>
      </c>
      <c r="L244" s="9"/>
    </row>
    <row r="245" customFormat="false" ht="15" hidden="false" customHeight="false" outlineLevel="0" collapsed="false">
      <c r="A245" s="9" t="s">
        <v>594</v>
      </c>
      <c r="B245" s="9" t="s">
        <v>595</v>
      </c>
      <c r="C245" s="9" t="s">
        <v>589</v>
      </c>
      <c r="D245" s="9" t="s">
        <v>78</v>
      </c>
      <c r="E245" s="9" t="s">
        <v>108</v>
      </c>
      <c r="F245" s="12" t="n">
        <v>17.67</v>
      </c>
      <c r="G245" s="12" t="n">
        <v>80.89</v>
      </c>
      <c r="H245" s="9" t="s">
        <v>65</v>
      </c>
      <c r="I245" s="9" t="s">
        <v>109</v>
      </c>
      <c r="J245" s="9" t="n">
        <v>2</v>
      </c>
      <c r="K245" s="9" t="s">
        <v>110</v>
      </c>
      <c r="L245" s="9"/>
    </row>
    <row r="246" customFormat="false" ht="15" hidden="false" customHeight="false" outlineLevel="0" collapsed="false">
      <c r="A246" s="9" t="s">
        <v>596</v>
      </c>
      <c r="B246" s="9" t="s">
        <v>597</v>
      </c>
      <c r="C246" s="9" t="s">
        <v>589</v>
      </c>
      <c r="D246" s="9" t="s">
        <v>78</v>
      </c>
      <c r="E246" s="9" t="s">
        <v>108</v>
      </c>
      <c r="F246" s="12" t="n">
        <v>17.59</v>
      </c>
      <c r="G246" s="12" t="n">
        <v>78.94</v>
      </c>
      <c r="H246" s="9" t="s">
        <v>87</v>
      </c>
      <c r="I246" s="9" t="s">
        <v>109</v>
      </c>
      <c r="J246" s="9" t="n">
        <v>2</v>
      </c>
      <c r="K246" s="9" t="s">
        <v>110</v>
      </c>
      <c r="L246" s="9"/>
    </row>
    <row r="247" customFormat="false" ht="15" hidden="false" customHeight="false" outlineLevel="0" collapsed="false">
      <c r="A247" s="9" t="s">
        <v>598</v>
      </c>
      <c r="B247" s="9" t="s">
        <v>599</v>
      </c>
      <c r="C247" s="9" t="s">
        <v>589</v>
      </c>
      <c r="D247" s="9" t="s">
        <v>78</v>
      </c>
      <c r="E247" s="9" t="s">
        <v>108</v>
      </c>
      <c r="F247" s="12" t="n">
        <v>16.57</v>
      </c>
      <c r="G247" s="12" t="n">
        <v>79.31</v>
      </c>
      <c r="H247" s="9" t="s">
        <v>87</v>
      </c>
      <c r="I247" s="9" t="s">
        <v>109</v>
      </c>
      <c r="J247" s="9" t="n">
        <v>2</v>
      </c>
      <c r="K247" s="9" t="s">
        <v>110</v>
      </c>
      <c r="L247" s="9"/>
    </row>
    <row r="248" customFormat="false" ht="15" hidden="false" customHeight="false" outlineLevel="0" collapsed="false">
      <c r="A248" s="9" t="s">
        <v>600</v>
      </c>
      <c r="B248" s="9" t="s">
        <v>601</v>
      </c>
      <c r="C248" s="9" t="s">
        <v>589</v>
      </c>
      <c r="D248" s="9" t="s">
        <v>78</v>
      </c>
      <c r="E248" s="9" t="s">
        <v>108</v>
      </c>
      <c r="F248" s="12" t="n">
        <v>18.88</v>
      </c>
      <c r="G248" s="12" t="n">
        <v>77.96</v>
      </c>
      <c r="H248" s="9" t="s">
        <v>87</v>
      </c>
      <c r="I248" s="9" t="s">
        <v>109</v>
      </c>
      <c r="J248" s="9" t="n">
        <v>2</v>
      </c>
      <c r="K248" s="9" t="s">
        <v>110</v>
      </c>
      <c r="L248" s="9"/>
    </row>
    <row r="249" customFormat="false" ht="15" hidden="false" customHeight="false" outlineLevel="0" collapsed="false">
      <c r="A249" s="9" t="s">
        <v>602</v>
      </c>
      <c r="B249" s="9" t="s">
        <v>603</v>
      </c>
      <c r="C249" s="9" t="s">
        <v>589</v>
      </c>
      <c r="D249" s="9" t="s">
        <v>78</v>
      </c>
      <c r="E249" s="9" t="s">
        <v>108</v>
      </c>
      <c r="F249" s="12" t="n">
        <v>18.46</v>
      </c>
      <c r="G249" s="12" t="n">
        <v>78.87</v>
      </c>
      <c r="H249" s="9" t="s">
        <v>87</v>
      </c>
      <c r="I249" s="9" t="s">
        <v>109</v>
      </c>
      <c r="J249" s="9" t="n">
        <v>2</v>
      </c>
      <c r="K249" s="9" t="s">
        <v>110</v>
      </c>
      <c r="L249" s="9"/>
    </row>
    <row r="250" customFormat="false" ht="15" hidden="false" customHeight="false" outlineLevel="0" collapsed="false">
      <c r="A250" s="9" t="s">
        <v>604</v>
      </c>
      <c r="B250" s="9" t="s">
        <v>605</v>
      </c>
      <c r="C250" s="9" t="s">
        <v>589</v>
      </c>
      <c r="D250" s="9" t="s">
        <v>78</v>
      </c>
      <c r="E250" s="9" t="s">
        <v>108</v>
      </c>
      <c r="F250" s="12" t="n">
        <v>18.05</v>
      </c>
      <c r="G250" s="12" t="n">
        <v>78.26</v>
      </c>
      <c r="H250" s="9" t="s">
        <v>65</v>
      </c>
      <c r="I250" s="9" t="s">
        <v>109</v>
      </c>
      <c r="J250" s="9" t="n">
        <v>2</v>
      </c>
      <c r="K250" s="9" t="s">
        <v>110</v>
      </c>
      <c r="L250" s="9"/>
    </row>
    <row r="251" customFormat="false" ht="15" hidden="false" customHeight="false" outlineLevel="0" collapsed="false">
      <c r="A251" s="9" t="s">
        <v>606</v>
      </c>
      <c r="B251" s="9" t="s">
        <v>607</v>
      </c>
      <c r="C251" s="9" t="s">
        <v>589</v>
      </c>
      <c r="D251" s="9" t="s">
        <v>78</v>
      </c>
      <c r="E251" s="9" t="s">
        <v>108</v>
      </c>
      <c r="F251" s="12" t="n">
        <v>19.66</v>
      </c>
      <c r="G251" s="12" t="n">
        <v>78.53</v>
      </c>
      <c r="H251" s="9" t="s">
        <v>65</v>
      </c>
      <c r="I251" s="9" t="s">
        <v>109</v>
      </c>
      <c r="J251" s="9" t="n">
        <v>2</v>
      </c>
      <c r="K251" s="9" t="s">
        <v>110</v>
      </c>
      <c r="L251" s="9"/>
    </row>
    <row r="252" customFormat="false" ht="15" hidden="false" customHeight="false" outlineLevel="0" collapsed="false">
      <c r="A252" s="9" t="s">
        <v>608</v>
      </c>
      <c r="B252" s="9" t="s">
        <v>609</v>
      </c>
      <c r="C252" s="9" t="s">
        <v>589</v>
      </c>
      <c r="D252" s="9" t="s">
        <v>78</v>
      </c>
      <c r="E252" s="9" t="s">
        <v>108</v>
      </c>
      <c r="F252" s="12" t="n">
        <v>19.05</v>
      </c>
      <c r="G252" s="12" t="n">
        <v>78.64</v>
      </c>
      <c r="H252" s="9" t="s">
        <v>87</v>
      </c>
      <c r="I252" s="9" t="s">
        <v>109</v>
      </c>
      <c r="J252" s="9" t="n">
        <v>2</v>
      </c>
      <c r="K252" s="9" t="s">
        <v>110</v>
      </c>
      <c r="L252" s="9"/>
    </row>
    <row r="253" customFormat="false" ht="15" hidden="false" customHeight="false" outlineLevel="0" collapsed="false">
      <c r="A253" s="9" t="s">
        <v>610</v>
      </c>
      <c r="B253" s="9" t="s">
        <v>611</v>
      </c>
      <c r="C253" s="9" t="s">
        <v>589</v>
      </c>
      <c r="D253" s="9" t="s">
        <v>78</v>
      </c>
      <c r="E253" s="9" t="s">
        <v>108</v>
      </c>
      <c r="F253" s="12" t="n">
        <v>18.09</v>
      </c>
      <c r="G253" s="12" t="n">
        <v>79.96</v>
      </c>
      <c r="H253" s="9" t="s">
        <v>87</v>
      </c>
      <c r="I253" s="9" t="s">
        <v>109</v>
      </c>
      <c r="J253" s="9" t="n">
        <v>2</v>
      </c>
      <c r="K253" s="9" t="s">
        <v>110</v>
      </c>
      <c r="L253" s="9"/>
    </row>
    <row r="254" customFormat="false" ht="15" hidden="false" customHeight="false" outlineLevel="0" collapsed="false">
      <c r="A254" s="9" t="s">
        <v>612</v>
      </c>
      <c r="B254" s="9" t="s">
        <v>613</v>
      </c>
      <c r="C254" s="9" t="s">
        <v>589</v>
      </c>
      <c r="D254" s="9" t="s">
        <v>78</v>
      </c>
      <c r="E254" s="9" t="s">
        <v>108</v>
      </c>
      <c r="F254" s="12" t="n">
        <v>17.32</v>
      </c>
      <c r="G254" s="12" t="n">
        <v>77.87</v>
      </c>
      <c r="H254" s="9" t="s">
        <v>87</v>
      </c>
      <c r="I254" s="9" t="s">
        <v>109</v>
      </c>
      <c r="J254" s="9" t="n">
        <v>2</v>
      </c>
      <c r="K254" s="9" t="s">
        <v>110</v>
      </c>
      <c r="L254" s="9"/>
    </row>
    <row r="255" customFormat="false" ht="15" hidden="false" customHeight="false" outlineLevel="0" collapsed="false">
      <c r="A255" s="9" t="s">
        <v>614</v>
      </c>
      <c r="B255" s="9" t="s">
        <v>615</v>
      </c>
      <c r="C255" s="9" t="s">
        <v>589</v>
      </c>
      <c r="D255" s="9" t="s">
        <v>78</v>
      </c>
      <c r="E255" s="9" t="s">
        <v>108</v>
      </c>
      <c r="F255" s="12" t="n">
        <v>18.02</v>
      </c>
      <c r="G255" s="12" t="n">
        <v>78.18</v>
      </c>
      <c r="H255" s="9" t="s">
        <v>87</v>
      </c>
      <c r="I255" s="9" t="s">
        <v>109</v>
      </c>
      <c r="J255" s="9" t="n">
        <v>2</v>
      </c>
      <c r="K255" s="9" t="s">
        <v>110</v>
      </c>
      <c r="L255" s="9"/>
    </row>
    <row r="256" customFormat="false" ht="15" hidden="false" customHeight="false" outlineLevel="0" collapsed="false">
      <c r="A256" s="9" t="s">
        <v>616</v>
      </c>
      <c r="B256" s="9" t="s">
        <v>617</v>
      </c>
      <c r="C256" s="9" t="s">
        <v>589</v>
      </c>
      <c r="D256" s="9" t="s">
        <v>78</v>
      </c>
      <c r="E256" s="9" t="s">
        <v>108</v>
      </c>
      <c r="F256" s="12" t="n">
        <v>18</v>
      </c>
      <c r="G256" s="12" t="n">
        <v>79.57</v>
      </c>
      <c r="H256" s="9" t="s">
        <v>87</v>
      </c>
      <c r="I256" s="9" t="s">
        <v>109</v>
      </c>
      <c r="J256" s="9" t="n">
        <v>2</v>
      </c>
      <c r="K256" s="9" t="s">
        <v>110</v>
      </c>
      <c r="L256" s="9" t="s">
        <v>618</v>
      </c>
    </row>
    <row r="257" customFormat="false" ht="15" hidden="false" customHeight="false" outlineLevel="0" collapsed="false">
      <c r="A257" s="9" t="s">
        <v>619</v>
      </c>
      <c r="B257" s="9" t="s">
        <v>620</v>
      </c>
      <c r="C257" s="9" t="s">
        <v>621</v>
      </c>
      <c r="D257" s="9" t="s">
        <v>622</v>
      </c>
      <c r="E257" s="9" t="s">
        <v>108</v>
      </c>
      <c r="F257" s="12" t="n">
        <v>20.3</v>
      </c>
      <c r="G257" s="12" t="n">
        <v>85.82</v>
      </c>
      <c r="H257" s="9" t="s">
        <v>65</v>
      </c>
      <c r="I257" s="9" t="s">
        <v>109</v>
      </c>
      <c r="J257" s="9" t="n">
        <v>2</v>
      </c>
      <c r="K257" s="9" t="s">
        <v>110</v>
      </c>
      <c r="L257" s="9"/>
    </row>
    <row r="258" customFormat="false" ht="15" hidden="false" customHeight="false" outlineLevel="0" collapsed="false">
      <c r="A258" s="9" t="s">
        <v>623</v>
      </c>
      <c r="B258" s="9" t="s">
        <v>624</v>
      </c>
      <c r="C258" s="9" t="s">
        <v>621</v>
      </c>
      <c r="D258" s="9" t="s">
        <v>622</v>
      </c>
      <c r="E258" s="9" t="s">
        <v>108</v>
      </c>
      <c r="F258" s="12" t="n">
        <v>19.81</v>
      </c>
      <c r="G258" s="12" t="n">
        <v>85.83</v>
      </c>
      <c r="H258" s="9" t="s">
        <v>65</v>
      </c>
      <c r="I258" s="9" t="s">
        <v>109</v>
      </c>
      <c r="J258" s="9" t="n">
        <v>2</v>
      </c>
      <c r="K258" s="9" t="s">
        <v>110</v>
      </c>
      <c r="L258" s="9"/>
    </row>
    <row r="259" customFormat="false" ht="15" hidden="false" customHeight="false" outlineLevel="0" collapsed="false">
      <c r="A259" s="9" t="s">
        <v>625</v>
      </c>
      <c r="B259" s="9" t="s">
        <v>626</v>
      </c>
      <c r="C259" s="9" t="s">
        <v>621</v>
      </c>
      <c r="D259" s="9" t="s">
        <v>622</v>
      </c>
      <c r="E259" s="9" t="s">
        <v>108</v>
      </c>
      <c r="F259" s="12" t="n">
        <v>19.89</v>
      </c>
      <c r="G259" s="12" t="n">
        <v>86.09</v>
      </c>
      <c r="H259" s="9" t="s">
        <v>65</v>
      </c>
      <c r="I259" s="9" t="s">
        <v>109</v>
      </c>
      <c r="J259" s="9" t="n">
        <v>2</v>
      </c>
      <c r="K259" s="9" t="s">
        <v>110</v>
      </c>
      <c r="L259" s="9"/>
    </row>
    <row r="260" customFormat="false" ht="15" hidden="false" customHeight="false" outlineLevel="0" collapsed="false">
      <c r="A260" s="9" t="s">
        <v>627</v>
      </c>
      <c r="B260" s="9" t="s">
        <v>628</v>
      </c>
      <c r="C260" s="9" t="s">
        <v>621</v>
      </c>
      <c r="D260" s="9" t="s">
        <v>622</v>
      </c>
      <c r="E260" s="9" t="s">
        <v>108</v>
      </c>
      <c r="F260" s="12" t="n">
        <v>19.72</v>
      </c>
      <c r="G260" s="12" t="n">
        <v>85.32</v>
      </c>
      <c r="H260" s="9" t="s">
        <v>87</v>
      </c>
      <c r="I260" s="9" t="s">
        <v>109</v>
      </c>
      <c r="J260" s="9" t="n">
        <v>2</v>
      </c>
      <c r="K260" s="9" t="s">
        <v>110</v>
      </c>
      <c r="L260" s="9"/>
    </row>
    <row r="261" customFormat="false" ht="15" hidden="false" customHeight="false" outlineLevel="0" collapsed="false">
      <c r="A261" s="9" t="s">
        <v>629</v>
      </c>
      <c r="B261" s="9" t="s">
        <v>630</v>
      </c>
      <c r="C261" s="9" t="s">
        <v>621</v>
      </c>
      <c r="D261" s="9" t="s">
        <v>622</v>
      </c>
      <c r="E261" s="9" t="s">
        <v>108</v>
      </c>
      <c r="F261" s="12" t="n">
        <v>20.46</v>
      </c>
      <c r="G261" s="12" t="n">
        <v>85.88</v>
      </c>
      <c r="H261" s="9" t="s">
        <v>65</v>
      </c>
      <c r="I261" s="9" t="s">
        <v>109</v>
      </c>
      <c r="J261" s="9" t="n">
        <v>2</v>
      </c>
      <c r="K261" s="9" t="s">
        <v>110</v>
      </c>
      <c r="L261" s="9"/>
    </row>
    <row r="262" customFormat="false" ht="15" hidden="false" customHeight="false" outlineLevel="0" collapsed="false">
      <c r="A262" s="9" t="s">
        <v>631</v>
      </c>
      <c r="B262" s="9" t="s">
        <v>632</v>
      </c>
      <c r="C262" s="9" t="s">
        <v>621</v>
      </c>
      <c r="D262" s="9" t="s">
        <v>622</v>
      </c>
      <c r="E262" s="9" t="s">
        <v>108</v>
      </c>
      <c r="F262" s="12" t="n">
        <v>21.47</v>
      </c>
      <c r="G262" s="12" t="n">
        <v>83.98</v>
      </c>
      <c r="H262" s="9" t="s">
        <v>65</v>
      </c>
      <c r="I262" s="9" t="s">
        <v>109</v>
      </c>
      <c r="J262" s="9" t="n">
        <v>2</v>
      </c>
      <c r="K262" s="9" t="s">
        <v>110</v>
      </c>
      <c r="L262" s="9"/>
    </row>
    <row r="263" customFormat="false" ht="15" hidden="false" customHeight="false" outlineLevel="0" collapsed="false">
      <c r="A263" s="9" t="s">
        <v>633</v>
      </c>
      <c r="B263" s="9" t="s">
        <v>634</v>
      </c>
      <c r="C263" s="9" t="s">
        <v>621</v>
      </c>
      <c r="D263" s="9" t="s">
        <v>622</v>
      </c>
      <c r="E263" s="9" t="s">
        <v>108</v>
      </c>
      <c r="F263" s="12" t="n">
        <v>19.26</v>
      </c>
      <c r="G263" s="12" t="n">
        <v>84.91</v>
      </c>
      <c r="H263" s="9" t="s">
        <v>87</v>
      </c>
      <c r="I263" s="9" t="s">
        <v>109</v>
      </c>
      <c r="J263" s="9" t="n">
        <v>2</v>
      </c>
      <c r="K263" s="9" t="s">
        <v>110</v>
      </c>
      <c r="L263" s="9"/>
    </row>
    <row r="264" customFormat="false" ht="15" hidden="false" customHeight="false" outlineLevel="0" collapsed="false">
      <c r="A264" s="9" t="s">
        <v>635</v>
      </c>
      <c r="B264" s="9" t="s">
        <v>636</v>
      </c>
      <c r="C264" s="9" t="s">
        <v>621</v>
      </c>
      <c r="D264" s="9" t="s">
        <v>622</v>
      </c>
      <c r="E264" s="9" t="s">
        <v>108</v>
      </c>
      <c r="F264" s="12" t="n">
        <v>21.93</v>
      </c>
      <c r="G264" s="12" t="n">
        <v>86.72</v>
      </c>
      <c r="H264" s="9" t="s">
        <v>65</v>
      </c>
      <c r="I264" s="9" t="s">
        <v>109</v>
      </c>
      <c r="J264" s="9" t="n">
        <v>2</v>
      </c>
      <c r="K264" s="9" t="s">
        <v>110</v>
      </c>
      <c r="L264" s="9"/>
    </row>
    <row r="265" customFormat="false" ht="15" hidden="false" customHeight="false" outlineLevel="0" collapsed="false">
      <c r="A265" s="9" t="s">
        <v>637</v>
      </c>
      <c r="B265" s="9" t="s">
        <v>638</v>
      </c>
      <c r="C265" s="9" t="s">
        <v>621</v>
      </c>
      <c r="D265" s="9" t="s">
        <v>622</v>
      </c>
      <c r="E265" s="9" t="s">
        <v>108</v>
      </c>
      <c r="F265" s="12" t="n">
        <v>21.8</v>
      </c>
      <c r="G265" s="12" t="n">
        <v>86.33</v>
      </c>
      <c r="H265" s="9" t="s">
        <v>87</v>
      </c>
      <c r="I265" s="9" t="s">
        <v>109</v>
      </c>
      <c r="J265" s="9" t="n">
        <v>2</v>
      </c>
      <c r="K265" s="9" t="s">
        <v>110</v>
      </c>
      <c r="L265" s="9" t="s">
        <v>639</v>
      </c>
    </row>
    <row r="266" customFormat="false" ht="15" hidden="false" customHeight="false" outlineLevel="0" collapsed="false">
      <c r="A266" s="9" t="s">
        <v>640</v>
      </c>
      <c r="B266" s="9" t="s">
        <v>641</v>
      </c>
      <c r="C266" s="9" t="s">
        <v>621</v>
      </c>
      <c r="D266" s="9" t="s">
        <v>622</v>
      </c>
      <c r="E266" s="9" t="s">
        <v>108</v>
      </c>
      <c r="F266" s="12" t="n">
        <v>19.91</v>
      </c>
      <c r="G266" s="12" t="n">
        <v>84.12</v>
      </c>
      <c r="H266" s="9" t="s">
        <v>87</v>
      </c>
      <c r="I266" s="9" t="s">
        <v>109</v>
      </c>
      <c r="J266" s="9" t="n">
        <v>2</v>
      </c>
      <c r="K266" s="9" t="s">
        <v>110</v>
      </c>
      <c r="L266" s="9"/>
    </row>
    <row r="267" customFormat="false" ht="15" hidden="false" customHeight="false" outlineLevel="0" collapsed="false">
      <c r="A267" s="9" t="s">
        <v>642</v>
      </c>
      <c r="B267" s="9" t="s">
        <v>643</v>
      </c>
      <c r="C267" s="9" t="s">
        <v>621</v>
      </c>
      <c r="D267" s="9" t="s">
        <v>622</v>
      </c>
      <c r="E267" s="9" t="s">
        <v>108</v>
      </c>
      <c r="F267" s="12" t="n">
        <v>20.19</v>
      </c>
      <c r="G267" s="12" t="n">
        <v>85.84</v>
      </c>
      <c r="H267" s="9" t="s">
        <v>87</v>
      </c>
      <c r="I267" s="9" t="s">
        <v>109</v>
      </c>
      <c r="J267" s="9" t="n">
        <v>2</v>
      </c>
      <c r="K267" s="9" t="s">
        <v>110</v>
      </c>
      <c r="L267" s="9"/>
    </row>
    <row r="268" customFormat="false" ht="15" hidden="false" customHeight="false" outlineLevel="0" collapsed="false">
      <c r="A268" s="9" t="s">
        <v>644</v>
      </c>
      <c r="B268" s="9" t="s">
        <v>645</v>
      </c>
      <c r="C268" s="9" t="s">
        <v>621</v>
      </c>
      <c r="D268" s="9" t="s">
        <v>622</v>
      </c>
      <c r="E268" s="9" t="s">
        <v>108</v>
      </c>
      <c r="F268" s="12" t="n">
        <v>19.9</v>
      </c>
      <c r="G268" s="12" t="n">
        <v>85.88</v>
      </c>
      <c r="H268" s="9" t="s">
        <v>87</v>
      </c>
      <c r="I268" s="9" t="s">
        <v>109</v>
      </c>
      <c r="J268" s="9" t="n">
        <v>2</v>
      </c>
      <c r="K268" s="9" t="s">
        <v>110</v>
      </c>
      <c r="L268" s="9"/>
    </row>
    <row r="269" customFormat="false" ht="15" hidden="false" customHeight="false" outlineLevel="0" collapsed="false">
      <c r="A269" s="9" t="s">
        <v>646</v>
      </c>
      <c r="B269" s="9" t="s">
        <v>647</v>
      </c>
      <c r="C269" s="9" t="s">
        <v>621</v>
      </c>
      <c r="D269" s="9" t="s">
        <v>622</v>
      </c>
      <c r="E269" s="9" t="s">
        <v>108</v>
      </c>
      <c r="F269" s="12" t="n">
        <v>21.46</v>
      </c>
      <c r="G269" s="12" t="n">
        <v>87.03</v>
      </c>
      <c r="H269" s="9" t="s">
        <v>87</v>
      </c>
      <c r="I269" s="9" t="s">
        <v>109</v>
      </c>
      <c r="J269" s="9" t="n">
        <v>2</v>
      </c>
      <c r="K269" s="9" t="s">
        <v>110</v>
      </c>
      <c r="L269" s="9"/>
    </row>
    <row r="270" customFormat="false" ht="15" hidden="false" customHeight="false" outlineLevel="0" collapsed="false">
      <c r="A270" s="9" t="s">
        <v>648</v>
      </c>
      <c r="B270" s="9" t="s">
        <v>649</v>
      </c>
      <c r="C270" s="9" t="s">
        <v>621</v>
      </c>
      <c r="D270" s="9" t="s">
        <v>622</v>
      </c>
      <c r="E270" s="9" t="s">
        <v>108</v>
      </c>
      <c r="F270" s="12" t="n">
        <v>20.72</v>
      </c>
      <c r="G270" s="12" t="n">
        <v>86.87</v>
      </c>
      <c r="H270" s="9" t="s">
        <v>87</v>
      </c>
      <c r="I270" s="9" t="s">
        <v>109</v>
      </c>
      <c r="J270" s="9" t="n">
        <v>2</v>
      </c>
      <c r="K270" s="9" t="s">
        <v>110</v>
      </c>
      <c r="L270" s="9" t="s">
        <v>639</v>
      </c>
    </row>
    <row r="271" customFormat="false" ht="15" hidden="false" customHeight="false" outlineLevel="0" collapsed="false">
      <c r="A271" s="9" t="s">
        <v>650</v>
      </c>
      <c r="B271" s="9" t="s">
        <v>651</v>
      </c>
      <c r="C271" s="9" t="s">
        <v>621</v>
      </c>
      <c r="D271" s="9" t="s">
        <v>622</v>
      </c>
      <c r="E271" s="9" t="s">
        <v>108</v>
      </c>
      <c r="F271" s="12" t="n">
        <v>18.86</v>
      </c>
      <c r="G271" s="12" t="n">
        <v>82.57</v>
      </c>
      <c r="H271" s="9" t="s">
        <v>65</v>
      </c>
      <c r="I271" s="9" t="s">
        <v>109</v>
      </c>
      <c r="J271" s="9" t="n">
        <v>2</v>
      </c>
      <c r="K271" s="9" t="s">
        <v>110</v>
      </c>
      <c r="L271" s="9"/>
    </row>
    <row r="272" customFormat="false" ht="15" hidden="false" customHeight="false" outlineLevel="0" collapsed="false">
      <c r="A272" s="9" t="s">
        <v>652</v>
      </c>
      <c r="B272" s="9" t="s">
        <v>653</v>
      </c>
      <c r="C272" s="9" t="s">
        <v>654</v>
      </c>
      <c r="D272" s="9" t="s">
        <v>622</v>
      </c>
      <c r="E272" s="9" t="s">
        <v>108</v>
      </c>
      <c r="F272" s="12" t="n">
        <v>22.57</v>
      </c>
      <c r="G272" s="12" t="n">
        <v>88.36</v>
      </c>
      <c r="H272" s="9" t="s">
        <v>65</v>
      </c>
      <c r="I272" s="9" t="s">
        <v>109</v>
      </c>
      <c r="J272" s="9" t="n">
        <v>2</v>
      </c>
      <c r="K272" s="9" t="s">
        <v>110</v>
      </c>
      <c r="L272" s="9"/>
    </row>
    <row r="273" customFormat="false" ht="15" hidden="false" customHeight="false" outlineLevel="0" collapsed="false">
      <c r="A273" s="9" t="s">
        <v>655</v>
      </c>
      <c r="B273" s="9" t="s">
        <v>656</v>
      </c>
      <c r="C273" s="9" t="s">
        <v>654</v>
      </c>
      <c r="D273" s="9" t="s">
        <v>622</v>
      </c>
      <c r="E273" s="9" t="s">
        <v>108</v>
      </c>
      <c r="F273" s="12" t="n">
        <v>27.04</v>
      </c>
      <c r="G273" s="12" t="n">
        <v>88.26</v>
      </c>
      <c r="H273" s="9" t="s">
        <v>65</v>
      </c>
      <c r="I273" s="9" t="s">
        <v>109</v>
      </c>
      <c r="J273" s="9" t="n">
        <v>2</v>
      </c>
      <c r="K273" s="9" t="s">
        <v>110</v>
      </c>
      <c r="L273" s="9"/>
    </row>
    <row r="274" customFormat="false" ht="15" hidden="false" customHeight="false" outlineLevel="0" collapsed="false">
      <c r="A274" s="9" t="s">
        <v>657</v>
      </c>
      <c r="B274" s="9" t="s">
        <v>658</v>
      </c>
      <c r="C274" s="9" t="s">
        <v>654</v>
      </c>
      <c r="D274" s="9" t="s">
        <v>622</v>
      </c>
      <c r="E274" s="9" t="s">
        <v>108</v>
      </c>
      <c r="F274" s="12" t="n">
        <v>27.06</v>
      </c>
      <c r="G274" s="12" t="n">
        <v>88.47</v>
      </c>
      <c r="H274" s="9" t="s">
        <v>65</v>
      </c>
      <c r="I274" s="9" t="s">
        <v>109</v>
      </c>
      <c r="J274" s="9" t="n">
        <v>2</v>
      </c>
      <c r="K274" s="9" t="s">
        <v>110</v>
      </c>
      <c r="L274" s="9"/>
    </row>
    <row r="275" customFormat="false" ht="15" hidden="false" customHeight="false" outlineLevel="0" collapsed="false">
      <c r="A275" s="9" t="s">
        <v>659</v>
      </c>
      <c r="B275" s="9" t="s">
        <v>660</v>
      </c>
      <c r="C275" s="9" t="s">
        <v>654</v>
      </c>
      <c r="D275" s="9" t="s">
        <v>622</v>
      </c>
      <c r="E275" s="9" t="s">
        <v>108</v>
      </c>
      <c r="F275" s="12" t="n">
        <v>26.72</v>
      </c>
      <c r="G275" s="12" t="n">
        <v>88.43</v>
      </c>
      <c r="H275" s="9" t="s">
        <v>65</v>
      </c>
      <c r="I275" s="9" t="s">
        <v>109</v>
      </c>
      <c r="J275" s="9" t="n">
        <v>2</v>
      </c>
      <c r="K275" s="9" t="s">
        <v>110</v>
      </c>
      <c r="L275" s="9"/>
    </row>
    <row r="276" customFormat="false" ht="15" hidden="false" customHeight="false" outlineLevel="0" collapsed="false">
      <c r="A276" s="9" t="s">
        <v>661</v>
      </c>
      <c r="B276" s="9" t="s">
        <v>662</v>
      </c>
      <c r="C276" s="9" t="s">
        <v>654</v>
      </c>
      <c r="D276" s="9" t="s">
        <v>622</v>
      </c>
      <c r="E276" s="9" t="s">
        <v>108</v>
      </c>
      <c r="F276" s="12" t="n">
        <v>21.95</v>
      </c>
      <c r="G276" s="12" t="n">
        <v>89.18</v>
      </c>
      <c r="H276" s="9" t="s">
        <v>87</v>
      </c>
      <c r="I276" s="9" t="s">
        <v>109</v>
      </c>
      <c r="J276" s="9" t="n">
        <v>2</v>
      </c>
      <c r="K276" s="9" t="s">
        <v>110</v>
      </c>
      <c r="L276" s="9" t="s">
        <v>663</v>
      </c>
    </row>
    <row r="277" customFormat="false" ht="15" hidden="false" customHeight="false" outlineLevel="0" collapsed="false">
      <c r="A277" s="9" t="s">
        <v>664</v>
      </c>
      <c r="B277" s="9" t="s">
        <v>665</v>
      </c>
      <c r="C277" s="9" t="s">
        <v>654</v>
      </c>
      <c r="D277" s="9" t="s">
        <v>622</v>
      </c>
      <c r="E277" s="9" t="s">
        <v>108</v>
      </c>
      <c r="F277" s="12" t="n">
        <v>21.63</v>
      </c>
      <c r="G277" s="12" t="n">
        <v>87.55</v>
      </c>
      <c r="H277" s="9" t="s">
        <v>87</v>
      </c>
      <c r="I277" s="9" t="s">
        <v>109</v>
      </c>
      <c r="J277" s="9" t="n">
        <v>2</v>
      </c>
      <c r="K277" s="9" t="s">
        <v>110</v>
      </c>
      <c r="L277" s="9"/>
    </row>
    <row r="278" customFormat="false" ht="15" hidden="false" customHeight="false" outlineLevel="0" collapsed="false">
      <c r="A278" s="9" t="s">
        <v>666</v>
      </c>
      <c r="B278" s="9" t="s">
        <v>667</v>
      </c>
      <c r="C278" s="9" t="s">
        <v>654</v>
      </c>
      <c r="D278" s="9" t="s">
        <v>622</v>
      </c>
      <c r="E278" s="9" t="s">
        <v>108</v>
      </c>
      <c r="F278" s="12" t="n">
        <v>23.68</v>
      </c>
      <c r="G278" s="12" t="n">
        <v>87.68</v>
      </c>
      <c r="H278" s="9" t="s">
        <v>87</v>
      </c>
      <c r="I278" s="9" t="s">
        <v>109</v>
      </c>
      <c r="J278" s="9" t="n">
        <v>2</v>
      </c>
      <c r="K278" s="9" t="s">
        <v>110</v>
      </c>
      <c r="L278" s="9"/>
    </row>
    <row r="279" customFormat="false" ht="15" hidden="false" customHeight="false" outlineLevel="0" collapsed="false">
      <c r="A279" s="9" t="s">
        <v>668</v>
      </c>
      <c r="B279" s="9" t="s">
        <v>669</v>
      </c>
      <c r="C279" s="9" t="s">
        <v>654</v>
      </c>
      <c r="D279" s="9" t="s">
        <v>622</v>
      </c>
      <c r="E279" s="9" t="s">
        <v>108</v>
      </c>
      <c r="F279" s="12" t="n">
        <v>24.18</v>
      </c>
      <c r="G279" s="12" t="n">
        <v>88.27</v>
      </c>
      <c r="H279" s="9" t="s">
        <v>65</v>
      </c>
      <c r="I279" s="9" t="s">
        <v>109</v>
      </c>
      <c r="J279" s="9" t="n">
        <v>2</v>
      </c>
      <c r="K279" s="9" t="s">
        <v>110</v>
      </c>
      <c r="L279" s="9"/>
    </row>
    <row r="280" customFormat="false" ht="15" hidden="false" customHeight="false" outlineLevel="0" collapsed="false">
      <c r="A280" s="9" t="s">
        <v>670</v>
      </c>
      <c r="B280" s="9" t="s">
        <v>671</v>
      </c>
      <c r="C280" s="9" t="s">
        <v>654</v>
      </c>
      <c r="D280" s="9" t="s">
        <v>622</v>
      </c>
      <c r="E280" s="9" t="s">
        <v>108</v>
      </c>
      <c r="F280" s="12" t="n">
        <v>23.07</v>
      </c>
      <c r="G280" s="12" t="n">
        <v>87.32</v>
      </c>
      <c r="H280" s="9" t="s">
        <v>65</v>
      </c>
      <c r="I280" s="9" t="s">
        <v>109</v>
      </c>
      <c r="J280" s="9" t="n">
        <v>2</v>
      </c>
      <c r="K280" s="9" t="s">
        <v>110</v>
      </c>
      <c r="L280" s="9"/>
    </row>
    <row r="281" customFormat="false" ht="15" hidden="false" customHeight="false" outlineLevel="0" collapsed="false">
      <c r="A281" s="9" t="s">
        <v>672</v>
      </c>
      <c r="B281" s="9" t="s">
        <v>673</v>
      </c>
      <c r="C281" s="9" t="s">
        <v>654</v>
      </c>
      <c r="D281" s="9" t="s">
        <v>622</v>
      </c>
      <c r="E281" s="9" t="s">
        <v>108</v>
      </c>
      <c r="F281" s="12" t="n">
        <v>26.52</v>
      </c>
      <c r="G281" s="12" t="n">
        <v>88.72</v>
      </c>
      <c r="H281" s="9" t="s">
        <v>65</v>
      </c>
      <c r="I281" s="9" t="s">
        <v>109</v>
      </c>
      <c r="J281" s="9" t="n">
        <v>2</v>
      </c>
      <c r="K281" s="9" t="s">
        <v>110</v>
      </c>
      <c r="L281" s="9"/>
    </row>
    <row r="282" customFormat="false" ht="15" hidden="false" customHeight="false" outlineLevel="0" collapsed="false">
      <c r="A282" s="9" t="s">
        <v>674</v>
      </c>
      <c r="B282" s="9" t="s">
        <v>675</v>
      </c>
      <c r="C282" s="9" t="s">
        <v>654</v>
      </c>
      <c r="D282" s="9" t="s">
        <v>622</v>
      </c>
      <c r="E282" s="9" t="s">
        <v>108</v>
      </c>
      <c r="F282" s="12" t="n">
        <v>26.75</v>
      </c>
      <c r="G282" s="12" t="n">
        <v>89</v>
      </c>
      <c r="H282" s="9" t="s">
        <v>87</v>
      </c>
      <c r="I282" s="9" t="s">
        <v>109</v>
      </c>
      <c r="J282" s="9" t="n">
        <v>2</v>
      </c>
      <c r="K282" s="9" t="s">
        <v>110</v>
      </c>
      <c r="L282" s="9" t="s">
        <v>220</v>
      </c>
    </row>
    <row r="283" customFormat="false" ht="15" hidden="false" customHeight="false" outlineLevel="0" collapsed="false">
      <c r="A283" s="9" t="s">
        <v>676</v>
      </c>
      <c r="B283" s="9" t="s">
        <v>677</v>
      </c>
      <c r="C283" s="9" t="s">
        <v>654</v>
      </c>
      <c r="D283" s="9" t="s">
        <v>622</v>
      </c>
      <c r="E283" s="9" t="s">
        <v>108</v>
      </c>
      <c r="F283" s="12" t="n">
        <v>26.89</v>
      </c>
      <c r="G283" s="12" t="n">
        <v>88.18</v>
      </c>
      <c r="H283" s="9" t="s">
        <v>87</v>
      </c>
      <c r="I283" s="9" t="s">
        <v>109</v>
      </c>
      <c r="J283" s="9" t="n">
        <v>2</v>
      </c>
      <c r="K283" s="9" t="s">
        <v>110</v>
      </c>
      <c r="L283" s="9"/>
    </row>
    <row r="284" customFormat="false" ht="15" hidden="false" customHeight="false" outlineLevel="0" collapsed="false">
      <c r="A284" s="9" t="s">
        <v>678</v>
      </c>
      <c r="B284" s="9" t="s">
        <v>679</v>
      </c>
      <c r="C284" s="9" t="s">
        <v>654</v>
      </c>
      <c r="D284" s="9" t="s">
        <v>622</v>
      </c>
      <c r="E284" s="9" t="s">
        <v>108</v>
      </c>
      <c r="F284" s="12" t="n">
        <v>26.88</v>
      </c>
      <c r="G284" s="12" t="n">
        <v>88.28</v>
      </c>
      <c r="H284" s="9" t="s">
        <v>65</v>
      </c>
      <c r="I284" s="9" t="s">
        <v>109</v>
      </c>
      <c r="J284" s="9" t="n">
        <v>2</v>
      </c>
      <c r="K284" s="9" t="s">
        <v>110</v>
      </c>
      <c r="L284" s="9"/>
    </row>
    <row r="285" customFormat="false" ht="15" hidden="false" customHeight="false" outlineLevel="0" collapsed="false">
      <c r="A285" s="9" t="s">
        <v>680</v>
      </c>
      <c r="B285" s="9" t="s">
        <v>681</v>
      </c>
      <c r="C285" s="9" t="s">
        <v>654</v>
      </c>
      <c r="D285" s="9" t="s">
        <v>622</v>
      </c>
      <c r="E285" s="9" t="s">
        <v>108</v>
      </c>
      <c r="F285" s="12" t="n">
        <v>23.42</v>
      </c>
      <c r="G285" s="12" t="n">
        <v>88.39</v>
      </c>
      <c r="H285" s="9" t="s">
        <v>87</v>
      </c>
      <c r="I285" s="9" t="s">
        <v>109</v>
      </c>
      <c r="J285" s="9" t="n">
        <v>2</v>
      </c>
      <c r="K285" s="9" t="s">
        <v>110</v>
      </c>
      <c r="L285" s="9"/>
    </row>
    <row r="286" customFormat="false" ht="15" hidden="false" customHeight="false" outlineLevel="0" collapsed="false">
      <c r="A286" s="9" t="s">
        <v>682</v>
      </c>
      <c r="B286" s="9" t="s">
        <v>683</v>
      </c>
      <c r="C286" s="9" t="s">
        <v>654</v>
      </c>
      <c r="D286" s="9" t="s">
        <v>622</v>
      </c>
      <c r="E286" s="9" t="s">
        <v>108</v>
      </c>
      <c r="F286" s="12" t="n">
        <v>21.64</v>
      </c>
      <c r="G286" s="12" t="n">
        <v>88.08</v>
      </c>
      <c r="H286" s="9" t="s">
        <v>87</v>
      </c>
      <c r="I286" s="9" t="s">
        <v>109</v>
      </c>
      <c r="J286" s="9" t="n">
        <v>2</v>
      </c>
      <c r="K286" s="9" t="s">
        <v>110</v>
      </c>
      <c r="L286" s="9"/>
    </row>
    <row r="287" customFormat="false" ht="15" hidden="false" customHeight="false" outlineLevel="0" collapsed="false">
      <c r="A287" s="9" t="s">
        <v>684</v>
      </c>
      <c r="B287" s="9" t="s">
        <v>685</v>
      </c>
      <c r="C287" s="9" t="s">
        <v>686</v>
      </c>
      <c r="D287" s="9" t="s">
        <v>622</v>
      </c>
      <c r="E287" s="9" t="s">
        <v>108</v>
      </c>
      <c r="F287" s="12" t="n">
        <v>24.7</v>
      </c>
      <c r="G287" s="12" t="n">
        <v>84.99</v>
      </c>
      <c r="H287" s="9" t="s">
        <v>65</v>
      </c>
      <c r="I287" s="9" t="s">
        <v>109</v>
      </c>
      <c r="J287" s="9" t="n">
        <v>2</v>
      </c>
      <c r="K287" s="9" t="s">
        <v>110</v>
      </c>
      <c r="L287" s="9"/>
    </row>
    <row r="288" customFormat="false" ht="15" hidden="false" customHeight="false" outlineLevel="0" collapsed="false">
      <c r="A288" s="9" t="s">
        <v>687</v>
      </c>
      <c r="B288" s="9" t="s">
        <v>688</v>
      </c>
      <c r="C288" s="9" t="s">
        <v>686</v>
      </c>
      <c r="D288" s="9" t="s">
        <v>622</v>
      </c>
      <c r="E288" s="9" t="s">
        <v>108</v>
      </c>
      <c r="F288" s="12" t="n">
        <v>25.59</v>
      </c>
      <c r="G288" s="12" t="n">
        <v>85.14</v>
      </c>
      <c r="H288" s="9" t="s">
        <v>65</v>
      </c>
      <c r="I288" s="9" t="s">
        <v>109</v>
      </c>
      <c r="J288" s="9" t="n">
        <v>2</v>
      </c>
      <c r="K288" s="9" t="s">
        <v>110</v>
      </c>
      <c r="L288" s="9"/>
    </row>
    <row r="289" customFormat="false" ht="15" hidden="false" customHeight="false" outlineLevel="0" collapsed="false">
      <c r="A289" s="9" t="s">
        <v>689</v>
      </c>
      <c r="B289" s="9" t="s">
        <v>690</v>
      </c>
      <c r="C289" s="9" t="s">
        <v>686</v>
      </c>
      <c r="D289" s="9" t="s">
        <v>622</v>
      </c>
      <c r="E289" s="9" t="s">
        <v>108</v>
      </c>
      <c r="F289" s="12" t="n">
        <v>25.14</v>
      </c>
      <c r="G289" s="12" t="n">
        <v>85.44</v>
      </c>
      <c r="H289" s="9" t="s">
        <v>87</v>
      </c>
      <c r="I289" s="9" t="s">
        <v>109</v>
      </c>
      <c r="J289" s="9" t="n">
        <v>2</v>
      </c>
      <c r="K289" s="9" t="s">
        <v>110</v>
      </c>
      <c r="L289" s="9"/>
    </row>
    <row r="290" customFormat="false" ht="15" hidden="false" customHeight="false" outlineLevel="0" collapsed="false">
      <c r="A290" s="9" t="s">
        <v>691</v>
      </c>
      <c r="B290" s="9" t="s">
        <v>692</v>
      </c>
      <c r="C290" s="9" t="s">
        <v>686</v>
      </c>
      <c r="D290" s="9" t="s">
        <v>622</v>
      </c>
      <c r="E290" s="9" t="s">
        <v>108</v>
      </c>
      <c r="F290" s="12" t="n">
        <v>25.03</v>
      </c>
      <c r="G290" s="12" t="n">
        <v>85.42</v>
      </c>
      <c r="H290" s="9" t="s">
        <v>65</v>
      </c>
      <c r="I290" s="9" t="s">
        <v>109</v>
      </c>
      <c r="J290" s="9" t="n">
        <v>2</v>
      </c>
      <c r="K290" s="9" t="s">
        <v>110</v>
      </c>
      <c r="L290" s="9"/>
    </row>
    <row r="291" customFormat="false" ht="15" hidden="false" customHeight="false" outlineLevel="0" collapsed="false">
      <c r="A291" s="9" t="s">
        <v>693</v>
      </c>
      <c r="B291" s="9" t="s">
        <v>694</v>
      </c>
      <c r="C291" s="9" t="s">
        <v>686</v>
      </c>
      <c r="D291" s="9" t="s">
        <v>622</v>
      </c>
      <c r="E291" s="9" t="s">
        <v>108</v>
      </c>
      <c r="F291" s="12" t="n">
        <v>25.99</v>
      </c>
      <c r="G291" s="12" t="n">
        <v>85.13</v>
      </c>
      <c r="H291" s="9" t="s">
        <v>87</v>
      </c>
      <c r="I291" s="9" t="s">
        <v>109</v>
      </c>
      <c r="J291" s="9" t="n">
        <v>2</v>
      </c>
      <c r="K291" s="9" t="s">
        <v>110</v>
      </c>
      <c r="L291" s="9"/>
    </row>
    <row r="292" customFormat="false" ht="15" hidden="false" customHeight="false" outlineLevel="0" collapsed="false">
      <c r="A292" s="9" t="s">
        <v>695</v>
      </c>
      <c r="B292" s="9" t="s">
        <v>696</v>
      </c>
      <c r="C292" s="9" t="s">
        <v>686</v>
      </c>
      <c r="D292" s="9" t="s">
        <v>622</v>
      </c>
      <c r="E292" s="9" t="s">
        <v>108</v>
      </c>
      <c r="F292" s="12" t="n">
        <v>25.1</v>
      </c>
      <c r="G292" s="12" t="n">
        <v>85.53</v>
      </c>
      <c r="H292" s="9" t="s">
        <v>87</v>
      </c>
      <c r="I292" s="9" t="s">
        <v>109</v>
      </c>
      <c r="J292" s="9" t="n">
        <v>2</v>
      </c>
      <c r="K292" s="9" t="s">
        <v>110</v>
      </c>
      <c r="L292" s="9"/>
    </row>
    <row r="293" customFormat="false" ht="15" hidden="false" customHeight="false" outlineLevel="0" collapsed="false">
      <c r="A293" s="9" t="s">
        <v>697</v>
      </c>
      <c r="B293" s="9" t="s">
        <v>698</v>
      </c>
      <c r="C293" s="9" t="s">
        <v>686</v>
      </c>
      <c r="D293" s="9" t="s">
        <v>622</v>
      </c>
      <c r="E293" s="9" t="s">
        <v>108</v>
      </c>
      <c r="F293" s="12" t="n">
        <v>24.8</v>
      </c>
      <c r="G293" s="12" t="n">
        <v>85</v>
      </c>
      <c r="H293" s="9" t="s">
        <v>65</v>
      </c>
      <c r="I293" s="9" t="s">
        <v>109</v>
      </c>
      <c r="J293" s="9" t="n">
        <v>2</v>
      </c>
      <c r="K293" s="9" t="s">
        <v>110</v>
      </c>
      <c r="L293" s="9"/>
    </row>
    <row r="294" customFormat="false" ht="15" hidden="false" customHeight="false" outlineLevel="0" collapsed="false">
      <c r="A294" s="9" t="s">
        <v>699</v>
      </c>
      <c r="B294" s="9" t="s">
        <v>700</v>
      </c>
      <c r="C294" s="9" t="s">
        <v>686</v>
      </c>
      <c r="D294" s="9" t="s">
        <v>622</v>
      </c>
      <c r="E294" s="9" t="s">
        <v>108</v>
      </c>
      <c r="F294" s="12" t="n">
        <v>27.43</v>
      </c>
      <c r="G294" s="12" t="n">
        <v>84.05</v>
      </c>
      <c r="H294" s="9" t="s">
        <v>87</v>
      </c>
      <c r="I294" s="9" t="s">
        <v>109</v>
      </c>
      <c r="J294" s="9" t="n">
        <v>2</v>
      </c>
      <c r="K294" s="9" t="s">
        <v>110</v>
      </c>
      <c r="L294" s="9"/>
    </row>
    <row r="295" customFormat="false" ht="15" hidden="false" customHeight="false" outlineLevel="0" collapsed="false">
      <c r="A295" s="9" t="s">
        <v>701</v>
      </c>
      <c r="B295" s="9" t="s">
        <v>702</v>
      </c>
      <c r="C295" s="9" t="s">
        <v>686</v>
      </c>
      <c r="D295" s="9" t="s">
        <v>622</v>
      </c>
      <c r="E295" s="9" t="s">
        <v>108</v>
      </c>
      <c r="F295" s="12" t="n">
        <v>25.33</v>
      </c>
      <c r="G295" s="12" t="n">
        <v>87.29</v>
      </c>
      <c r="H295" s="9" t="s">
        <v>87</v>
      </c>
      <c r="I295" s="9" t="s">
        <v>109</v>
      </c>
      <c r="J295" s="9" t="n">
        <v>2</v>
      </c>
      <c r="K295" s="9" t="s">
        <v>110</v>
      </c>
      <c r="L295" s="9"/>
    </row>
    <row r="296" customFormat="false" ht="15" hidden="false" customHeight="false" outlineLevel="0" collapsed="false">
      <c r="A296" s="9" t="s">
        <v>703</v>
      </c>
      <c r="B296" s="9" t="s">
        <v>704</v>
      </c>
      <c r="C296" s="9" t="s">
        <v>686</v>
      </c>
      <c r="D296" s="9" t="s">
        <v>622</v>
      </c>
      <c r="E296" s="9" t="s">
        <v>108</v>
      </c>
      <c r="F296" s="12" t="n">
        <v>26.34</v>
      </c>
      <c r="G296" s="12" t="n">
        <v>84.85</v>
      </c>
      <c r="H296" s="9" t="s">
        <v>65</v>
      </c>
      <c r="I296" s="9" t="s">
        <v>109</v>
      </c>
      <c r="J296" s="9" t="n">
        <v>2</v>
      </c>
      <c r="K296" s="9" t="s">
        <v>110</v>
      </c>
      <c r="L296" s="9"/>
    </row>
    <row r="297" customFormat="false" ht="15" hidden="false" customHeight="false" outlineLevel="0" collapsed="false">
      <c r="A297" s="9" t="s">
        <v>705</v>
      </c>
      <c r="B297" s="9" t="s">
        <v>706</v>
      </c>
      <c r="C297" s="9" t="s">
        <v>707</v>
      </c>
      <c r="D297" s="9" t="s">
        <v>622</v>
      </c>
      <c r="E297" s="9" t="s">
        <v>108</v>
      </c>
      <c r="F297" s="12" t="n">
        <v>23.34</v>
      </c>
      <c r="G297" s="12" t="n">
        <v>85.31</v>
      </c>
      <c r="H297" s="9" t="s">
        <v>65</v>
      </c>
      <c r="I297" s="9" t="s">
        <v>109</v>
      </c>
      <c r="J297" s="9" t="n">
        <v>2</v>
      </c>
      <c r="K297" s="9" t="s">
        <v>110</v>
      </c>
      <c r="L297" s="9"/>
    </row>
    <row r="298" customFormat="false" ht="15" hidden="false" customHeight="false" outlineLevel="0" collapsed="false">
      <c r="A298" s="9" t="s">
        <v>708</v>
      </c>
      <c r="B298" s="9" t="s">
        <v>709</v>
      </c>
      <c r="C298" s="9" t="s">
        <v>707</v>
      </c>
      <c r="D298" s="9" t="s">
        <v>622</v>
      </c>
      <c r="E298" s="9" t="s">
        <v>108</v>
      </c>
      <c r="F298" s="12" t="n">
        <v>24.49</v>
      </c>
      <c r="G298" s="12" t="n">
        <v>86.7</v>
      </c>
      <c r="H298" s="9" t="s">
        <v>65</v>
      </c>
      <c r="I298" s="9" t="s">
        <v>109</v>
      </c>
      <c r="J298" s="9" t="n">
        <v>2</v>
      </c>
      <c r="K298" s="9" t="s">
        <v>110</v>
      </c>
      <c r="L298" s="9"/>
    </row>
    <row r="299" customFormat="false" ht="15" hidden="false" customHeight="false" outlineLevel="0" collapsed="false">
      <c r="A299" s="9" t="s">
        <v>710</v>
      </c>
      <c r="B299" s="9" t="s">
        <v>711</v>
      </c>
      <c r="C299" s="9" t="s">
        <v>707</v>
      </c>
      <c r="D299" s="9" t="s">
        <v>622</v>
      </c>
      <c r="E299" s="9" t="s">
        <v>108</v>
      </c>
      <c r="F299" s="12" t="n">
        <v>23.48</v>
      </c>
      <c r="G299" s="12" t="n">
        <v>84.27</v>
      </c>
      <c r="H299" s="9" t="s">
        <v>87</v>
      </c>
      <c r="I299" s="9" t="s">
        <v>109</v>
      </c>
      <c r="J299" s="9" t="n">
        <v>2</v>
      </c>
      <c r="K299" s="9" t="s">
        <v>110</v>
      </c>
      <c r="L299" s="9"/>
    </row>
    <row r="300" customFormat="false" ht="15" hidden="false" customHeight="false" outlineLevel="0" collapsed="false">
      <c r="A300" s="9" t="s">
        <v>712</v>
      </c>
      <c r="B300" s="9" t="s">
        <v>713</v>
      </c>
      <c r="C300" s="9" t="s">
        <v>707</v>
      </c>
      <c r="D300" s="9" t="s">
        <v>622</v>
      </c>
      <c r="E300" s="9" t="s">
        <v>108</v>
      </c>
      <c r="F300" s="12" t="n">
        <v>22.8</v>
      </c>
      <c r="G300" s="12" t="n">
        <v>86.2</v>
      </c>
      <c r="H300" s="9" t="s">
        <v>65</v>
      </c>
      <c r="I300" s="9" t="s">
        <v>109</v>
      </c>
      <c r="J300" s="9" t="n">
        <v>2</v>
      </c>
      <c r="K300" s="9" t="s">
        <v>110</v>
      </c>
      <c r="L300" s="9"/>
    </row>
    <row r="301" customFormat="false" ht="15" hidden="false" customHeight="false" outlineLevel="0" collapsed="false">
      <c r="A301" s="9" t="s">
        <v>714</v>
      </c>
      <c r="B301" s="9" t="s">
        <v>715</v>
      </c>
      <c r="C301" s="9" t="s">
        <v>707</v>
      </c>
      <c r="D301" s="9" t="s">
        <v>622</v>
      </c>
      <c r="E301" s="9" t="s">
        <v>108</v>
      </c>
      <c r="F301" s="12" t="n">
        <v>23.99</v>
      </c>
      <c r="G301" s="12" t="n">
        <v>85.36</v>
      </c>
      <c r="H301" s="9" t="s">
        <v>65</v>
      </c>
      <c r="I301" s="9" t="s">
        <v>109</v>
      </c>
      <c r="J301" s="9" t="n">
        <v>2</v>
      </c>
      <c r="K301" s="9" t="s">
        <v>110</v>
      </c>
      <c r="L301" s="9"/>
    </row>
    <row r="302" customFormat="false" ht="15" hidden="false" customHeight="false" outlineLevel="0" collapsed="false">
      <c r="A302" s="9" t="s">
        <v>716</v>
      </c>
      <c r="B302" s="9" t="s">
        <v>717</v>
      </c>
      <c r="C302" s="9" t="s">
        <v>707</v>
      </c>
      <c r="D302" s="9" t="s">
        <v>622</v>
      </c>
      <c r="E302" s="9" t="s">
        <v>108</v>
      </c>
      <c r="F302" s="12" t="n">
        <v>23.89</v>
      </c>
      <c r="G302" s="12" t="n">
        <v>84.19</v>
      </c>
      <c r="H302" s="9" t="s">
        <v>87</v>
      </c>
      <c r="I302" s="9" t="s">
        <v>109</v>
      </c>
      <c r="J302" s="9" t="n">
        <v>2</v>
      </c>
      <c r="K302" s="9" t="s">
        <v>110</v>
      </c>
      <c r="L302" s="9"/>
    </row>
    <row r="303" customFormat="false" ht="15" hidden="false" customHeight="false" outlineLevel="0" collapsed="false">
      <c r="A303" s="9" t="s">
        <v>718</v>
      </c>
      <c r="B303" s="9" t="s">
        <v>719</v>
      </c>
      <c r="C303" s="9" t="s">
        <v>707</v>
      </c>
      <c r="D303" s="9" t="s">
        <v>622</v>
      </c>
      <c r="E303" s="9" t="s">
        <v>108</v>
      </c>
      <c r="F303" s="12" t="n">
        <v>23.03</v>
      </c>
      <c r="G303" s="12" t="n">
        <v>85.6</v>
      </c>
      <c r="H303" s="9" t="s">
        <v>87</v>
      </c>
      <c r="I303" s="9" t="s">
        <v>109</v>
      </c>
      <c r="J303" s="9" t="n">
        <v>2</v>
      </c>
      <c r="K303" s="9" t="s">
        <v>110</v>
      </c>
      <c r="L303" s="9"/>
    </row>
    <row r="304" customFormat="false" ht="15" hidden="false" customHeight="false" outlineLevel="0" collapsed="false">
      <c r="A304" s="9" t="s">
        <v>720</v>
      </c>
      <c r="B304" s="9" t="s">
        <v>721</v>
      </c>
      <c r="C304" s="9" t="s">
        <v>707</v>
      </c>
      <c r="D304" s="9" t="s">
        <v>622</v>
      </c>
      <c r="E304" s="9" t="s">
        <v>108</v>
      </c>
      <c r="F304" s="12" t="n">
        <v>23.45</v>
      </c>
      <c r="G304" s="12" t="n">
        <v>85.6</v>
      </c>
      <c r="H304" s="9" t="s">
        <v>87</v>
      </c>
      <c r="I304" s="9" t="s">
        <v>109</v>
      </c>
      <c r="J304" s="9" t="n">
        <v>2</v>
      </c>
      <c r="K304" s="9" t="s">
        <v>110</v>
      </c>
      <c r="L304" s="9"/>
    </row>
    <row r="305" customFormat="false" ht="15" hidden="false" customHeight="false" outlineLevel="0" collapsed="false">
      <c r="A305" s="9" t="s">
        <v>722</v>
      </c>
      <c r="B305" s="9" t="s">
        <v>723</v>
      </c>
      <c r="C305" s="9" t="s">
        <v>707</v>
      </c>
      <c r="D305" s="9" t="s">
        <v>622</v>
      </c>
      <c r="E305" s="9" t="s">
        <v>108</v>
      </c>
      <c r="F305" s="12" t="n">
        <v>23.65</v>
      </c>
      <c r="G305" s="12" t="n">
        <v>85.28</v>
      </c>
      <c r="H305" s="9" t="s">
        <v>65</v>
      </c>
      <c r="I305" s="9" t="s">
        <v>109</v>
      </c>
      <c r="J305" s="9" t="n">
        <v>2</v>
      </c>
      <c r="K305" s="9" t="s">
        <v>110</v>
      </c>
      <c r="L305" s="9"/>
    </row>
    <row r="306" customFormat="false" ht="15" hidden="false" customHeight="false" outlineLevel="0" collapsed="false">
      <c r="A306" s="9" t="s">
        <v>724</v>
      </c>
      <c r="B306" s="9" t="s">
        <v>725</v>
      </c>
      <c r="C306" s="9" t="s">
        <v>707</v>
      </c>
      <c r="D306" s="9" t="s">
        <v>622</v>
      </c>
      <c r="E306" s="9" t="s">
        <v>108</v>
      </c>
      <c r="F306" s="12" t="n">
        <v>23.96</v>
      </c>
      <c r="G306" s="12" t="n">
        <v>86.13</v>
      </c>
      <c r="H306" s="9" t="s">
        <v>87</v>
      </c>
      <c r="I306" s="9" t="s">
        <v>109</v>
      </c>
      <c r="J306" s="9" t="n">
        <v>2</v>
      </c>
      <c r="K306" s="9" t="s">
        <v>110</v>
      </c>
      <c r="L306" s="9"/>
    </row>
    <row r="307" customFormat="false" ht="15" hidden="false" customHeight="false" outlineLevel="0" collapsed="false">
      <c r="A307" s="9" t="s">
        <v>726</v>
      </c>
      <c r="B307" s="9" t="s">
        <v>727</v>
      </c>
      <c r="C307" s="9" t="s">
        <v>728</v>
      </c>
      <c r="D307" s="9" t="s">
        <v>127</v>
      </c>
      <c r="E307" s="9" t="s">
        <v>108</v>
      </c>
      <c r="F307" s="12" t="n">
        <v>21.25</v>
      </c>
      <c r="G307" s="12" t="n">
        <v>81.63</v>
      </c>
      <c r="H307" s="9" t="s">
        <v>65</v>
      </c>
      <c r="I307" s="9" t="s">
        <v>109</v>
      </c>
      <c r="J307" s="9" t="n">
        <v>2</v>
      </c>
      <c r="K307" s="9" t="s">
        <v>110</v>
      </c>
      <c r="L307" s="9"/>
    </row>
    <row r="308" customFormat="false" ht="15" hidden="false" customHeight="false" outlineLevel="0" collapsed="false">
      <c r="A308" s="9" t="s">
        <v>729</v>
      </c>
      <c r="B308" s="9" t="s">
        <v>730</v>
      </c>
      <c r="C308" s="9" t="s">
        <v>728</v>
      </c>
      <c r="D308" s="9" t="s">
        <v>127</v>
      </c>
      <c r="E308" s="9" t="s">
        <v>108</v>
      </c>
      <c r="F308" s="12" t="n">
        <v>19.07</v>
      </c>
      <c r="G308" s="12" t="n">
        <v>82.02</v>
      </c>
      <c r="H308" s="9" t="s">
        <v>65</v>
      </c>
      <c r="I308" s="9" t="s">
        <v>109</v>
      </c>
      <c r="J308" s="9" t="n">
        <v>2</v>
      </c>
      <c r="K308" s="9" t="s">
        <v>110</v>
      </c>
      <c r="L308" s="9"/>
    </row>
    <row r="309" customFormat="false" ht="15" hidden="false" customHeight="false" outlineLevel="0" collapsed="false">
      <c r="A309" s="9" t="s">
        <v>731</v>
      </c>
      <c r="B309" s="9" t="s">
        <v>732</v>
      </c>
      <c r="C309" s="9" t="s">
        <v>728</v>
      </c>
      <c r="D309" s="9" t="s">
        <v>127</v>
      </c>
      <c r="E309" s="9" t="s">
        <v>108</v>
      </c>
      <c r="F309" s="12" t="n">
        <v>19.21</v>
      </c>
      <c r="G309" s="12" t="n">
        <v>81.7</v>
      </c>
      <c r="H309" s="9" t="s">
        <v>87</v>
      </c>
      <c r="I309" s="9" t="s">
        <v>109</v>
      </c>
      <c r="J309" s="9" t="n">
        <v>2</v>
      </c>
      <c r="K309" s="9" t="s">
        <v>110</v>
      </c>
      <c r="L309" s="9"/>
    </row>
    <row r="310" customFormat="false" ht="15" hidden="false" customHeight="false" outlineLevel="0" collapsed="false">
      <c r="A310" s="9" t="s">
        <v>733</v>
      </c>
      <c r="B310" s="9" t="s">
        <v>734</v>
      </c>
      <c r="C310" s="9" t="s">
        <v>728</v>
      </c>
      <c r="D310" s="9" t="s">
        <v>127</v>
      </c>
      <c r="E310" s="9" t="s">
        <v>108</v>
      </c>
      <c r="F310" s="12" t="n">
        <v>19</v>
      </c>
      <c r="G310" s="12" t="n">
        <v>81.93</v>
      </c>
      <c r="H310" s="9" t="s">
        <v>87</v>
      </c>
      <c r="I310" s="9" t="s">
        <v>109</v>
      </c>
      <c r="J310" s="9" t="n">
        <v>2</v>
      </c>
      <c r="K310" s="9" t="s">
        <v>110</v>
      </c>
      <c r="L310" s="9"/>
    </row>
    <row r="311" customFormat="false" ht="15" hidden="false" customHeight="false" outlineLevel="0" collapsed="false">
      <c r="A311" s="9" t="s">
        <v>735</v>
      </c>
      <c r="B311" s="9" t="s">
        <v>736</v>
      </c>
      <c r="C311" s="9" t="s">
        <v>728</v>
      </c>
      <c r="D311" s="9" t="s">
        <v>127</v>
      </c>
      <c r="E311" s="9" t="s">
        <v>108</v>
      </c>
      <c r="F311" s="12" t="n">
        <v>19.1</v>
      </c>
      <c r="G311" s="12" t="n">
        <v>81.95</v>
      </c>
      <c r="H311" s="9" t="s">
        <v>87</v>
      </c>
      <c r="I311" s="9" t="s">
        <v>109</v>
      </c>
      <c r="J311" s="9" t="n">
        <v>2</v>
      </c>
      <c r="K311" s="9" t="s">
        <v>110</v>
      </c>
      <c r="L311" s="9" t="s">
        <v>220</v>
      </c>
    </row>
    <row r="312" customFormat="false" ht="15" hidden="false" customHeight="false" outlineLevel="0" collapsed="false">
      <c r="A312" s="9" t="s">
        <v>737</v>
      </c>
      <c r="B312" s="9" t="s">
        <v>738</v>
      </c>
      <c r="C312" s="9" t="s">
        <v>728</v>
      </c>
      <c r="D312" s="9" t="s">
        <v>127</v>
      </c>
      <c r="E312" s="9" t="s">
        <v>108</v>
      </c>
      <c r="F312" s="12" t="n">
        <v>21.36</v>
      </c>
      <c r="G312" s="12" t="n">
        <v>82.18</v>
      </c>
      <c r="H312" s="9" t="s">
        <v>87</v>
      </c>
      <c r="I312" s="9" t="s">
        <v>109</v>
      </c>
      <c r="J312" s="9" t="n">
        <v>2</v>
      </c>
      <c r="K312" s="9" t="s">
        <v>110</v>
      </c>
      <c r="L312" s="9"/>
    </row>
    <row r="313" customFormat="false" ht="15" hidden="false" customHeight="false" outlineLevel="0" collapsed="false">
      <c r="A313" s="9" t="s">
        <v>739</v>
      </c>
      <c r="B313" s="9" t="s">
        <v>740</v>
      </c>
      <c r="C313" s="9" t="s">
        <v>728</v>
      </c>
      <c r="D313" s="9" t="s">
        <v>127</v>
      </c>
      <c r="E313" s="9" t="s">
        <v>108</v>
      </c>
      <c r="F313" s="12" t="n">
        <v>22.83</v>
      </c>
      <c r="G313" s="12" t="n">
        <v>83.3</v>
      </c>
      <c r="H313" s="9" t="s">
        <v>87</v>
      </c>
      <c r="I313" s="9" t="s">
        <v>109</v>
      </c>
      <c r="J313" s="9" t="n">
        <v>2</v>
      </c>
      <c r="K313" s="9" t="s">
        <v>110</v>
      </c>
      <c r="L313" s="9"/>
    </row>
    <row r="314" customFormat="false" ht="15" hidden="false" customHeight="false" outlineLevel="0" collapsed="false">
      <c r="A314" s="9" t="s">
        <v>741</v>
      </c>
      <c r="B314" s="9" t="s">
        <v>742</v>
      </c>
      <c r="C314" s="9" t="s">
        <v>728</v>
      </c>
      <c r="D314" s="9" t="s">
        <v>127</v>
      </c>
      <c r="E314" s="9" t="s">
        <v>108</v>
      </c>
      <c r="F314" s="12" t="n">
        <v>21.4</v>
      </c>
      <c r="G314" s="12" t="n">
        <v>82.3</v>
      </c>
      <c r="H314" s="9" t="s">
        <v>87</v>
      </c>
      <c r="I314" s="9" t="s">
        <v>109</v>
      </c>
      <c r="J314" s="9" t="n">
        <v>2</v>
      </c>
      <c r="K314" s="9" t="s">
        <v>110</v>
      </c>
      <c r="L314" s="9"/>
    </row>
    <row r="315" customFormat="false" ht="15" hidden="false" customHeight="false" outlineLevel="0" collapsed="false">
      <c r="A315" s="9" t="s">
        <v>743</v>
      </c>
      <c r="B315" s="9" t="s">
        <v>744</v>
      </c>
      <c r="C315" s="9" t="s">
        <v>728</v>
      </c>
      <c r="D315" s="9" t="s">
        <v>127</v>
      </c>
      <c r="E315" s="9" t="s">
        <v>108</v>
      </c>
      <c r="F315" s="12" t="n">
        <v>18.88</v>
      </c>
      <c r="G315" s="12" t="n">
        <v>82.03</v>
      </c>
      <c r="H315" s="9" t="s">
        <v>87</v>
      </c>
      <c r="I315" s="9" t="s">
        <v>109</v>
      </c>
      <c r="J315" s="9" t="n">
        <v>2</v>
      </c>
      <c r="K315" s="9" t="s">
        <v>110</v>
      </c>
      <c r="L315" s="9"/>
    </row>
    <row r="316" customFormat="false" ht="15" hidden="false" customHeight="false" outlineLevel="0" collapsed="false">
      <c r="A316" s="9" t="s">
        <v>745</v>
      </c>
      <c r="B316" s="9" t="s">
        <v>746</v>
      </c>
      <c r="C316" s="9" t="s">
        <v>728</v>
      </c>
      <c r="D316" s="9" t="s">
        <v>127</v>
      </c>
      <c r="E316" s="9" t="s">
        <v>108</v>
      </c>
      <c r="F316" s="12" t="n">
        <v>22.1</v>
      </c>
      <c r="G316" s="12" t="n">
        <v>81.13</v>
      </c>
      <c r="H316" s="9" t="s">
        <v>87</v>
      </c>
      <c r="I316" s="9" t="s">
        <v>109</v>
      </c>
      <c r="J316" s="9" t="n">
        <v>2</v>
      </c>
      <c r="K316" s="9" t="s">
        <v>110</v>
      </c>
      <c r="L316" s="9"/>
    </row>
    <row r="317" customFormat="false" ht="15" hidden="false" customHeight="false" outlineLevel="0" collapsed="false">
      <c r="A317" s="9" t="s">
        <v>747</v>
      </c>
      <c r="B317" s="9" t="s">
        <v>748</v>
      </c>
      <c r="C317" s="9" t="s">
        <v>126</v>
      </c>
      <c r="D317" s="9" t="s">
        <v>127</v>
      </c>
      <c r="E317" s="9" t="s">
        <v>108</v>
      </c>
      <c r="F317" s="12" t="n">
        <v>23.26</v>
      </c>
      <c r="G317" s="12" t="n">
        <v>77.41</v>
      </c>
      <c r="H317" s="9" t="s">
        <v>65</v>
      </c>
      <c r="I317" s="9" t="s">
        <v>109</v>
      </c>
      <c r="J317" s="9" t="n">
        <v>2</v>
      </c>
      <c r="K317" s="9" t="s">
        <v>110</v>
      </c>
      <c r="L317" s="9"/>
    </row>
    <row r="318" customFormat="false" ht="15" hidden="false" customHeight="false" outlineLevel="0" collapsed="false">
      <c r="A318" s="9" t="s">
        <v>749</v>
      </c>
      <c r="B318" s="9" t="s">
        <v>750</v>
      </c>
      <c r="C318" s="9" t="s">
        <v>126</v>
      </c>
      <c r="D318" s="9" t="s">
        <v>127</v>
      </c>
      <c r="E318" s="9" t="s">
        <v>108</v>
      </c>
      <c r="F318" s="12" t="n">
        <v>22.72</v>
      </c>
      <c r="G318" s="12" t="n">
        <v>75.86</v>
      </c>
      <c r="H318" s="9" t="s">
        <v>65</v>
      </c>
      <c r="I318" s="9" t="s">
        <v>109</v>
      </c>
      <c r="J318" s="9" t="n">
        <v>2</v>
      </c>
      <c r="K318" s="9" t="s">
        <v>110</v>
      </c>
      <c r="L318" s="9"/>
    </row>
    <row r="319" customFormat="false" ht="15" hidden="false" customHeight="false" outlineLevel="0" collapsed="false">
      <c r="A319" s="9" t="s">
        <v>751</v>
      </c>
      <c r="B319" s="9" t="s">
        <v>752</v>
      </c>
      <c r="C319" s="9" t="s">
        <v>126</v>
      </c>
      <c r="D319" s="9" t="s">
        <v>127</v>
      </c>
      <c r="E319" s="9" t="s">
        <v>108</v>
      </c>
      <c r="F319" s="12" t="n">
        <v>23.18</v>
      </c>
      <c r="G319" s="12" t="n">
        <v>75.78</v>
      </c>
      <c r="H319" s="9" t="s">
        <v>65</v>
      </c>
      <c r="I319" s="9" t="s">
        <v>109</v>
      </c>
      <c r="J319" s="9" t="n">
        <v>2</v>
      </c>
      <c r="K319" s="9" t="s">
        <v>110</v>
      </c>
      <c r="L319" s="9"/>
    </row>
    <row r="320" customFormat="false" ht="15" hidden="false" customHeight="false" outlineLevel="0" collapsed="false">
      <c r="A320" s="9" t="s">
        <v>753</v>
      </c>
      <c r="B320" s="9" t="s">
        <v>754</v>
      </c>
      <c r="C320" s="9" t="s">
        <v>126</v>
      </c>
      <c r="D320" s="9" t="s">
        <v>127</v>
      </c>
      <c r="E320" s="9" t="s">
        <v>108</v>
      </c>
      <c r="F320" s="12" t="n">
        <v>22.47</v>
      </c>
      <c r="G320" s="12" t="n">
        <v>78.43</v>
      </c>
      <c r="H320" s="9" t="s">
        <v>87</v>
      </c>
      <c r="I320" s="9" t="s">
        <v>109</v>
      </c>
      <c r="J320" s="9" t="n">
        <v>2</v>
      </c>
      <c r="K320" s="9" t="s">
        <v>110</v>
      </c>
      <c r="L320" s="9"/>
    </row>
    <row r="321" customFormat="false" ht="15" hidden="false" customHeight="false" outlineLevel="0" collapsed="false">
      <c r="A321" s="9" t="s">
        <v>755</v>
      </c>
      <c r="B321" s="9" t="s">
        <v>756</v>
      </c>
      <c r="C321" s="9" t="s">
        <v>126</v>
      </c>
      <c r="D321" s="9" t="s">
        <v>127</v>
      </c>
      <c r="E321" s="9" t="s">
        <v>108</v>
      </c>
      <c r="F321" s="12" t="n">
        <v>22.36</v>
      </c>
      <c r="G321" s="12" t="n">
        <v>75.41</v>
      </c>
      <c r="H321" s="9" t="s">
        <v>87</v>
      </c>
      <c r="I321" s="9" t="s">
        <v>109</v>
      </c>
      <c r="J321" s="9" t="n">
        <v>2</v>
      </c>
      <c r="K321" s="9" t="s">
        <v>110</v>
      </c>
      <c r="L321" s="9"/>
    </row>
    <row r="322" customFormat="false" ht="15" hidden="false" customHeight="false" outlineLevel="0" collapsed="false">
      <c r="A322" s="9" t="s">
        <v>757</v>
      </c>
      <c r="B322" s="9" t="s">
        <v>758</v>
      </c>
      <c r="C322" s="9" t="s">
        <v>126</v>
      </c>
      <c r="D322" s="9" t="s">
        <v>127</v>
      </c>
      <c r="E322" s="9" t="s">
        <v>108</v>
      </c>
      <c r="F322" s="12" t="n">
        <v>23.48</v>
      </c>
      <c r="G322" s="12" t="n">
        <v>77.74</v>
      </c>
      <c r="H322" s="9" t="s">
        <v>87</v>
      </c>
      <c r="I322" s="9" t="s">
        <v>109</v>
      </c>
      <c r="J322" s="9" t="n">
        <v>2</v>
      </c>
      <c r="K322" s="9" t="s">
        <v>110</v>
      </c>
      <c r="L322" s="9"/>
    </row>
    <row r="323" customFormat="false" ht="15" hidden="false" customHeight="false" outlineLevel="0" collapsed="false">
      <c r="A323" s="9" t="s">
        <v>759</v>
      </c>
      <c r="B323" s="9" t="s">
        <v>760</v>
      </c>
      <c r="C323" s="9" t="s">
        <v>126</v>
      </c>
      <c r="D323" s="9" t="s">
        <v>127</v>
      </c>
      <c r="E323" s="9" t="s">
        <v>108</v>
      </c>
      <c r="F323" s="12" t="n">
        <v>22.94</v>
      </c>
      <c r="G323" s="12" t="n">
        <v>77.61</v>
      </c>
      <c r="H323" s="9" t="s">
        <v>87</v>
      </c>
      <c r="I323" s="9" t="s">
        <v>109</v>
      </c>
      <c r="J323" s="9" t="n">
        <v>2</v>
      </c>
      <c r="K323" s="9" t="s">
        <v>110</v>
      </c>
      <c r="L323" s="9"/>
    </row>
    <row r="324" customFormat="false" ht="15" hidden="false" customHeight="false" outlineLevel="0" collapsed="false">
      <c r="A324" s="9" t="s">
        <v>761</v>
      </c>
      <c r="B324" s="9" t="s">
        <v>762</v>
      </c>
      <c r="C324" s="9" t="s">
        <v>126</v>
      </c>
      <c r="D324" s="9" t="s">
        <v>127</v>
      </c>
      <c r="E324" s="9" t="s">
        <v>108</v>
      </c>
      <c r="F324" s="12" t="n">
        <v>22.24</v>
      </c>
      <c r="G324" s="12" t="n">
        <v>76.15</v>
      </c>
      <c r="H324" s="9" t="s">
        <v>87</v>
      </c>
      <c r="I324" s="9" t="s">
        <v>109</v>
      </c>
      <c r="J324" s="9" t="n">
        <v>2</v>
      </c>
      <c r="K324" s="9" t="s">
        <v>110</v>
      </c>
      <c r="L324" s="9"/>
    </row>
    <row r="325" customFormat="false" ht="15" hidden="false" customHeight="false" outlineLevel="0" collapsed="false">
      <c r="A325" s="9" t="s">
        <v>763</v>
      </c>
      <c r="B325" s="9" t="s">
        <v>764</v>
      </c>
      <c r="C325" s="9" t="s">
        <v>126</v>
      </c>
      <c r="D325" s="9" t="s">
        <v>127</v>
      </c>
      <c r="E325" s="9" t="s">
        <v>108</v>
      </c>
      <c r="F325" s="12" t="n">
        <v>22.18</v>
      </c>
      <c r="G325" s="12" t="n">
        <v>75.59</v>
      </c>
      <c r="H325" s="9" t="s">
        <v>65</v>
      </c>
      <c r="I325" s="9" t="s">
        <v>109</v>
      </c>
      <c r="J325" s="9" t="n">
        <v>2</v>
      </c>
      <c r="K325" s="9" t="s">
        <v>110</v>
      </c>
      <c r="L325" s="9"/>
    </row>
    <row r="326" customFormat="false" ht="15" hidden="false" customHeight="false" outlineLevel="0" collapsed="false">
      <c r="A326" s="9" t="s">
        <v>765</v>
      </c>
      <c r="B326" s="9" t="s">
        <v>766</v>
      </c>
      <c r="C326" s="9" t="s">
        <v>126</v>
      </c>
      <c r="D326" s="9" t="s">
        <v>127</v>
      </c>
      <c r="E326" s="9" t="s">
        <v>108</v>
      </c>
      <c r="F326" s="12" t="n">
        <v>22.67</v>
      </c>
      <c r="G326" s="12" t="n">
        <v>81.75</v>
      </c>
      <c r="H326" s="9" t="s">
        <v>87</v>
      </c>
      <c r="I326" s="9" t="s">
        <v>109</v>
      </c>
      <c r="J326" s="9" t="n">
        <v>2</v>
      </c>
      <c r="K326" s="9" t="s">
        <v>110</v>
      </c>
      <c r="L326" s="9"/>
    </row>
    <row r="327" customFormat="false" ht="15" hidden="false" customHeight="false" outlineLevel="0" collapsed="false">
      <c r="A327" s="9" t="s">
        <v>767</v>
      </c>
      <c r="B327" s="9" t="s">
        <v>768</v>
      </c>
      <c r="C327" s="9" t="s">
        <v>126</v>
      </c>
      <c r="D327" s="9" t="s">
        <v>127</v>
      </c>
      <c r="E327" s="9" t="s">
        <v>108</v>
      </c>
      <c r="F327" s="12" t="n">
        <v>22.33</v>
      </c>
      <c r="G327" s="12" t="n">
        <v>80.61</v>
      </c>
      <c r="H327" s="9" t="s">
        <v>87</v>
      </c>
      <c r="I327" s="9" t="s">
        <v>109</v>
      </c>
      <c r="J327" s="9" t="n">
        <v>2</v>
      </c>
      <c r="K327" s="9" t="s">
        <v>110</v>
      </c>
      <c r="L327" s="9"/>
    </row>
    <row r="328" customFormat="false" ht="15" hidden="false" customHeight="false" outlineLevel="0" collapsed="false">
      <c r="A328" s="9" t="s">
        <v>769</v>
      </c>
      <c r="B328" s="9" t="s">
        <v>770</v>
      </c>
      <c r="C328" s="9" t="s">
        <v>126</v>
      </c>
      <c r="D328" s="9" t="s">
        <v>127</v>
      </c>
      <c r="E328" s="9" t="s">
        <v>108</v>
      </c>
      <c r="F328" s="12" t="n">
        <v>23.72</v>
      </c>
      <c r="G328" s="12" t="n">
        <v>81.03</v>
      </c>
      <c r="H328" s="9" t="s">
        <v>87</v>
      </c>
      <c r="I328" s="9" t="s">
        <v>109</v>
      </c>
      <c r="J328" s="9" t="n">
        <v>2</v>
      </c>
      <c r="K328" s="9" t="s">
        <v>110</v>
      </c>
      <c r="L328" s="9"/>
    </row>
    <row r="329" customFormat="false" ht="15" hidden="false" customHeight="false" outlineLevel="0" collapsed="false">
      <c r="A329" s="9" t="s">
        <v>771</v>
      </c>
      <c r="B329" s="9" t="s">
        <v>772</v>
      </c>
      <c r="C329" s="9" t="s">
        <v>126</v>
      </c>
      <c r="D329" s="9" t="s">
        <v>127</v>
      </c>
      <c r="E329" s="9" t="s">
        <v>108</v>
      </c>
      <c r="F329" s="12" t="n">
        <v>21.7</v>
      </c>
      <c r="G329" s="12" t="n">
        <v>79.3</v>
      </c>
      <c r="H329" s="9" t="s">
        <v>87</v>
      </c>
      <c r="I329" s="9" t="s">
        <v>109</v>
      </c>
      <c r="J329" s="9" t="n">
        <v>2</v>
      </c>
      <c r="K329" s="9" t="s">
        <v>110</v>
      </c>
      <c r="L329" s="9"/>
    </row>
    <row r="330" customFormat="false" ht="15" hidden="false" customHeight="false" outlineLevel="0" collapsed="false">
      <c r="A330" s="9" t="s">
        <v>773</v>
      </c>
      <c r="B330" s="9" t="s">
        <v>774</v>
      </c>
      <c r="C330" s="9" t="s">
        <v>126</v>
      </c>
      <c r="D330" s="9" t="s">
        <v>127</v>
      </c>
      <c r="E330" s="9" t="s">
        <v>108</v>
      </c>
      <c r="F330" s="12" t="n">
        <v>22.5</v>
      </c>
      <c r="G330" s="12" t="n">
        <v>78.1</v>
      </c>
      <c r="H330" s="9" t="s">
        <v>87</v>
      </c>
      <c r="I330" s="9" t="s">
        <v>109</v>
      </c>
      <c r="J330" s="9" t="n">
        <v>2</v>
      </c>
      <c r="K330" s="9" t="s">
        <v>110</v>
      </c>
      <c r="L330" s="9" t="s">
        <v>639</v>
      </c>
    </row>
    <row r="331" customFormat="false" ht="15" hidden="false" customHeight="false" outlineLevel="0" collapsed="false">
      <c r="A331" s="9" t="s">
        <v>775</v>
      </c>
      <c r="B331" s="9" t="s">
        <v>776</v>
      </c>
      <c r="C331" s="9" t="s">
        <v>126</v>
      </c>
      <c r="D331" s="9" t="s">
        <v>127</v>
      </c>
      <c r="E331" s="9" t="s">
        <v>108</v>
      </c>
      <c r="F331" s="12" t="n">
        <v>24.71</v>
      </c>
      <c r="G331" s="12" t="n">
        <v>78.13</v>
      </c>
      <c r="H331" s="9" t="s">
        <v>65</v>
      </c>
      <c r="I331" s="9" t="s">
        <v>109</v>
      </c>
      <c r="J331" s="9" t="n">
        <v>2</v>
      </c>
      <c r="K331" s="9" t="s">
        <v>110</v>
      </c>
      <c r="L331" s="9"/>
    </row>
    <row r="332" customFormat="false" ht="15" hidden="false" customHeight="false" outlineLevel="0" collapsed="false">
      <c r="A332" s="9" t="s">
        <v>777</v>
      </c>
      <c r="B332" s="9" t="s">
        <v>778</v>
      </c>
      <c r="C332" s="9" t="s">
        <v>126</v>
      </c>
      <c r="D332" s="9" t="s">
        <v>127</v>
      </c>
      <c r="E332" s="9" t="s">
        <v>108</v>
      </c>
      <c r="F332" s="12" t="n">
        <v>21.31</v>
      </c>
      <c r="G332" s="12" t="n">
        <v>76.23</v>
      </c>
      <c r="H332" s="9" t="s">
        <v>65</v>
      </c>
      <c r="I332" s="9" t="s">
        <v>109</v>
      </c>
      <c r="J332" s="9" t="n">
        <v>2</v>
      </c>
      <c r="K332" s="9" t="s">
        <v>110</v>
      </c>
      <c r="L332" s="9"/>
    </row>
    <row r="333" customFormat="false" ht="15" hidden="false" customHeight="false" outlineLevel="0" collapsed="false">
      <c r="A333" s="9" t="s">
        <v>779</v>
      </c>
      <c r="B333" s="9" t="s">
        <v>780</v>
      </c>
      <c r="C333" s="9" t="s">
        <v>126</v>
      </c>
      <c r="D333" s="9" t="s">
        <v>127</v>
      </c>
      <c r="E333" s="9" t="s">
        <v>108</v>
      </c>
      <c r="F333" s="12" t="n">
        <v>25.42</v>
      </c>
      <c r="G333" s="12" t="n">
        <v>77.66</v>
      </c>
      <c r="H333" s="9" t="s">
        <v>65</v>
      </c>
      <c r="I333" s="9" t="s">
        <v>109</v>
      </c>
      <c r="J333" s="9" t="n">
        <v>2</v>
      </c>
      <c r="K333" s="9" t="s">
        <v>110</v>
      </c>
      <c r="L333" s="9"/>
    </row>
    <row r="334" customFormat="false" ht="15" hidden="false" customHeight="false" outlineLevel="0" collapsed="false">
      <c r="A334" s="9" t="s">
        <v>781</v>
      </c>
      <c r="B334" s="9" t="s">
        <v>782</v>
      </c>
      <c r="C334" s="9" t="s">
        <v>783</v>
      </c>
      <c r="D334" s="9" t="s">
        <v>784</v>
      </c>
      <c r="E334" s="9" t="s">
        <v>108</v>
      </c>
      <c r="F334" s="12" t="n">
        <v>26.14</v>
      </c>
      <c r="G334" s="12" t="n">
        <v>91.74</v>
      </c>
      <c r="H334" s="9" t="s">
        <v>65</v>
      </c>
      <c r="I334" s="9" t="s">
        <v>109</v>
      </c>
      <c r="J334" s="9" t="n">
        <v>2</v>
      </c>
      <c r="K334" s="9" t="s">
        <v>110</v>
      </c>
      <c r="L334" s="9"/>
    </row>
    <row r="335" customFormat="false" ht="15" hidden="false" customHeight="false" outlineLevel="0" collapsed="false">
      <c r="A335" s="9" t="s">
        <v>785</v>
      </c>
      <c r="B335" s="9" t="s">
        <v>786</v>
      </c>
      <c r="C335" s="9" t="s">
        <v>783</v>
      </c>
      <c r="D335" s="9" t="s">
        <v>784</v>
      </c>
      <c r="E335" s="9" t="s">
        <v>108</v>
      </c>
      <c r="F335" s="12" t="n">
        <v>26.58</v>
      </c>
      <c r="G335" s="12" t="n">
        <v>93.17</v>
      </c>
      <c r="H335" s="9" t="s">
        <v>87</v>
      </c>
      <c r="I335" s="9" t="s">
        <v>109</v>
      </c>
      <c r="J335" s="9" t="n">
        <v>2</v>
      </c>
      <c r="K335" s="9" t="s">
        <v>110</v>
      </c>
      <c r="L335" s="9"/>
    </row>
    <row r="336" customFormat="false" ht="15" hidden="false" customHeight="false" outlineLevel="0" collapsed="false">
      <c r="A336" s="9" t="s">
        <v>787</v>
      </c>
      <c r="B336" s="9" t="s">
        <v>788</v>
      </c>
      <c r="C336" s="9" t="s">
        <v>783</v>
      </c>
      <c r="D336" s="9" t="s">
        <v>784</v>
      </c>
      <c r="E336" s="9" t="s">
        <v>108</v>
      </c>
      <c r="F336" s="12" t="n">
        <v>26.72</v>
      </c>
      <c r="G336" s="12" t="n">
        <v>91</v>
      </c>
      <c r="H336" s="9" t="s">
        <v>87</v>
      </c>
      <c r="I336" s="9" t="s">
        <v>109</v>
      </c>
      <c r="J336" s="9" t="n">
        <v>2</v>
      </c>
      <c r="K336" s="9" t="s">
        <v>110</v>
      </c>
      <c r="L336" s="9"/>
    </row>
    <row r="337" customFormat="false" ht="15" hidden="false" customHeight="false" outlineLevel="0" collapsed="false">
      <c r="A337" s="9" t="s">
        <v>789</v>
      </c>
      <c r="B337" s="9" t="s">
        <v>790</v>
      </c>
      <c r="C337" s="9" t="s">
        <v>783</v>
      </c>
      <c r="D337" s="9" t="s">
        <v>784</v>
      </c>
      <c r="E337" s="9" t="s">
        <v>108</v>
      </c>
      <c r="F337" s="12" t="n">
        <v>26.95</v>
      </c>
      <c r="G337" s="12" t="n">
        <v>94.17</v>
      </c>
      <c r="H337" s="9" t="s">
        <v>87</v>
      </c>
      <c r="I337" s="9" t="s">
        <v>109</v>
      </c>
      <c r="J337" s="9" t="n">
        <v>2</v>
      </c>
      <c r="K337" s="9" t="s">
        <v>110</v>
      </c>
      <c r="L337" s="9"/>
    </row>
    <row r="338" customFormat="false" ht="15" hidden="false" customHeight="false" outlineLevel="0" collapsed="false">
      <c r="A338" s="9" t="s">
        <v>791</v>
      </c>
      <c r="B338" s="9" t="s">
        <v>792</v>
      </c>
      <c r="C338" s="9" t="s">
        <v>783</v>
      </c>
      <c r="D338" s="9" t="s">
        <v>784</v>
      </c>
      <c r="E338" s="9" t="s">
        <v>108</v>
      </c>
      <c r="F338" s="12" t="n">
        <v>26.98</v>
      </c>
      <c r="G338" s="12" t="n">
        <v>94.64</v>
      </c>
      <c r="H338" s="9" t="s">
        <v>87</v>
      </c>
      <c r="I338" s="9" t="s">
        <v>109</v>
      </c>
      <c r="J338" s="9" t="n">
        <v>2</v>
      </c>
      <c r="K338" s="9" t="s">
        <v>110</v>
      </c>
      <c r="L338" s="9"/>
    </row>
    <row r="339" customFormat="false" ht="15" hidden="false" customHeight="false" outlineLevel="0" collapsed="false">
      <c r="A339" s="9" t="s">
        <v>793</v>
      </c>
      <c r="B339" s="9" t="s">
        <v>794</v>
      </c>
      <c r="C339" s="9" t="s">
        <v>783</v>
      </c>
      <c r="D339" s="9" t="s">
        <v>784</v>
      </c>
      <c r="E339" s="9" t="s">
        <v>108</v>
      </c>
      <c r="F339" s="12" t="n">
        <v>26.75</v>
      </c>
      <c r="G339" s="12" t="n">
        <v>94.2</v>
      </c>
      <c r="H339" s="9" t="s">
        <v>65</v>
      </c>
      <c r="I339" s="9" t="s">
        <v>109</v>
      </c>
      <c r="J339" s="9" t="n">
        <v>2</v>
      </c>
      <c r="K339" s="9" t="s">
        <v>110</v>
      </c>
      <c r="L339" s="9"/>
    </row>
    <row r="340" customFormat="false" ht="15" hidden="false" customHeight="false" outlineLevel="0" collapsed="false">
      <c r="A340" s="9" t="s">
        <v>795</v>
      </c>
      <c r="B340" s="9" t="s">
        <v>796</v>
      </c>
      <c r="C340" s="9" t="s">
        <v>783</v>
      </c>
      <c r="D340" s="9" t="s">
        <v>784</v>
      </c>
      <c r="E340" s="9" t="s">
        <v>108</v>
      </c>
      <c r="F340" s="12" t="n">
        <v>25.17</v>
      </c>
      <c r="G340" s="12" t="n">
        <v>93.02</v>
      </c>
      <c r="H340" s="9" t="s">
        <v>65</v>
      </c>
      <c r="I340" s="9" t="s">
        <v>109</v>
      </c>
      <c r="J340" s="9" t="n">
        <v>2</v>
      </c>
      <c r="K340" s="9" t="s">
        <v>110</v>
      </c>
      <c r="L340" s="9"/>
    </row>
    <row r="341" customFormat="false" ht="15" hidden="false" customHeight="false" outlineLevel="0" collapsed="false">
      <c r="A341" s="9" t="s">
        <v>797</v>
      </c>
      <c r="B341" s="9" t="s">
        <v>798</v>
      </c>
      <c r="C341" s="9" t="s">
        <v>783</v>
      </c>
      <c r="D341" s="9" t="s">
        <v>784</v>
      </c>
      <c r="E341" s="9" t="s">
        <v>108</v>
      </c>
      <c r="F341" s="12" t="n">
        <v>26.63</v>
      </c>
      <c r="G341" s="12" t="n">
        <v>92.8</v>
      </c>
      <c r="H341" s="9" t="s">
        <v>65</v>
      </c>
      <c r="I341" s="9" t="s">
        <v>109</v>
      </c>
      <c r="J341" s="9" t="n">
        <v>2</v>
      </c>
      <c r="K341" s="9" t="s">
        <v>110</v>
      </c>
      <c r="L341" s="9"/>
    </row>
    <row r="342" customFormat="false" ht="15" hidden="false" customHeight="false" outlineLevel="0" collapsed="false">
      <c r="A342" s="9" t="s">
        <v>799</v>
      </c>
      <c r="B342" s="9" t="s">
        <v>800</v>
      </c>
      <c r="C342" s="9" t="s">
        <v>783</v>
      </c>
      <c r="D342" s="9" t="s">
        <v>784</v>
      </c>
      <c r="E342" s="9" t="s">
        <v>108</v>
      </c>
      <c r="F342" s="12" t="n">
        <v>27.48</v>
      </c>
      <c r="G342" s="12" t="n">
        <v>94.91</v>
      </c>
      <c r="H342" s="9" t="s">
        <v>65</v>
      </c>
      <c r="I342" s="9" t="s">
        <v>109</v>
      </c>
      <c r="J342" s="9" t="n">
        <v>2</v>
      </c>
      <c r="K342" s="9" t="s">
        <v>110</v>
      </c>
      <c r="L342" s="9"/>
    </row>
    <row r="343" customFormat="false" ht="15" hidden="false" customHeight="false" outlineLevel="0" collapsed="false">
      <c r="A343" s="9" t="s">
        <v>801</v>
      </c>
      <c r="B343" s="9" t="s">
        <v>802</v>
      </c>
      <c r="C343" s="9" t="s">
        <v>783</v>
      </c>
      <c r="D343" s="9" t="s">
        <v>784</v>
      </c>
      <c r="E343" s="9" t="s">
        <v>108</v>
      </c>
      <c r="F343" s="12" t="n">
        <v>26.24</v>
      </c>
      <c r="G343" s="12" t="n">
        <v>91.53</v>
      </c>
      <c r="H343" s="9" t="s">
        <v>65</v>
      </c>
      <c r="I343" s="9" t="s">
        <v>109</v>
      </c>
      <c r="J343" s="9" t="n">
        <v>2</v>
      </c>
      <c r="K343" s="9" t="s">
        <v>110</v>
      </c>
      <c r="L343" s="9"/>
    </row>
    <row r="344" customFormat="false" ht="15" hidden="false" customHeight="false" outlineLevel="0" collapsed="false">
      <c r="A344" s="9" t="s">
        <v>803</v>
      </c>
      <c r="B344" s="9" t="s">
        <v>804</v>
      </c>
      <c r="C344" s="9" t="s">
        <v>805</v>
      </c>
      <c r="D344" s="9" t="s">
        <v>784</v>
      </c>
      <c r="E344" s="9" t="s">
        <v>108</v>
      </c>
      <c r="F344" s="12" t="n">
        <v>27.59</v>
      </c>
      <c r="G344" s="12" t="n">
        <v>91.86</v>
      </c>
      <c r="H344" s="9" t="s">
        <v>87</v>
      </c>
      <c r="I344" s="9" t="s">
        <v>109</v>
      </c>
      <c r="J344" s="9" t="n">
        <v>2</v>
      </c>
      <c r="K344" s="9" t="s">
        <v>110</v>
      </c>
      <c r="L344" s="9"/>
    </row>
    <row r="345" customFormat="false" ht="15" hidden="false" customHeight="false" outlineLevel="0" collapsed="false">
      <c r="A345" s="9" t="s">
        <v>806</v>
      </c>
      <c r="B345" s="9" t="s">
        <v>807</v>
      </c>
      <c r="C345" s="9" t="s">
        <v>805</v>
      </c>
      <c r="D345" s="9" t="s">
        <v>784</v>
      </c>
      <c r="E345" s="9" t="s">
        <v>108</v>
      </c>
      <c r="F345" s="12" t="n">
        <v>27.55</v>
      </c>
      <c r="G345" s="12" t="n">
        <v>93.83</v>
      </c>
      <c r="H345" s="9" t="s">
        <v>87</v>
      </c>
      <c r="I345" s="9" t="s">
        <v>109</v>
      </c>
      <c r="J345" s="9" t="n">
        <v>2</v>
      </c>
      <c r="K345" s="9" t="s">
        <v>110</v>
      </c>
      <c r="L345" s="9"/>
    </row>
    <row r="346" customFormat="false" ht="15" hidden="false" customHeight="false" outlineLevel="0" collapsed="false">
      <c r="A346" s="9" t="s">
        <v>808</v>
      </c>
      <c r="B346" s="9" t="s">
        <v>809</v>
      </c>
      <c r="C346" s="9" t="s">
        <v>805</v>
      </c>
      <c r="D346" s="9" t="s">
        <v>784</v>
      </c>
      <c r="E346" s="9" t="s">
        <v>108</v>
      </c>
      <c r="F346" s="12" t="n">
        <v>27.26</v>
      </c>
      <c r="G346" s="12" t="n">
        <v>92.42</v>
      </c>
      <c r="H346" s="9" t="s">
        <v>87</v>
      </c>
      <c r="I346" s="9" t="s">
        <v>109</v>
      </c>
      <c r="J346" s="9" t="n">
        <v>2</v>
      </c>
      <c r="K346" s="9" t="s">
        <v>110</v>
      </c>
      <c r="L346" s="9"/>
    </row>
    <row r="347" customFormat="false" ht="15" hidden="false" customHeight="false" outlineLevel="0" collapsed="false">
      <c r="A347" s="9" t="s">
        <v>810</v>
      </c>
      <c r="B347" s="9" t="s">
        <v>811</v>
      </c>
      <c r="C347" s="9" t="s">
        <v>805</v>
      </c>
      <c r="D347" s="9" t="s">
        <v>784</v>
      </c>
      <c r="E347" s="9" t="s">
        <v>108</v>
      </c>
      <c r="F347" s="12" t="n">
        <v>27.36</v>
      </c>
      <c r="G347" s="12" t="n">
        <v>92.24</v>
      </c>
      <c r="H347" s="9" t="s">
        <v>87</v>
      </c>
      <c r="I347" s="9" t="s">
        <v>109</v>
      </c>
      <c r="J347" s="9" t="n">
        <v>2</v>
      </c>
      <c r="K347" s="9" t="s">
        <v>110</v>
      </c>
      <c r="L347" s="9"/>
    </row>
    <row r="348" customFormat="false" ht="15" hidden="false" customHeight="false" outlineLevel="0" collapsed="false">
      <c r="A348" s="9" t="s">
        <v>812</v>
      </c>
      <c r="B348" s="9" t="s">
        <v>813</v>
      </c>
      <c r="C348" s="9" t="s">
        <v>805</v>
      </c>
      <c r="D348" s="9" t="s">
        <v>784</v>
      </c>
      <c r="E348" s="9" t="s">
        <v>108</v>
      </c>
      <c r="F348" s="12" t="n">
        <v>27.09</v>
      </c>
      <c r="G348" s="12" t="n">
        <v>93.62</v>
      </c>
      <c r="H348" s="9" t="s">
        <v>65</v>
      </c>
      <c r="I348" s="9" t="s">
        <v>109</v>
      </c>
      <c r="J348" s="9" t="n">
        <v>2</v>
      </c>
      <c r="K348" s="9" t="s">
        <v>110</v>
      </c>
      <c r="L348" s="9"/>
    </row>
    <row r="349" customFormat="false" ht="15" hidden="false" customHeight="false" outlineLevel="0" collapsed="false">
      <c r="A349" s="9" t="s">
        <v>814</v>
      </c>
      <c r="B349" s="9" t="s">
        <v>815</v>
      </c>
      <c r="C349" s="9" t="s">
        <v>816</v>
      </c>
      <c r="D349" s="9" t="s">
        <v>784</v>
      </c>
      <c r="E349" s="9" t="s">
        <v>108</v>
      </c>
      <c r="F349" s="12" t="n">
        <v>25.57</v>
      </c>
      <c r="G349" s="12" t="n">
        <v>91.88</v>
      </c>
      <c r="H349" s="9" t="s">
        <v>65</v>
      </c>
      <c r="I349" s="9" t="s">
        <v>109</v>
      </c>
      <c r="J349" s="9" t="n">
        <v>2</v>
      </c>
      <c r="K349" s="9" t="s">
        <v>110</v>
      </c>
      <c r="L349" s="9"/>
    </row>
    <row r="350" customFormat="false" ht="15" hidden="false" customHeight="false" outlineLevel="0" collapsed="false">
      <c r="A350" s="9" t="s">
        <v>817</v>
      </c>
      <c r="B350" s="9" t="s">
        <v>818</v>
      </c>
      <c r="C350" s="9" t="s">
        <v>816</v>
      </c>
      <c r="D350" s="9" t="s">
        <v>784</v>
      </c>
      <c r="E350" s="9" t="s">
        <v>108</v>
      </c>
      <c r="F350" s="12" t="n">
        <v>25.27</v>
      </c>
      <c r="G350" s="12" t="n">
        <v>91.73</v>
      </c>
      <c r="H350" s="9" t="s">
        <v>87</v>
      </c>
      <c r="I350" s="9" t="s">
        <v>109</v>
      </c>
      <c r="J350" s="9" t="n">
        <v>2</v>
      </c>
      <c r="K350" s="9" t="s">
        <v>110</v>
      </c>
      <c r="L350" s="9" t="s">
        <v>819</v>
      </c>
    </row>
    <row r="351" customFormat="false" ht="15" hidden="false" customHeight="false" outlineLevel="0" collapsed="false">
      <c r="A351" s="9" t="s">
        <v>820</v>
      </c>
      <c r="B351" s="9" t="s">
        <v>821</v>
      </c>
      <c r="C351" s="9" t="s">
        <v>816</v>
      </c>
      <c r="D351" s="9" t="s">
        <v>784</v>
      </c>
      <c r="E351" s="9" t="s">
        <v>108</v>
      </c>
      <c r="F351" s="12" t="n">
        <v>25.2</v>
      </c>
      <c r="G351" s="12" t="n">
        <v>91.92</v>
      </c>
      <c r="H351" s="9" t="s">
        <v>87</v>
      </c>
      <c r="I351" s="9" t="s">
        <v>109</v>
      </c>
      <c r="J351" s="9" t="n">
        <v>2</v>
      </c>
      <c r="K351" s="9" t="s">
        <v>110</v>
      </c>
      <c r="L351" s="9"/>
    </row>
    <row r="352" customFormat="false" ht="15" hidden="false" customHeight="false" outlineLevel="0" collapsed="false">
      <c r="A352" s="9" t="s">
        <v>822</v>
      </c>
      <c r="B352" s="9" t="s">
        <v>823</v>
      </c>
      <c r="C352" s="9" t="s">
        <v>816</v>
      </c>
      <c r="D352" s="9" t="s">
        <v>784</v>
      </c>
      <c r="E352" s="9" t="s">
        <v>108</v>
      </c>
      <c r="F352" s="12" t="n">
        <v>25.19</v>
      </c>
      <c r="G352" s="12" t="n">
        <v>92.02</v>
      </c>
      <c r="H352" s="9" t="s">
        <v>87</v>
      </c>
      <c r="I352" s="9" t="s">
        <v>109</v>
      </c>
      <c r="J352" s="9" t="n">
        <v>2</v>
      </c>
      <c r="K352" s="9" t="s">
        <v>110</v>
      </c>
      <c r="L352" s="9"/>
    </row>
    <row r="353" customFormat="false" ht="15" hidden="false" customHeight="false" outlineLevel="0" collapsed="false">
      <c r="A353" s="9" t="s">
        <v>824</v>
      </c>
      <c r="B353" s="9" t="s">
        <v>825</v>
      </c>
      <c r="C353" s="9" t="s">
        <v>826</v>
      </c>
      <c r="D353" s="9" t="s">
        <v>784</v>
      </c>
      <c r="E353" s="9" t="s">
        <v>108</v>
      </c>
      <c r="F353" s="12" t="n">
        <v>23.73</v>
      </c>
      <c r="G353" s="12" t="n">
        <v>92.72</v>
      </c>
      <c r="H353" s="9" t="s">
        <v>65</v>
      </c>
      <c r="I353" s="9" t="s">
        <v>109</v>
      </c>
      <c r="J353" s="9" t="n">
        <v>2</v>
      </c>
      <c r="K353" s="9" t="s">
        <v>110</v>
      </c>
      <c r="L353" s="9"/>
    </row>
    <row r="354" customFormat="false" ht="15" hidden="false" customHeight="false" outlineLevel="0" collapsed="false">
      <c r="A354" s="9" t="s">
        <v>827</v>
      </c>
      <c r="B354" s="9" t="s">
        <v>828</v>
      </c>
      <c r="C354" s="9" t="s">
        <v>826</v>
      </c>
      <c r="D354" s="9" t="s">
        <v>784</v>
      </c>
      <c r="E354" s="9" t="s">
        <v>108</v>
      </c>
      <c r="F354" s="12" t="n">
        <v>23.47</v>
      </c>
      <c r="G354" s="12" t="n">
        <v>93.33</v>
      </c>
      <c r="H354" s="9" t="s">
        <v>65</v>
      </c>
      <c r="I354" s="9" t="s">
        <v>109</v>
      </c>
      <c r="J354" s="9" t="n">
        <v>2</v>
      </c>
      <c r="K354" s="9" t="s">
        <v>110</v>
      </c>
      <c r="L354" s="9"/>
    </row>
    <row r="355" customFormat="false" ht="15" hidden="false" customHeight="false" outlineLevel="0" collapsed="false">
      <c r="A355" s="9" t="s">
        <v>829</v>
      </c>
      <c r="B355" s="9" t="s">
        <v>830</v>
      </c>
      <c r="C355" s="9" t="s">
        <v>831</v>
      </c>
      <c r="D355" s="9" t="s">
        <v>784</v>
      </c>
      <c r="E355" s="9" t="s">
        <v>108</v>
      </c>
      <c r="F355" s="12" t="n">
        <v>25.67</v>
      </c>
      <c r="G355" s="12" t="n">
        <v>94.11</v>
      </c>
      <c r="H355" s="9" t="s">
        <v>65</v>
      </c>
      <c r="I355" s="9" t="s">
        <v>109</v>
      </c>
      <c r="J355" s="9" t="n">
        <v>2</v>
      </c>
      <c r="K355" s="9" t="s">
        <v>110</v>
      </c>
      <c r="L355" s="9"/>
    </row>
    <row r="356" customFormat="false" ht="15" hidden="false" customHeight="false" outlineLevel="0" collapsed="false">
      <c r="A356" s="9" t="s">
        <v>832</v>
      </c>
      <c r="B356" s="9" t="s">
        <v>833</v>
      </c>
      <c r="C356" s="9" t="s">
        <v>831</v>
      </c>
      <c r="D356" s="9" t="s">
        <v>784</v>
      </c>
      <c r="E356" s="9" t="s">
        <v>108</v>
      </c>
      <c r="F356" s="12" t="n">
        <v>25.55</v>
      </c>
      <c r="G356" s="12" t="n">
        <v>94.06</v>
      </c>
      <c r="H356" s="9" t="s">
        <v>87</v>
      </c>
      <c r="I356" s="9" t="s">
        <v>109</v>
      </c>
      <c r="J356" s="9" t="n">
        <v>2</v>
      </c>
      <c r="K356" s="9" t="s">
        <v>110</v>
      </c>
      <c r="L356" s="9"/>
    </row>
    <row r="357" customFormat="false" ht="15" hidden="false" customHeight="false" outlineLevel="0" collapsed="false">
      <c r="A357" s="9" t="s">
        <v>834</v>
      </c>
      <c r="B357" s="9" t="s">
        <v>835</v>
      </c>
      <c r="C357" s="9" t="s">
        <v>836</v>
      </c>
      <c r="D357" s="9" t="s">
        <v>784</v>
      </c>
      <c r="E357" s="9" t="s">
        <v>108</v>
      </c>
      <c r="F357" s="12" t="n">
        <v>24.82</v>
      </c>
      <c r="G357" s="12" t="n">
        <v>93.94</v>
      </c>
      <c r="H357" s="9" t="s">
        <v>65</v>
      </c>
      <c r="I357" s="9" t="s">
        <v>109</v>
      </c>
      <c r="J357" s="9" t="n">
        <v>2</v>
      </c>
      <c r="K357" s="9" t="s">
        <v>110</v>
      </c>
      <c r="L357" s="9"/>
    </row>
    <row r="358" customFormat="false" ht="15" hidden="false" customHeight="false" outlineLevel="0" collapsed="false">
      <c r="A358" s="9" t="s">
        <v>837</v>
      </c>
      <c r="B358" s="9" t="s">
        <v>838</v>
      </c>
      <c r="C358" s="9" t="s">
        <v>836</v>
      </c>
      <c r="D358" s="9" t="s">
        <v>784</v>
      </c>
      <c r="E358" s="9" t="s">
        <v>108</v>
      </c>
      <c r="F358" s="12" t="n">
        <v>24.51</v>
      </c>
      <c r="G358" s="12" t="n">
        <v>93.8</v>
      </c>
      <c r="H358" s="9" t="s">
        <v>87</v>
      </c>
      <c r="I358" s="9" t="s">
        <v>109</v>
      </c>
      <c r="J358" s="9" t="n">
        <v>2</v>
      </c>
      <c r="K358" s="9" t="s">
        <v>110</v>
      </c>
      <c r="L358" s="9"/>
    </row>
    <row r="359" customFormat="false" ht="15" hidden="false" customHeight="false" outlineLevel="0" collapsed="false">
      <c r="A359" s="9" t="s">
        <v>839</v>
      </c>
      <c r="B359" s="9" t="s">
        <v>840</v>
      </c>
      <c r="C359" s="9" t="s">
        <v>836</v>
      </c>
      <c r="D359" s="9" t="s">
        <v>784</v>
      </c>
      <c r="E359" s="9" t="s">
        <v>108</v>
      </c>
      <c r="F359" s="12" t="n">
        <v>25.1</v>
      </c>
      <c r="G359" s="12" t="n">
        <v>94.36</v>
      </c>
      <c r="H359" s="9" t="s">
        <v>65</v>
      </c>
      <c r="I359" s="9" t="s">
        <v>109</v>
      </c>
      <c r="J359" s="9" t="n">
        <v>2</v>
      </c>
      <c r="K359" s="9" t="s">
        <v>110</v>
      </c>
      <c r="L359" s="9"/>
    </row>
    <row r="360" customFormat="false" ht="15" hidden="false" customHeight="false" outlineLevel="0" collapsed="false">
      <c r="A360" s="9" t="s">
        <v>841</v>
      </c>
      <c r="B360" s="9" t="s">
        <v>842</v>
      </c>
      <c r="C360" s="9" t="s">
        <v>843</v>
      </c>
      <c r="D360" s="9" t="s">
        <v>784</v>
      </c>
      <c r="E360" s="9" t="s">
        <v>108</v>
      </c>
      <c r="F360" s="12" t="n">
        <v>23.83</v>
      </c>
      <c r="G360" s="12" t="n">
        <v>91.28</v>
      </c>
      <c r="H360" s="9" t="s">
        <v>65</v>
      </c>
      <c r="I360" s="9" t="s">
        <v>109</v>
      </c>
      <c r="J360" s="9" t="n">
        <v>2</v>
      </c>
      <c r="K360" s="9" t="s">
        <v>110</v>
      </c>
      <c r="L360" s="9"/>
    </row>
    <row r="361" customFormat="false" ht="15" hidden="false" customHeight="false" outlineLevel="0" collapsed="false">
      <c r="A361" s="9" t="s">
        <v>844</v>
      </c>
      <c r="B361" s="9" t="s">
        <v>845</v>
      </c>
      <c r="C361" s="9" t="s">
        <v>843</v>
      </c>
      <c r="D361" s="9" t="s">
        <v>784</v>
      </c>
      <c r="E361" s="9" t="s">
        <v>108</v>
      </c>
      <c r="F361" s="12" t="n">
        <v>24.32</v>
      </c>
      <c r="G361" s="12" t="n">
        <v>92.06</v>
      </c>
      <c r="H361" s="9" t="s">
        <v>87</v>
      </c>
      <c r="I361" s="9" t="s">
        <v>109</v>
      </c>
      <c r="J361" s="9" t="n">
        <v>2</v>
      </c>
      <c r="K361" s="9" t="s">
        <v>110</v>
      </c>
      <c r="L361" s="9"/>
    </row>
    <row r="362" customFormat="false" ht="15" hidden="false" customHeight="false" outlineLevel="0" collapsed="false">
      <c r="A362" s="9" t="s">
        <v>846</v>
      </c>
      <c r="B362" s="9" t="s">
        <v>847</v>
      </c>
      <c r="C362" s="9" t="s">
        <v>848</v>
      </c>
      <c r="D362" s="9" t="s">
        <v>784</v>
      </c>
      <c r="E362" s="9" t="s">
        <v>108</v>
      </c>
      <c r="F362" s="12" t="n">
        <v>27.33</v>
      </c>
      <c r="G362" s="12" t="n">
        <v>88.61</v>
      </c>
      <c r="H362" s="9" t="s">
        <v>65</v>
      </c>
      <c r="I362" s="9" t="s">
        <v>109</v>
      </c>
      <c r="J362" s="9" t="n">
        <v>2</v>
      </c>
      <c r="K362" s="9" t="s">
        <v>110</v>
      </c>
      <c r="L362" s="9"/>
    </row>
    <row r="363" customFormat="false" ht="15" hidden="false" customHeight="false" outlineLevel="0" collapsed="false">
      <c r="A363" s="9" t="s">
        <v>849</v>
      </c>
      <c r="B363" s="9" t="s">
        <v>850</v>
      </c>
      <c r="C363" s="9" t="s">
        <v>848</v>
      </c>
      <c r="D363" s="9" t="s">
        <v>784</v>
      </c>
      <c r="E363" s="9" t="s">
        <v>108</v>
      </c>
      <c r="F363" s="12" t="n">
        <v>27.3</v>
      </c>
      <c r="G363" s="12" t="n">
        <v>88.24</v>
      </c>
      <c r="H363" s="9" t="s">
        <v>87</v>
      </c>
      <c r="I363" s="9" t="s">
        <v>109</v>
      </c>
      <c r="J363" s="9" t="n">
        <v>2</v>
      </c>
      <c r="K363" s="9" t="s">
        <v>110</v>
      </c>
      <c r="L363" s="9"/>
    </row>
    <row r="364" customFormat="false" ht="15" hidden="false" customHeight="false" outlineLevel="0" collapsed="false">
      <c r="A364" s="9" t="s">
        <v>851</v>
      </c>
      <c r="B364" s="9" t="s">
        <v>852</v>
      </c>
      <c r="C364" s="9" t="s">
        <v>848</v>
      </c>
      <c r="D364" s="9" t="s">
        <v>784</v>
      </c>
      <c r="E364" s="9" t="s">
        <v>108</v>
      </c>
      <c r="F364" s="12" t="n">
        <v>27.69</v>
      </c>
      <c r="G364" s="12" t="n">
        <v>88.74</v>
      </c>
      <c r="H364" s="9" t="s">
        <v>87</v>
      </c>
      <c r="I364" s="9" t="s">
        <v>109</v>
      </c>
      <c r="J364" s="9" t="n">
        <v>2</v>
      </c>
      <c r="K364" s="9" t="s">
        <v>110</v>
      </c>
      <c r="L364" s="9"/>
    </row>
    <row r="365" customFormat="false" ht="15" hidden="false" customHeight="false" outlineLevel="0" collapsed="false">
      <c r="A365" s="9" t="s">
        <v>853</v>
      </c>
      <c r="B365" s="9" t="s">
        <v>854</v>
      </c>
      <c r="C365" s="9" t="s">
        <v>848</v>
      </c>
      <c r="D365" s="9" t="s">
        <v>784</v>
      </c>
      <c r="E365" s="9" t="s">
        <v>108</v>
      </c>
      <c r="F365" s="12" t="n">
        <v>27.82</v>
      </c>
      <c r="G365" s="12" t="n">
        <v>88.7</v>
      </c>
      <c r="H365" s="9" t="s">
        <v>87</v>
      </c>
      <c r="I365" s="9" t="s">
        <v>109</v>
      </c>
      <c r="J365" s="9" t="n">
        <v>2</v>
      </c>
      <c r="K365" s="9" t="s">
        <v>110</v>
      </c>
      <c r="L365" s="9"/>
    </row>
    <row r="366" customFormat="false" ht="15" hidden="false" customHeight="false" outlineLevel="0" collapsed="false">
      <c r="A366" s="9" t="s">
        <v>855</v>
      </c>
      <c r="B366" s="9" t="s">
        <v>856</v>
      </c>
      <c r="C366" s="9" t="s">
        <v>848</v>
      </c>
      <c r="D366" s="9" t="s">
        <v>784</v>
      </c>
      <c r="E366" s="9" t="s">
        <v>108</v>
      </c>
      <c r="F366" s="12" t="n">
        <v>27.39</v>
      </c>
      <c r="G366" s="12" t="n">
        <v>88.83</v>
      </c>
      <c r="H366" s="9" t="s">
        <v>87</v>
      </c>
      <c r="I366" s="9" t="s">
        <v>109</v>
      </c>
      <c r="J366" s="9" t="n">
        <v>2</v>
      </c>
      <c r="K366" s="9" t="s">
        <v>110</v>
      </c>
      <c r="L366" s="9"/>
    </row>
    <row r="367" customFormat="false" ht="15" hidden="false" customHeight="false" outlineLevel="0" collapsed="false">
      <c r="A367" s="9" t="s">
        <v>857</v>
      </c>
      <c r="B367" s="9" t="s">
        <v>858</v>
      </c>
      <c r="C367" s="9" t="s">
        <v>848</v>
      </c>
      <c r="D367" s="9" t="s">
        <v>784</v>
      </c>
      <c r="E367" s="9" t="s">
        <v>108</v>
      </c>
      <c r="F367" s="12" t="n">
        <v>27.3</v>
      </c>
      <c r="G367" s="12" t="n">
        <v>88.36</v>
      </c>
      <c r="H367" s="9" t="s">
        <v>87</v>
      </c>
      <c r="I367" s="9" t="s">
        <v>109</v>
      </c>
      <c r="J367" s="9" t="n">
        <v>2</v>
      </c>
      <c r="K367" s="9" t="s">
        <v>110</v>
      </c>
      <c r="L367" s="9"/>
    </row>
    <row r="368" customFormat="false" ht="15" hidden="false" customHeight="false" outlineLevel="0" collapsed="false">
      <c r="A368" s="9" t="s">
        <v>859</v>
      </c>
      <c r="B368" s="9" t="s">
        <v>860</v>
      </c>
      <c r="C368" s="9" t="s">
        <v>848</v>
      </c>
      <c r="D368" s="9" t="s">
        <v>784</v>
      </c>
      <c r="E368" s="9" t="s">
        <v>108</v>
      </c>
      <c r="F368" s="12" t="n">
        <v>27.17</v>
      </c>
      <c r="G368" s="12" t="n">
        <v>88.36</v>
      </c>
      <c r="H368" s="9" t="s">
        <v>87</v>
      </c>
      <c r="I368" s="9" t="s">
        <v>109</v>
      </c>
      <c r="J368" s="9" t="n">
        <v>2</v>
      </c>
      <c r="K368" s="9" t="s">
        <v>110</v>
      </c>
      <c r="L368" s="9"/>
    </row>
    <row r="369" customFormat="false" ht="15" hidden="false" customHeight="false" outlineLevel="0" collapsed="false">
      <c r="A369" s="9" t="s">
        <v>861</v>
      </c>
      <c r="B369" s="9" t="s">
        <v>862</v>
      </c>
      <c r="C369" s="9" t="s">
        <v>148</v>
      </c>
      <c r="D369" s="9" t="s">
        <v>63</v>
      </c>
      <c r="E369" s="9" t="s">
        <v>108</v>
      </c>
      <c r="F369" s="12" t="n">
        <v>30.53</v>
      </c>
      <c r="G369" s="12" t="n">
        <v>79.57</v>
      </c>
      <c r="H369" s="9" t="s">
        <v>87</v>
      </c>
      <c r="I369" s="9" t="s">
        <v>109</v>
      </c>
      <c r="J369" s="9" t="n">
        <v>2</v>
      </c>
      <c r="K369" s="9" t="s">
        <v>110</v>
      </c>
      <c r="L369" s="9"/>
    </row>
    <row r="370" customFormat="false" ht="15" hidden="false" customHeight="false" outlineLevel="0" collapsed="false">
      <c r="A370" s="9" t="s">
        <v>863</v>
      </c>
      <c r="B370" s="9" t="s">
        <v>864</v>
      </c>
      <c r="C370" s="9" t="s">
        <v>148</v>
      </c>
      <c r="D370" s="9" t="s">
        <v>63</v>
      </c>
      <c r="E370" s="9" t="s">
        <v>108</v>
      </c>
      <c r="F370" s="12" t="n">
        <v>30.49</v>
      </c>
      <c r="G370" s="12" t="n">
        <v>79.02</v>
      </c>
      <c r="H370" s="9" t="s">
        <v>87</v>
      </c>
      <c r="I370" s="9" t="s">
        <v>109</v>
      </c>
      <c r="J370" s="9" t="n">
        <v>2</v>
      </c>
      <c r="K370" s="9" t="s">
        <v>110</v>
      </c>
      <c r="L370" s="9"/>
    </row>
    <row r="371" customFormat="false" ht="15" hidden="false" customHeight="false" outlineLevel="0" collapsed="false">
      <c r="A371" s="9" t="s">
        <v>865</v>
      </c>
      <c r="B371" s="9" t="s">
        <v>866</v>
      </c>
      <c r="C371" s="9" t="s">
        <v>148</v>
      </c>
      <c r="D371" s="9" t="s">
        <v>63</v>
      </c>
      <c r="E371" s="9" t="s">
        <v>108</v>
      </c>
      <c r="F371" s="12" t="n">
        <v>29.84</v>
      </c>
      <c r="G371" s="12" t="n">
        <v>78.68</v>
      </c>
      <c r="H371" s="9" t="s">
        <v>87</v>
      </c>
      <c r="I371" s="9" t="s">
        <v>109</v>
      </c>
      <c r="J371" s="9" t="n">
        <v>2</v>
      </c>
      <c r="K371" s="9" t="s">
        <v>110</v>
      </c>
      <c r="L371" s="9"/>
    </row>
    <row r="372" customFormat="false" ht="15" hidden="false" customHeight="false" outlineLevel="0" collapsed="false">
      <c r="A372" s="9" t="s">
        <v>867</v>
      </c>
      <c r="B372" s="9" t="s">
        <v>868</v>
      </c>
      <c r="C372" s="9" t="s">
        <v>148</v>
      </c>
      <c r="D372" s="9" t="s">
        <v>63</v>
      </c>
      <c r="E372" s="9" t="s">
        <v>108</v>
      </c>
      <c r="F372" s="12" t="n">
        <v>29.64</v>
      </c>
      <c r="G372" s="12" t="n">
        <v>79.43</v>
      </c>
      <c r="H372" s="9" t="s">
        <v>65</v>
      </c>
      <c r="I372" s="9" t="s">
        <v>109</v>
      </c>
      <c r="J372" s="9" t="n">
        <v>2</v>
      </c>
      <c r="K372" s="9" t="s">
        <v>110</v>
      </c>
      <c r="L372" s="9"/>
    </row>
    <row r="373" customFormat="false" ht="15" hidden="false" customHeight="false" outlineLevel="0" collapsed="false">
      <c r="A373" s="9" t="s">
        <v>869</v>
      </c>
      <c r="B373" s="9" t="s">
        <v>870</v>
      </c>
      <c r="C373" s="9" t="s">
        <v>148</v>
      </c>
      <c r="D373" s="9" t="s">
        <v>63</v>
      </c>
      <c r="E373" s="9" t="s">
        <v>108</v>
      </c>
      <c r="F373" s="12" t="n">
        <v>29.6</v>
      </c>
      <c r="G373" s="12" t="n">
        <v>79.66</v>
      </c>
      <c r="H373" s="9" t="s">
        <v>65</v>
      </c>
      <c r="I373" s="9" t="s">
        <v>109</v>
      </c>
      <c r="J373" s="9" t="n">
        <v>2</v>
      </c>
      <c r="K373" s="9" t="s">
        <v>110</v>
      </c>
      <c r="L373" s="9"/>
    </row>
    <row r="374" customFormat="false" ht="15" hidden="false" customHeight="false" outlineLevel="0" collapsed="false">
      <c r="A374" s="9" t="s">
        <v>871</v>
      </c>
      <c r="B374" s="9" t="s">
        <v>872</v>
      </c>
      <c r="C374" s="9" t="s">
        <v>148</v>
      </c>
      <c r="D374" s="9" t="s">
        <v>63</v>
      </c>
      <c r="E374" s="9" t="s">
        <v>108</v>
      </c>
      <c r="F374" s="12" t="n">
        <v>29.47</v>
      </c>
      <c r="G374" s="12" t="n">
        <v>79.65</v>
      </c>
      <c r="H374" s="9" t="s">
        <v>87</v>
      </c>
      <c r="I374" s="9" t="s">
        <v>109</v>
      </c>
      <c r="J374" s="9" t="n">
        <v>2</v>
      </c>
      <c r="K374" s="9" t="s">
        <v>110</v>
      </c>
      <c r="L374" s="9"/>
    </row>
    <row r="375" customFormat="false" ht="15" hidden="false" customHeight="false" outlineLevel="0" collapsed="false">
      <c r="A375" s="9" t="s">
        <v>873</v>
      </c>
      <c r="B375" s="9" t="s">
        <v>874</v>
      </c>
      <c r="C375" s="9" t="s">
        <v>148</v>
      </c>
      <c r="D375" s="9" t="s">
        <v>63</v>
      </c>
      <c r="E375" s="9" t="s">
        <v>108</v>
      </c>
      <c r="F375" s="12" t="n">
        <v>29.84</v>
      </c>
      <c r="G375" s="12" t="n">
        <v>79.6</v>
      </c>
      <c r="H375" s="9" t="s">
        <v>87</v>
      </c>
      <c r="I375" s="9" t="s">
        <v>109</v>
      </c>
      <c r="J375" s="9" t="n">
        <v>2</v>
      </c>
      <c r="K375" s="9" t="s">
        <v>110</v>
      </c>
      <c r="L375" s="9"/>
    </row>
    <row r="376" customFormat="false" ht="15" hidden="false" customHeight="false" outlineLevel="0" collapsed="false">
      <c r="A376" s="9" t="s">
        <v>875</v>
      </c>
      <c r="B376" s="9" t="s">
        <v>876</v>
      </c>
      <c r="C376" s="9" t="s">
        <v>148</v>
      </c>
      <c r="D376" s="9" t="s">
        <v>63</v>
      </c>
      <c r="E376" s="9" t="s">
        <v>108</v>
      </c>
      <c r="F376" s="12" t="n">
        <v>30.42</v>
      </c>
      <c r="G376" s="12" t="n">
        <v>78.26</v>
      </c>
      <c r="H376" s="9" t="s">
        <v>87</v>
      </c>
      <c r="I376" s="9" t="s">
        <v>109</v>
      </c>
      <c r="J376" s="9" t="n">
        <v>2</v>
      </c>
      <c r="K376" s="9" t="s">
        <v>110</v>
      </c>
      <c r="L376" s="9"/>
    </row>
    <row r="377" customFormat="false" ht="15" hidden="false" customHeight="false" outlineLevel="0" collapsed="false">
      <c r="A377" s="9" t="s">
        <v>877</v>
      </c>
      <c r="B377" s="9" t="s">
        <v>878</v>
      </c>
      <c r="C377" s="9" t="s">
        <v>148</v>
      </c>
      <c r="D377" s="9" t="s">
        <v>63</v>
      </c>
      <c r="E377" s="9" t="s">
        <v>108</v>
      </c>
      <c r="F377" s="12" t="n">
        <v>30.7</v>
      </c>
      <c r="G377" s="12" t="n">
        <v>77.87</v>
      </c>
      <c r="H377" s="9" t="s">
        <v>87</v>
      </c>
      <c r="I377" s="9" t="s">
        <v>109</v>
      </c>
      <c r="J377" s="9" t="n">
        <v>2</v>
      </c>
      <c r="K377" s="9" t="s">
        <v>110</v>
      </c>
      <c r="L377" s="9"/>
    </row>
    <row r="378" customFormat="false" ht="15" hidden="false" customHeight="false" outlineLevel="0" collapsed="false">
      <c r="A378" s="9" t="s">
        <v>879</v>
      </c>
      <c r="B378" s="9" t="s">
        <v>880</v>
      </c>
      <c r="C378" s="9" t="s">
        <v>139</v>
      </c>
      <c r="D378" s="9" t="s">
        <v>63</v>
      </c>
      <c r="E378" s="9" t="s">
        <v>108</v>
      </c>
      <c r="F378" s="12" t="n">
        <v>32.24</v>
      </c>
      <c r="G378" s="12" t="n">
        <v>76.32</v>
      </c>
      <c r="H378" s="9" t="s">
        <v>87</v>
      </c>
      <c r="I378" s="9" t="s">
        <v>109</v>
      </c>
      <c r="J378" s="9" t="n">
        <v>2</v>
      </c>
      <c r="K378" s="9" t="s">
        <v>110</v>
      </c>
      <c r="L378" s="9"/>
    </row>
    <row r="379" customFormat="false" ht="15" hidden="false" customHeight="false" outlineLevel="0" collapsed="false">
      <c r="A379" s="9" t="s">
        <v>881</v>
      </c>
      <c r="B379" s="9" t="s">
        <v>882</v>
      </c>
      <c r="C379" s="9" t="s">
        <v>139</v>
      </c>
      <c r="D379" s="9" t="s">
        <v>63</v>
      </c>
      <c r="E379" s="9" t="s">
        <v>108</v>
      </c>
      <c r="F379" s="12" t="n">
        <v>32.01</v>
      </c>
      <c r="G379" s="12" t="n">
        <v>77.31</v>
      </c>
      <c r="H379" s="9" t="s">
        <v>87</v>
      </c>
      <c r="I379" s="9" t="s">
        <v>109</v>
      </c>
      <c r="J379" s="9" t="n">
        <v>2</v>
      </c>
      <c r="K379" s="9" t="s">
        <v>110</v>
      </c>
      <c r="L379" s="9"/>
    </row>
    <row r="380" customFormat="false" ht="15" hidden="false" customHeight="false" outlineLevel="0" collapsed="false">
      <c r="A380" s="9" t="s">
        <v>883</v>
      </c>
      <c r="B380" s="9" t="s">
        <v>884</v>
      </c>
      <c r="C380" s="9" t="s">
        <v>139</v>
      </c>
      <c r="D380" s="9" t="s">
        <v>63</v>
      </c>
      <c r="E380" s="9" t="s">
        <v>108</v>
      </c>
      <c r="F380" s="12" t="n">
        <v>32.25</v>
      </c>
      <c r="G380" s="12" t="n">
        <v>78.03</v>
      </c>
      <c r="H380" s="9" t="s">
        <v>87</v>
      </c>
      <c r="I380" s="9" t="s">
        <v>109</v>
      </c>
      <c r="J380" s="9" t="n">
        <v>2</v>
      </c>
      <c r="K380" s="9" t="s">
        <v>110</v>
      </c>
      <c r="L380" s="9" t="s">
        <v>885</v>
      </c>
    </row>
    <row r="381" customFormat="false" ht="15" hidden="false" customHeight="false" outlineLevel="0" collapsed="false">
      <c r="A381" s="9" t="s">
        <v>886</v>
      </c>
      <c r="B381" s="9" t="s">
        <v>887</v>
      </c>
      <c r="C381" s="9" t="s">
        <v>139</v>
      </c>
      <c r="D381" s="9" t="s">
        <v>63</v>
      </c>
      <c r="E381" s="9" t="s">
        <v>108</v>
      </c>
      <c r="F381" s="12" t="n">
        <v>31.54</v>
      </c>
      <c r="G381" s="12" t="n">
        <v>78.27</v>
      </c>
      <c r="H381" s="9" t="s">
        <v>87</v>
      </c>
      <c r="I381" s="9" t="s">
        <v>109</v>
      </c>
      <c r="J381" s="9" t="n">
        <v>2</v>
      </c>
      <c r="K381" s="9" t="s">
        <v>110</v>
      </c>
      <c r="L381" s="9" t="s">
        <v>888</v>
      </c>
    </row>
    <row r="382" customFormat="false" ht="15" hidden="false" customHeight="false" outlineLevel="0" collapsed="false">
      <c r="A382" s="9" t="s">
        <v>889</v>
      </c>
      <c r="B382" s="9" t="s">
        <v>890</v>
      </c>
      <c r="C382" s="9" t="s">
        <v>139</v>
      </c>
      <c r="D382" s="9" t="s">
        <v>63</v>
      </c>
      <c r="E382" s="9" t="s">
        <v>108</v>
      </c>
      <c r="F382" s="12" t="n">
        <v>31.96</v>
      </c>
      <c r="G382" s="12" t="n">
        <v>77.11</v>
      </c>
      <c r="H382" s="9" t="s">
        <v>65</v>
      </c>
      <c r="I382" s="9" t="s">
        <v>109</v>
      </c>
      <c r="J382" s="9" t="n">
        <v>2</v>
      </c>
      <c r="K382" s="9" t="s">
        <v>110</v>
      </c>
      <c r="L382" s="9"/>
    </row>
    <row r="383" customFormat="false" ht="15" hidden="false" customHeight="false" outlineLevel="0" collapsed="false">
      <c r="A383" s="9" t="s">
        <v>891</v>
      </c>
      <c r="B383" s="9" t="s">
        <v>892</v>
      </c>
      <c r="C383" s="9" t="s">
        <v>139</v>
      </c>
      <c r="D383" s="9" t="s">
        <v>63</v>
      </c>
      <c r="E383" s="9" t="s">
        <v>108</v>
      </c>
      <c r="F383" s="12" t="n">
        <v>32.55</v>
      </c>
      <c r="G383" s="12" t="n">
        <v>76.13</v>
      </c>
      <c r="H383" s="9" t="s">
        <v>65</v>
      </c>
      <c r="I383" s="9" t="s">
        <v>109</v>
      </c>
      <c r="J383" s="9" t="n">
        <v>2</v>
      </c>
      <c r="K383" s="9" t="s">
        <v>110</v>
      </c>
      <c r="L383" s="9"/>
    </row>
    <row r="384" customFormat="false" ht="15" hidden="false" customHeight="false" outlineLevel="0" collapsed="false">
      <c r="A384" s="9" t="s">
        <v>893</v>
      </c>
      <c r="B384" s="9" t="s">
        <v>894</v>
      </c>
      <c r="C384" s="9" t="s">
        <v>139</v>
      </c>
      <c r="D384" s="9" t="s">
        <v>63</v>
      </c>
      <c r="E384" s="9" t="s">
        <v>108</v>
      </c>
      <c r="F384" s="12" t="n">
        <v>32.55</v>
      </c>
      <c r="G384" s="12" t="n">
        <v>76.06</v>
      </c>
      <c r="H384" s="9" t="s">
        <v>87</v>
      </c>
      <c r="I384" s="9" t="s">
        <v>109</v>
      </c>
      <c r="J384" s="9" t="n">
        <v>2</v>
      </c>
      <c r="K384" s="9" t="s">
        <v>110</v>
      </c>
      <c r="L384" s="9"/>
    </row>
    <row r="385" customFormat="false" ht="15" hidden="false" customHeight="false" outlineLevel="0" collapsed="false">
      <c r="A385" s="9" t="s">
        <v>895</v>
      </c>
      <c r="B385" s="9" t="s">
        <v>896</v>
      </c>
      <c r="C385" s="9" t="s">
        <v>139</v>
      </c>
      <c r="D385" s="9" t="s">
        <v>63</v>
      </c>
      <c r="E385" s="9" t="s">
        <v>108</v>
      </c>
      <c r="F385" s="12" t="n">
        <v>32.04</v>
      </c>
      <c r="G385" s="12" t="n">
        <v>76.72</v>
      </c>
      <c r="H385" s="9" t="s">
        <v>87</v>
      </c>
      <c r="I385" s="9" t="s">
        <v>109</v>
      </c>
      <c r="J385" s="9" t="n">
        <v>2</v>
      </c>
      <c r="K385" s="9" t="s">
        <v>110</v>
      </c>
      <c r="L385" s="9"/>
    </row>
    <row r="386" customFormat="false" ht="15" hidden="false" customHeight="false" outlineLevel="0" collapsed="false">
      <c r="A386" s="9" t="s">
        <v>897</v>
      </c>
      <c r="B386" s="9" t="s">
        <v>898</v>
      </c>
      <c r="C386" s="9" t="s">
        <v>139</v>
      </c>
      <c r="D386" s="9" t="s">
        <v>63</v>
      </c>
      <c r="E386" s="9" t="s">
        <v>108</v>
      </c>
      <c r="F386" s="12" t="n">
        <v>31.62</v>
      </c>
      <c r="G386" s="12" t="n">
        <v>77.35</v>
      </c>
      <c r="H386" s="9" t="s">
        <v>87</v>
      </c>
      <c r="I386" s="9" t="s">
        <v>109</v>
      </c>
      <c r="J386" s="9" t="n">
        <v>2</v>
      </c>
      <c r="K386" s="9" t="s">
        <v>110</v>
      </c>
      <c r="L386" s="9"/>
    </row>
    <row r="387" customFormat="false" ht="15" hidden="false" customHeight="false" outlineLevel="0" collapsed="false">
      <c r="A387" s="9" t="s">
        <v>899</v>
      </c>
      <c r="B387" s="9" t="s">
        <v>900</v>
      </c>
      <c r="C387" s="9" t="s">
        <v>139</v>
      </c>
      <c r="D387" s="9" t="s">
        <v>63</v>
      </c>
      <c r="E387" s="9" t="s">
        <v>108</v>
      </c>
      <c r="F387" s="12" t="n">
        <v>32.03</v>
      </c>
      <c r="G387" s="12" t="n">
        <v>77.35</v>
      </c>
      <c r="H387" s="9" t="s">
        <v>87</v>
      </c>
      <c r="I387" s="9" t="s">
        <v>109</v>
      </c>
      <c r="J387" s="9" t="n">
        <v>2</v>
      </c>
      <c r="K387" s="9" t="s">
        <v>110</v>
      </c>
      <c r="L387" s="9"/>
    </row>
    <row r="388" customFormat="false" ht="15" hidden="false" customHeight="false" outlineLevel="0" collapsed="false">
      <c r="A388" s="9" t="s">
        <v>901</v>
      </c>
      <c r="B388" s="9" t="s">
        <v>902</v>
      </c>
      <c r="C388" s="9" t="s">
        <v>139</v>
      </c>
      <c r="D388" s="9" t="s">
        <v>63</v>
      </c>
      <c r="E388" s="9" t="s">
        <v>108</v>
      </c>
      <c r="F388" s="12" t="n">
        <v>31.54</v>
      </c>
      <c r="G388" s="12" t="n">
        <v>78.26</v>
      </c>
      <c r="H388" s="9" t="s">
        <v>87</v>
      </c>
      <c r="I388" s="9" t="s">
        <v>109</v>
      </c>
      <c r="J388" s="9" t="n">
        <v>2</v>
      </c>
      <c r="K388" s="9" t="s">
        <v>110</v>
      </c>
      <c r="L388" s="9"/>
    </row>
    <row r="389" customFormat="false" ht="15" hidden="false" customHeight="false" outlineLevel="0" collapsed="false">
      <c r="A389" s="9" t="s">
        <v>903</v>
      </c>
      <c r="B389" s="9" t="s">
        <v>904</v>
      </c>
      <c r="C389" s="9" t="s">
        <v>139</v>
      </c>
      <c r="D389" s="9" t="s">
        <v>63</v>
      </c>
      <c r="E389" s="9" t="s">
        <v>108</v>
      </c>
      <c r="F389" s="12" t="n">
        <v>31.26</v>
      </c>
      <c r="G389" s="12" t="n">
        <v>77.45</v>
      </c>
      <c r="H389" s="9" t="s">
        <v>87</v>
      </c>
      <c r="I389" s="9" t="s">
        <v>109</v>
      </c>
      <c r="J389" s="9" t="n">
        <v>2</v>
      </c>
      <c r="K389" s="9" t="s">
        <v>110</v>
      </c>
      <c r="L389" s="9"/>
    </row>
    <row r="390" customFormat="false" ht="15" hidden="false" customHeight="false" outlineLevel="0" collapsed="false">
      <c r="A390" s="9" t="s">
        <v>905</v>
      </c>
      <c r="B390" s="9" t="s">
        <v>906</v>
      </c>
      <c r="C390" s="9" t="s">
        <v>139</v>
      </c>
      <c r="D390" s="9" t="s">
        <v>63</v>
      </c>
      <c r="E390" s="9" t="s">
        <v>108</v>
      </c>
      <c r="F390" s="12" t="n">
        <v>30.9</v>
      </c>
      <c r="G390" s="12" t="n">
        <v>76.96</v>
      </c>
      <c r="H390" s="9" t="s">
        <v>87</v>
      </c>
      <c r="I390" s="9" t="s">
        <v>109</v>
      </c>
      <c r="J390" s="9" t="n">
        <v>2</v>
      </c>
      <c r="K390" s="9" t="s">
        <v>110</v>
      </c>
      <c r="L390" s="9"/>
    </row>
    <row r="391" customFormat="false" ht="15" hidden="false" customHeight="false" outlineLevel="0" collapsed="false">
      <c r="A391" s="9" t="s">
        <v>907</v>
      </c>
      <c r="B391" s="9" t="s">
        <v>908</v>
      </c>
      <c r="C391" s="9" t="s">
        <v>139</v>
      </c>
      <c r="D391" s="9" t="s">
        <v>63</v>
      </c>
      <c r="E391" s="9" t="s">
        <v>108</v>
      </c>
      <c r="F391" s="12" t="n">
        <v>32.32</v>
      </c>
      <c r="G391" s="12" t="n">
        <v>77.16</v>
      </c>
      <c r="H391" s="9" t="s">
        <v>87</v>
      </c>
      <c r="I391" s="9" t="s">
        <v>109</v>
      </c>
      <c r="J391" s="9" t="n">
        <v>2</v>
      </c>
      <c r="K391" s="9" t="s">
        <v>110</v>
      </c>
      <c r="L391" s="9"/>
    </row>
    <row r="392" customFormat="false" ht="15" hidden="false" customHeight="false" outlineLevel="0" collapsed="false">
      <c r="A392" s="9" t="s">
        <v>909</v>
      </c>
      <c r="B392" s="9" t="s">
        <v>910</v>
      </c>
      <c r="C392" s="9" t="s">
        <v>139</v>
      </c>
      <c r="D392" s="9" t="s">
        <v>63</v>
      </c>
      <c r="E392" s="9" t="s">
        <v>108</v>
      </c>
      <c r="F392" s="12" t="n">
        <v>32.37</v>
      </c>
      <c r="G392" s="12" t="n">
        <v>77.25</v>
      </c>
      <c r="H392" s="9" t="s">
        <v>87</v>
      </c>
      <c r="I392" s="9" t="s">
        <v>109</v>
      </c>
      <c r="J392" s="9" t="n">
        <v>2</v>
      </c>
      <c r="K392" s="9" t="s">
        <v>110</v>
      </c>
      <c r="L392" s="9"/>
    </row>
    <row r="393" customFormat="false" ht="15" hidden="false" customHeight="false" outlineLevel="0" collapsed="false">
      <c r="A393" s="9" t="s">
        <v>911</v>
      </c>
      <c r="B393" s="9" t="s">
        <v>912</v>
      </c>
      <c r="C393" s="9" t="s">
        <v>139</v>
      </c>
      <c r="D393" s="9" t="s">
        <v>63</v>
      </c>
      <c r="E393" s="9" t="s">
        <v>108</v>
      </c>
      <c r="F393" s="12" t="n">
        <v>31.73</v>
      </c>
      <c r="G393" s="12" t="n">
        <v>77.45</v>
      </c>
      <c r="H393" s="9" t="s">
        <v>87</v>
      </c>
      <c r="I393" s="9" t="s">
        <v>109</v>
      </c>
      <c r="J393" s="9" t="n">
        <v>2</v>
      </c>
      <c r="K393" s="9" t="s">
        <v>110</v>
      </c>
      <c r="L393" s="9" t="s">
        <v>639</v>
      </c>
    </row>
    <row r="394" customFormat="false" ht="15" hidden="false" customHeight="false" outlineLevel="0" collapsed="false">
      <c r="A394" s="9" t="s">
        <v>913</v>
      </c>
      <c r="B394" s="9" t="s">
        <v>914</v>
      </c>
      <c r="C394" s="9" t="s">
        <v>103</v>
      </c>
      <c r="D394" s="9" t="s">
        <v>63</v>
      </c>
      <c r="E394" s="9" t="s">
        <v>108</v>
      </c>
      <c r="F394" s="12" t="n">
        <v>32.9</v>
      </c>
      <c r="G394" s="12" t="n">
        <v>78.3</v>
      </c>
      <c r="H394" s="9" t="s">
        <v>87</v>
      </c>
      <c r="I394" s="9" t="s">
        <v>109</v>
      </c>
      <c r="J394" s="9" t="n">
        <v>2</v>
      </c>
      <c r="K394" s="9" t="s">
        <v>110</v>
      </c>
      <c r="L394" s="9"/>
    </row>
    <row r="395" customFormat="false" ht="15" hidden="false" customHeight="false" outlineLevel="0" collapsed="false">
      <c r="A395" s="9" t="s">
        <v>915</v>
      </c>
      <c r="B395" s="9" t="s">
        <v>916</v>
      </c>
      <c r="C395" s="9" t="s">
        <v>103</v>
      </c>
      <c r="D395" s="9" t="s">
        <v>63</v>
      </c>
      <c r="E395" s="9" t="s">
        <v>108</v>
      </c>
      <c r="F395" s="12" t="n">
        <v>33.47</v>
      </c>
      <c r="G395" s="12" t="n">
        <v>76.88</v>
      </c>
      <c r="H395" s="9" t="s">
        <v>87</v>
      </c>
      <c r="I395" s="9" t="s">
        <v>109</v>
      </c>
      <c r="J395" s="9" t="n">
        <v>2</v>
      </c>
      <c r="K395" s="9" t="s">
        <v>110</v>
      </c>
      <c r="L395" s="9"/>
    </row>
    <row r="396" customFormat="false" ht="15" hidden="false" customHeight="false" outlineLevel="0" collapsed="false">
      <c r="A396" s="9" t="s">
        <v>917</v>
      </c>
      <c r="B396" s="9" t="s">
        <v>918</v>
      </c>
      <c r="C396" s="9" t="s">
        <v>103</v>
      </c>
      <c r="D396" s="9" t="s">
        <v>63</v>
      </c>
      <c r="E396" s="9" t="s">
        <v>108</v>
      </c>
      <c r="F396" s="12" t="n">
        <v>34.56</v>
      </c>
      <c r="G396" s="12" t="n">
        <v>76.13</v>
      </c>
      <c r="H396" s="9" t="s">
        <v>65</v>
      </c>
      <c r="I396" s="9" t="s">
        <v>109</v>
      </c>
      <c r="J396" s="9" t="n">
        <v>2</v>
      </c>
      <c r="K396" s="9" t="s">
        <v>110</v>
      </c>
      <c r="L396" s="9"/>
    </row>
    <row r="397" customFormat="false" ht="15" hidden="false" customHeight="false" outlineLevel="0" collapsed="false">
      <c r="A397" s="9" t="s">
        <v>919</v>
      </c>
      <c r="B397" s="9" t="s">
        <v>920</v>
      </c>
      <c r="C397" s="9" t="s">
        <v>103</v>
      </c>
      <c r="D397" s="9" t="s">
        <v>63</v>
      </c>
      <c r="E397" s="9" t="s">
        <v>108</v>
      </c>
      <c r="F397" s="12" t="n">
        <v>34.22</v>
      </c>
      <c r="G397" s="12" t="n">
        <v>77.17</v>
      </c>
      <c r="H397" s="9" t="s">
        <v>87</v>
      </c>
      <c r="I397" s="9" t="s">
        <v>109</v>
      </c>
      <c r="J397" s="9" t="n">
        <v>2</v>
      </c>
      <c r="K397" s="9" t="s">
        <v>110</v>
      </c>
      <c r="L397" s="9"/>
    </row>
    <row r="398" customFormat="false" ht="15" hidden="false" customHeight="false" outlineLevel="0" collapsed="false">
      <c r="A398" s="9" t="s">
        <v>921</v>
      </c>
      <c r="B398" s="9" t="s">
        <v>922</v>
      </c>
      <c r="C398" s="9" t="s">
        <v>103</v>
      </c>
      <c r="D398" s="9" t="s">
        <v>63</v>
      </c>
      <c r="E398" s="9" t="s">
        <v>108</v>
      </c>
      <c r="F398" s="12" t="n">
        <v>34.29</v>
      </c>
      <c r="G398" s="12" t="n">
        <v>76.79</v>
      </c>
      <c r="H398" s="9" t="s">
        <v>87</v>
      </c>
      <c r="I398" s="9" t="s">
        <v>109</v>
      </c>
      <c r="J398" s="9" t="n">
        <v>2</v>
      </c>
      <c r="K398" s="9" t="s">
        <v>110</v>
      </c>
      <c r="L398" s="9"/>
    </row>
    <row r="399" customFormat="false" ht="15" hidden="false" customHeight="false" outlineLevel="0" collapsed="false">
      <c r="A399" s="9" t="s">
        <v>923</v>
      </c>
      <c r="B399" s="9" t="s">
        <v>924</v>
      </c>
      <c r="C399" s="9" t="s">
        <v>103</v>
      </c>
      <c r="D399" s="9" t="s">
        <v>63</v>
      </c>
      <c r="E399" s="9" t="s">
        <v>108</v>
      </c>
      <c r="F399" s="12" t="n">
        <v>33.91</v>
      </c>
      <c r="G399" s="12" t="n">
        <v>77.7</v>
      </c>
      <c r="H399" s="9" t="s">
        <v>87</v>
      </c>
      <c r="I399" s="9" t="s">
        <v>109</v>
      </c>
      <c r="J399" s="9" t="n">
        <v>2</v>
      </c>
      <c r="K399" s="9" t="s">
        <v>110</v>
      </c>
      <c r="L399" s="9"/>
    </row>
    <row r="400" customFormat="false" ht="15" hidden="false" customHeight="false" outlineLevel="0" collapsed="false">
      <c r="A400" s="9" t="s">
        <v>925</v>
      </c>
      <c r="B400" s="9" t="s">
        <v>926</v>
      </c>
      <c r="C400" s="9" t="s">
        <v>103</v>
      </c>
      <c r="D400" s="9" t="s">
        <v>63</v>
      </c>
      <c r="E400" s="9" t="s">
        <v>108</v>
      </c>
      <c r="F400" s="12" t="n">
        <v>34.28</v>
      </c>
      <c r="G400" s="12" t="n">
        <v>77.6</v>
      </c>
      <c r="H400" s="9" t="s">
        <v>87</v>
      </c>
      <c r="I400" s="9" t="s">
        <v>109</v>
      </c>
      <c r="J400" s="9" t="n">
        <v>2</v>
      </c>
      <c r="K400" s="9" t="s">
        <v>110</v>
      </c>
      <c r="L400" s="9"/>
    </row>
    <row r="401" customFormat="false" ht="15" hidden="false" customHeight="false" outlineLevel="0" collapsed="false">
      <c r="A401" s="9" t="s">
        <v>927</v>
      </c>
      <c r="B401" s="9" t="s">
        <v>928</v>
      </c>
      <c r="C401" s="9" t="s">
        <v>103</v>
      </c>
      <c r="D401" s="9" t="s">
        <v>63</v>
      </c>
      <c r="E401" s="9" t="s">
        <v>108</v>
      </c>
      <c r="F401" s="12" t="n">
        <v>34.16</v>
      </c>
      <c r="G401" s="12" t="n">
        <v>77.35</v>
      </c>
      <c r="H401" s="9" t="s">
        <v>87</v>
      </c>
      <c r="I401" s="9" t="s">
        <v>109</v>
      </c>
      <c r="J401" s="9" t="n">
        <v>2</v>
      </c>
      <c r="K401" s="9" t="s">
        <v>110</v>
      </c>
      <c r="L401" s="9"/>
    </row>
    <row r="402" customFormat="false" ht="15" hidden="false" customHeight="false" outlineLevel="0" collapsed="false">
      <c r="A402" s="9" t="s">
        <v>929</v>
      </c>
      <c r="B402" s="9" t="s">
        <v>930</v>
      </c>
      <c r="C402" s="9" t="s">
        <v>107</v>
      </c>
      <c r="D402" s="9" t="s">
        <v>63</v>
      </c>
      <c r="E402" s="9" t="s">
        <v>108</v>
      </c>
      <c r="F402" s="12" t="n">
        <v>28.61</v>
      </c>
      <c r="G402" s="12" t="n">
        <v>77.21</v>
      </c>
      <c r="H402" s="9" t="s">
        <v>65</v>
      </c>
      <c r="I402" s="9" t="s">
        <v>109</v>
      </c>
      <c r="J402" s="9" t="n">
        <v>2</v>
      </c>
      <c r="K402" s="9" t="s">
        <v>110</v>
      </c>
      <c r="L402" s="9" t="s">
        <v>931</v>
      </c>
    </row>
    <row r="403" customFormat="false" ht="15" hidden="false" customHeight="false" outlineLevel="0" collapsed="false">
      <c r="A403" s="9" t="s">
        <v>932</v>
      </c>
      <c r="B403" s="9" t="s">
        <v>933</v>
      </c>
      <c r="C403" s="9" t="s">
        <v>107</v>
      </c>
      <c r="D403" s="9" t="s">
        <v>63</v>
      </c>
      <c r="E403" s="9" t="s">
        <v>108</v>
      </c>
      <c r="F403" s="12" t="n">
        <v>28.66</v>
      </c>
      <c r="G403" s="12" t="n">
        <v>77.23</v>
      </c>
      <c r="H403" s="9" t="s">
        <v>65</v>
      </c>
      <c r="I403" s="9" t="s">
        <v>109</v>
      </c>
      <c r="J403" s="9" t="n">
        <v>2</v>
      </c>
      <c r="K403" s="9" t="s">
        <v>110</v>
      </c>
      <c r="L403" s="9" t="s">
        <v>934</v>
      </c>
    </row>
    <row r="404" customFormat="false" ht="15" hidden="false" customHeight="false" outlineLevel="0" collapsed="false">
      <c r="A404" s="9" t="s">
        <v>935</v>
      </c>
      <c r="B404" s="9" t="s">
        <v>936</v>
      </c>
      <c r="C404" s="9" t="s">
        <v>107</v>
      </c>
      <c r="D404" s="9" t="s">
        <v>63</v>
      </c>
      <c r="E404" s="9" t="s">
        <v>108</v>
      </c>
      <c r="F404" s="12" t="n">
        <v>28.52</v>
      </c>
      <c r="G404" s="12" t="n">
        <v>77.18</v>
      </c>
      <c r="H404" s="9" t="s">
        <v>87</v>
      </c>
      <c r="I404" s="9" t="s">
        <v>109</v>
      </c>
      <c r="J404" s="9" t="n">
        <v>2</v>
      </c>
      <c r="K404" s="9" t="s">
        <v>110</v>
      </c>
      <c r="L404" s="9" t="s">
        <v>934</v>
      </c>
    </row>
    <row r="405" customFormat="false" ht="15" hidden="false" customHeight="false" outlineLevel="0" collapsed="false">
      <c r="A405" s="9" t="s">
        <v>937</v>
      </c>
      <c r="B405" s="9" t="s">
        <v>938</v>
      </c>
      <c r="C405" s="9" t="s">
        <v>107</v>
      </c>
      <c r="D405" s="9" t="s">
        <v>63</v>
      </c>
      <c r="E405" s="9" t="s">
        <v>108</v>
      </c>
      <c r="F405" s="12" t="n">
        <v>28.55</v>
      </c>
      <c r="G405" s="12" t="n">
        <v>77.2</v>
      </c>
      <c r="H405" s="9" t="s">
        <v>87</v>
      </c>
      <c r="I405" s="9" t="s">
        <v>109</v>
      </c>
      <c r="J405" s="9" t="n">
        <v>2</v>
      </c>
      <c r="K405" s="9" t="s">
        <v>110</v>
      </c>
      <c r="L405" s="9" t="s">
        <v>934</v>
      </c>
    </row>
    <row r="406" customFormat="false" ht="15" hidden="false" customHeight="false" outlineLevel="0" collapsed="false">
      <c r="A406" s="9" t="s">
        <v>939</v>
      </c>
      <c r="B406" s="9" t="s">
        <v>940</v>
      </c>
      <c r="C406" s="9" t="s">
        <v>107</v>
      </c>
      <c r="D406" s="9" t="s">
        <v>63</v>
      </c>
      <c r="E406" s="9" t="s">
        <v>108</v>
      </c>
      <c r="F406" s="12" t="n">
        <v>28.59</v>
      </c>
      <c r="G406" s="12" t="n">
        <v>77.25</v>
      </c>
      <c r="H406" s="9" t="s">
        <v>87</v>
      </c>
      <c r="I406" s="9" t="s">
        <v>109</v>
      </c>
      <c r="J406" s="9" t="n">
        <v>2</v>
      </c>
      <c r="K406" s="9" t="s">
        <v>110</v>
      </c>
      <c r="L406" s="9" t="s">
        <v>934</v>
      </c>
    </row>
    <row r="407" customFormat="false" ht="15" hidden="false" customHeight="false" outlineLevel="0" collapsed="false">
      <c r="A407" s="9" t="s">
        <v>941</v>
      </c>
      <c r="B407" s="9" t="s">
        <v>942</v>
      </c>
      <c r="C407" s="9" t="s">
        <v>107</v>
      </c>
      <c r="D407" s="9" t="s">
        <v>63</v>
      </c>
      <c r="E407" s="9" t="s">
        <v>108</v>
      </c>
      <c r="F407" s="12" t="n">
        <v>28.61</v>
      </c>
      <c r="G407" s="12" t="n">
        <v>77.28</v>
      </c>
      <c r="H407" s="9" t="s">
        <v>87</v>
      </c>
      <c r="I407" s="9" t="s">
        <v>109</v>
      </c>
      <c r="J407" s="9" t="n">
        <v>2</v>
      </c>
      <c r="K407" s="9" t="s">
        <v>110</v>
      </c>
      <c r="L407" s="9" t="s">
        <v>943</v>
      </c>
    </row>
    <row r="408" customFormat="false" ht="15" hidden="false" customHeight="false" outlineLevel="0" collapsed="false">
      <c r="A408" s="9" t="s">
        <v>944</v>
      </c>
      <c r="B408" s="9" t="s">
        <v>945</v>
      </c>
      <c r="C408" s="9" t="s">
        <v>107</v>
      </c>
      <c r="D408" s="9" t="s">
        <v>63</v>
      </c>
      <c r="E408" s="9" t="s">
        <v>108</v>
      </c>
      <c r="F408" s="12" t="n">
        <v>28.55</v>
      </c>
      <c r="G408" s="12" t="n">
        <v>77.26</v>
      </c>
      <c r="H408" s="9" t="s">
        <v>87</v>
      </c>
      <c r="I408" s="9" t="s">
        <v>109</v>
      </c>
      <c r="J408" s="9" t="n">
        <v>2</v>
      </c>
      <c r="K408" s="9" t="s">
        <v>110</v>
      </c>
      <c r="L408" s="9" t="s">
        <v>943</v>
      </c>
    </row>
    <row r="409" customFormat="false" ht="15" hidden="false" customHeight="false" outlineLevel="0" collapsed="false">
      <c r="A409" s="9" t="s">
        <v>946</v>
      </c>
      <c r="B409" s="9" t="s">
        <v>947</v>
      </c>
      <c r="C409" s="9" t="s">
        <v>107</v>
      </c>
      <c r="D409" s="9" t="s">
        <v>63</v>
      </c>
      <c r="E409" s="9" t="s">
        <v>108</v>
      </c>
      <c r="F409" s="12" t="n">
        <v>28.61</v>
      </c>
      <c r="G409" s="12" t="n">
        <v>77.23</v>
      </c>
      <c r="H409" s="9" t="s">
        <v>87</v>
      </c>
      <c r="I409" s="9" t="s">
        <v>109</v>
      </c>
      <c r="J409" s="9" t="n">
        <v>2</v>
      </c>
      <c r="K409" s="9" t="s">
        <v>110</v>
      </c>
      <c r="L409" s="9" t="s">
        <v>943</v>
      </c>
    </row>
    <row r="410" customFormat="false" ht="15" hidden="false" customHeight="false" outlineLevel="0" collapsed="false">
      <c r="A410" s="9" t="s">
        <v>948</v>
      </c>
      <c r="B410" s="9" t="s">
        <v>949</v>
      </c>
      <c r="C410" s="9" t="s">
        <v>107</v>
      </c>
      <c r="D410" s="9" t="s">
        <v>63</v>
      </c>
      <c r="E410" s="9" t="s">
        <v>108</v>
      </c>
      <c r="F410" s="12" t="n">
        <v>28.66</v>
      </c>
      <c r="G410" s="12" t="n">
        <v>77.24</v>
      </c>
      <c r="H410" s="9" t="s">
        <v>87</v>
      </c>
      <c r="I410" s="9" t="s">
        <v>109</v>
      </c>
      <c r="J410" s="9" t="n">
        <v>2</v>
      </c>
      <c r="K410" s="9" t="s">
        <v>110</v>
      </c>
      <c r="L410" s="9" t="s">
        <v>943</v>
      </c>
    </row>
    <row r="411" customFormat="false" ht="15" hidden="false" customHeight="false" outlineLevel="0" collapsed="false">
      <c r="A411" s="9" t="s">
        <v>950</v>
      </c>
      <c r="B411" s="9" t="s">
        <v>951</v>
      </c>
      <c r="C411" s="9" t="s">
        <v>107</v>
      </c>
      <c r="D411" s="9" t="s">
        <v>63</v>
      </c>
      <c r="E411" s="9" t="s">
        <v>108</v>
      </c>
      <c r="F411" s="12" t="n">
        <v>28.52</v>
      </c>
      <c r="G411" s="12" t="n">
        <v>77.19</v>
      </c>
      <c r="H411" s="9" t="s">
        <v>87</v>
      </c>
      <c r="I411" s="9" t="s">
        <v>109</v>
      </c>
      <c r="J411" s="9" t="n">
        <v>2</v>
      </c>
      <c r="K411" s="9" t="s">
        <v>110</v>
      </c>
      <c r="L411" s="9" t="s">
        <v>943</v>
      </c>
    </row>
    <row r="412" customFormat="false" ht="15" hidden="false" customHeight="false" outlineLevel="0" collapsed="false">
      <c r="A412" s="9" t="s">
        <v>952</v>
      </c>
      <c r="B412" s="9" t="s">
        <v>953</v>
      </c>
      <c r="C412" s="9" t="s">
        <v>107</v>
      </c>
      <c r="D412" s="9" t="s">
        <v>63</v>
      </c>
      <c r="E412" s="9" t="s">
        <v>108</v>
      </c>
      <c r="F412" s="12" t="n">
        <v>28.59</v>
      </c>
      <c r="G412" s="12" t="n">
        <v>77.25</v>
      </c>
      <c r="H412" s="9" t="s">
        <v>87</v>
      </c>
      <c r="I412" s="9" t="s">
        <v>109</v>
      </c>
      <c r="J412" s="9" t="n">
        <v>2</v>
      </c>
      <c r="K412" s="9" t="s">
        <v>110</v>
      </c>
      <c r="L412" s="9" t="s">
        <v>943</v>
      </c>
    </row>
    <row r="413" customFormat="false" ht="15" hidden="false" customHeight="false" outlineLevel="0" collapsed="false">
      <c r="A413" s="9" t="s">
        <v>954</v>
      </c>
      <c r="B413" s="9" t="s">
        <v>955</v>
      </c>
      <c r="C413" s="9" t="s">
        <v>107</v>
      </c>
      <c r="D413" s="9" t="s">
        <v>63</v>
      </c>
      <c r="E413" s="9" t="s">
        <v>108</v>
      </c>
      <c r="F413" s="12" t="n">
        <v>28.59</v>
      </c>
      <c r="G413" s="12" t="n">
        <v>77.22</v>
      </c>
      <c r="H413" s="9" t="s">
        <v>87</v>
      </c>
      <c r="I413" s="9" t="s">
        <v>109</v>
      </c>
      <c r="J413" s="9" t="n">
        <v>2</v>
      </c>
      <c r="K413" s="9" t="s">
        <v>110</v>
      </c>
      <c r="L413" s="9" t="s">
        <v>943</v>
      </c>
    </row>
    <row r="414" customFormat="false" ht="15" hidden="false" customHeight="false" outlineLevel="0" collapsed="false">
      <c r="A414" s="9" t="s">
        <v>956</v>
      </c>
      <c r="B414" s="9" t="s">
        <v>957</v>
      </c>
      <c r="C414" s="9" t="s">
        <v>107</v>
      </c>
      <c r="D414" s="9" t="s">
        <v>63</v>
      </c>
      <c r="E414" s="9" t="s">
        <v>108</v>
      </c>
      <c r="F414" s="12" t="n">
        <v>28.61</v>
      </c>
      <c r="G414" s="12" t="n">
        <v>77.22</v>
      </c>
      <c r="H414" s="9" t="s">
        <v>87</v>
      </c>
      <c r="I414" s="9" t="s">
        <v>109</v>
      </c>
      <c r="J414" s="9" t="n">
        <v>2</v>
      </c>
      <c r="K414" s="9" t="s">
        <v>110</v>
      </c>
      <c r="L414" s="9" t="s">
        <v>943</v>
      </c>
    </row>
    <row r="415" customFormat="false" ht="15" hidden="false" customHeight="false" outlineLevel="0" collapsed="false">
      <c r="A415" s="9" t="s">
        <v>958</v>
      </c>
      <c r="B415" s="9" t="s">
        <v>959</v>
      </c>
      <c r="C415" s="9" t="s">
        <v>107</v>
      </c>
      <c r="D415" s="9" t="s">
        <v>63</v>
      </c>
      <c r="E415" s="9" t="s">
        <v>108</v>
      </c>
      <c r="F415" s="12" t="n">
        <v>28.61</v>
      </c>
      <c r="G415" s="12" t="n">
        <v>77.2</v>
      </c>
      <c r="H415" s="9" t="s">
        <v>87</v>
      </c>
      <c r="I415" s="9" t="s">
        <v>109</v>
      </c>
      <c r="J415" s="9" t="n">
        <v>2</v>
      </c>
      <c r="K415" s="9" t="s">
        <v>110</v>
      </c>
      <c r="L415" s="9" t="s">
        <v>943</v>
      </c>
    </row>
    <row r="416" customFormat="false" ht="15" hidden="false" customHeight="false" outlineLevel="0" collapsed="false">
      <c r="A416" s="9" t="s">
        <v>960</v>
      </c>
      <c r="B416" s="9" t="s">
        <v>961</v>
      </c>
      <c r="C416" s="9" t="s">
        <v>962</v>
      </c>
      <c r="D416" s="9" t="s">
        <v>63</v>
      </c>
      <c r="E416" s="9" t="s">
        <v>108</v>
      </c>
      <c r="F416" s="12" t="n">
        <v>28.46</v>
      </c>
      <c r="G416" s="12" t="n">
        <v>77.03</v>
      </c>
      <c r="H416" s="9" t="s">
        <v>65</v>
      </c>
      <c r="I416" s="9" t="s">
        <v>109</v>
      </c>
      <c r="J416" s="9" t="n">
        <v>2</v>
      </c>
      <c r="K416" s="9" t="s">
        <v>110</v>
      </c>
      <c r="L416" s="9"/>
    </row>
    <row r="417" customFormat="false" ht="15" hidden="false" customHeight="false" outlineLevel="0" collapsed="false">
      <c r="A417" s="9" t="s">
        <v>963</v>
      </c>
      <c r="B417" s="9" t="s">
        <v>964</v>
      </c>
      <c r="C417" s="9" t="s">
        <v>965</v>
      </c>
      <c r="D417" s="9" t="s">
        <v>622</v>
      </c>
      <c r="E417" s="9" t="s">
        <v>108</v>
      </c>
      <c r="F417" s="12" t="n">
        <v>11.62</v>
      </c>
      <c r="G417" s="12" t="n">
        <v>92.73</v>
      </c>
      <c r="H417" s="9" t="s">
        <v>65</v>
      </c>
      <c r="I417" s="9" t="s">
        <v>109</v>
      </c>
      <c r="J417" s="9" t="n">
        <v>2</v>
      </c>
      <c r="K417" s="9" t="s">
        <v>110</v>
      </c>
      <c r="L417" s="9"/>
    </row>
    <row r="418" customFormat="false" ht="15" hidden="false" customHeight="false" outlineLevel="0" collapsed="false">
      <c r="A418" s="9" t="s">
        <v>966</v>
      </c>
      <c r="B418" s="9" t="s">
        <v>967</v>
      </c>
      <c r="C418" s="9" t="s">
        <v>965</v>
      </c>
      <c r="D418" s="9" t="s">
        <v>622</v>
      </c>
      <c r="E418" s="9" t="s">
        <v>108</v>
      </c>
      <c r="F418" s="12" t="n">
        <v>11.98</v>
      </c>
      <c r="G418" s="12" t="n">
        <v>92.99</v>
      </c>
      <c r="H418" s="9" t="s">
        <v>87</v>
      </c>
      <c r="I418" s="9" t="s">
        <v>109</v>
      </c>
      <c r="J418" s="9" t="n">
        <v>2</v>
      </c>
      <c r="K418" s="9" t="s">
        <v>110</v>
      </c>
      <c r="L418" s="9"/>
    </row>
    <row r="419" customFormat="false" ht="15" hidden="false" customHeight="false" outlineLevel="0" collapsed="false">
      <c r="A419" s="9" t="s">
        <v>968</v>
      </c>
      <c r="B419" s="9" t="s">
        <v>969</v>
      </c>
      <c r="C419" s="9" t="s">
        <v>965</v>
      </c>
      <c r="D419" s="9" t="s">
        <v>622</v>
      </c>
      <c r="E419" s="9" t="s">
        <v>108</v>
      </c>
      <c r="F419" s="12" t="n">
        <v>11.83</v>
      </c>
      <c r="G419" s="12" t="n">
        <v>93.05</v>
      </c>
      <c r="H419" s="9" t="s">
        <v>87</v>
      </c>
      <c r="I419" s="9" t="s">
        <v>109</v>
      </c>
      <c r="J419" s="9" t="n">
        <v>2</v>
      </c>
      <c r="K419" s="9" t="s">
        <v>110</v>
      </c>
      <c r="L419" s="9"/>
    </row>
    <row r="420" customFormat="false" ht="15" hidden="false" customHeight="false" outlineLevel="0" collapsed="false">
      <c r="A420" s="9" t="s">
        <v>970</v>
      </c>
      <c r="B420" s="9" t="s">
        <v>971</v>
      </c>
      <c r="C420" s="9" t="s">
        <v>965</v>
      </c>
      <c r="D420" s="9" t="s">
        <v>622</v>
      </c>
      <c r="E420" s="9" t="s">
        <v>108</v>
      </c>
      <c r="F420" s="12" t="n">
        <v>11.68</v>
      </c>
      <c r="G420" s="12" t="n">
        <v>92.77</v>
      </c>
      <c r="H420" s="9" t="s">
        <v>87</v>
      </c>
      <c r="I420" s="9" t="s">
        <v>109</v>
      </c>
      <c r="J420" s="9" t="n">
        <v>2</v>
      </c>
      <c r="K420" s="9" t="s">
        <v>110</v>
      </c>
      <c r="L420" s="9"/>
    </row>
    <row r="421" customFormat="false" ht="15" hidden="false" customHeight="false" outlineLevel="0" collapsed="false">
      <c r="A421" s="9" t="s">
        <v>972</v>
      </c>
      <c r="B421" s="9" t="s">
        <v>973</v>
      </c>
      <c r="C421" s="9" t="s">
        <v>965</v>
      </c>
      <c r="D421" s="9" t="s">
        <v>622</v>
      </c>
      <c r="E421" s="9" t="s">
        <v>108</v>
      </c>
      <c r="F421" s="12" t="n">
        <v>12.08</v>
      </c>
      <c r="G421" s="12" t="n">
        <v>92.75</v>
      </c>
      <c r="H421" s="9" t="s">
        <v>87</v>
      </c>
      <c r="I421" s="9" t="s">
        <v>109</v>
      </c>
      <c r="J421" s="9" t="n">
        <v>2</v>
      </c>
      <c r="K421" s="9" t="s">
        <v>110</v>
      </c>
      <c r="L421" s="9"/>
    </row>
    <row r="422" customFormat="false" ht="15" hidden="false" customHeight="false" outlineLevel="0" collapsed="false">
      <c r="A422" s="9" t="s">
        <v>974</v>
      </c>
      <c r="B422" s="9" t="s">
        <v>975</v>
      </c>
      <c r="C422" s="9" t="s">
        <v>975</v>
      </c>
      <c r="D422" s="9" t="s">
        <v>78</v>
      </c>
      <c r="E422" s="9" t="s">
        <v>108</v>
      </c>
      <c r="F422" s="12" t="n">
        <v>10.57</v>
      </c>
      <c r="G422" s="12" t="n">
        <v>72.64</v>
      </c>
      <c r="H422" s="9" t="s">
        <v>87</v>
      </c>
      <c r="I422" s="9" t="s">
        <v>109</v>
      </c>
      <c r="J422" s="9" t="n">
        <v>2</v>
      </c>
      <c r="K422" s="9" t="s">
        <v>110</v>
      </c>
      <c r="L422" s="9" t="s">
        <v>976</v>
      </c>
    </row>
    <row r="423" customFormat="false" ht="15" hidden="false" customHeight="false" outlineLevel="0" collapsed="false">
      <c r="A423" s="9" t="s">
        <v>977</v>
      </c>
      <c r="B423" s="9" t="s">
        <v>978</v>
      </c>
      <c r="C423" s="9" t="s">
        <v>975</v>
      </c>
      <c r="D423" s="9" t="s">
        <v>78</v>
      </c>
      <c r="E423" s="9" t="s">
        <v>108</v>
      </c>
      <c r="F423" s="12" t="n">
        <v>10.86</v>
      </c>
      <c r="G423" s="12" t="n">
        <v>72.18</v>
      </c>
      <c r="H423" s="9" t="s">
        <v>87</v>
      </c>
      <c r="I423" s="9" t="s">
        <v>109</v>
      </c>
      <c r="J423" s="9" t="n">
        <v>2</v>
      </c>
      <c r="K423" s="9" t="s">
        <v>110</v>
      </c>
      <c r="L423" s="9"/>
    </row>
    <row r="424" customFormat="false" ht="15" hidden="false" customHeight="false" outlineLevel="0" collapsed="false">
      <c r="A424" s="9" t="s">
        <v>979</v>
      </c>
      <c r="B424" s="9" t="s">
        <v>980</v>
      </c>
      <c r="C424" s="9" t="s">
        <v>975</v>
      </c>
      <c r="D424" s="9" t="s">
        <v>78</v>
      </c>
      <c r="E424" s="9" t="s">
        <v>108</v>
      </c>
      <c r="F424" s="12" t="n">
        <v>10.94</v>
      </c>
      <c r="G424" s="12" t="n">
        <v>72.29</v>
      </c>
      <c r="H424" s="9" t="s">
        <v>87</v>
      </c>
      <c r="I424" s="9" t="s">
        <v>109</v>
      </c>
      <c r="J424" s="9" t="n">
        <v>2</v>
      </c>
      <c r="K424" s="9" t="s">
        <v>110</v>
      </c>
      <c r="L424" s="9"/>
    </row>
    <row r="425" customFormat="false" ht="15" hidden="false" customHeight="false" outlineLevel="0" collapsed="false">
      <c r="A425" s="9" t="s">
        <v>981</v>
      </c>
      <c r="B425" s="9" t="s">
        <v>982</v>
      </c>
      <c r="C425" s="9" t="s">
        <v>975</v>
      </c>
      <c r="D425" s="9" t="s">
        <v>78</v>
      </c>
      <c r="E425" s="9" t="s">
        <v>108</v>
      </c>
      <c r="F425" s="12" t="n">
        <v>10.57</v>
      </c>
      <c r="G425" s="12" t="n">
        <v>72.64</v>
      </c>
      <c r="H425" s="9" t="s">
        <v>87</v>
      </c>
      <c r="I425" s="9" t="s">
        <v>109</v>
      </c>
      <c r="J425" s="9" t="n">
        <v>2</v>
      </c>
      <c r="K425" s="9" t="s">
        <v>110</v>
      </c>
      <c r="L425" s="9"/>
    </row>
    <row r="426" customFormat="false" ht="15" hidden="false" customHeight="false" outlineLevel="0" collapsed="false">
      <c r="A426" s="9" t="s">
        <v>983</v>
      </c>
      <c r="B426" s="9" t="s">
        <v>984</v>
      </c>
      <c r="C426" s="9" t="s">
        <v>975</v>
      </c>
      <c r="D426" s="9" t="s">
        <v>78</v>
      </c>
      <c r="E426" s="9" t="s">
        <v>108</v>
      </c>
      <c r="F426" s="12" t="n">
        <v>8.28</v>
      </c>
      <c r="G426" s="12" t="n">
        <v>73.05</v>
      </c>
      <c r="H426" s="9" t="s">
        <v>87</v>
      </c>
      <c r="I426" s="9" t="s">
        <v>109</v>
      </c>
      <c r="J426" s="9" t="n">
        <v>2</v>
      </c>
      <c r="K426" s="9" t="s">
        <v>110</v>
      </c>
      <c r="L426" s="9"/>
    </row>
    <row r="427" customFormat="false" ht="15" hidden="false" customHeight="false" outlineLevel="0" collapsed="false">
      <c r="A427" s="9" t="s">
        <v>985</v>
      </c>
      <c r="B427" s="9" t="s">
        <v>986</v>
      </c>
      <c r="C427" s="9" t="s">
        <v>987</v>
      </c>
      <c r="D427" s="9" t="s">
        <v>71</v>
      </c>
      <c r="E427" s="9" t="s">
        <v>108</v>
      </c>
      <c r="F427" s="12" t="n">
        <v>20.71</v>
      </c>
      <c r="G427" s="12" t="n">
        <v>70.99</v>
      </c>
      <c r="H427" s="9" t="s">
        <v>65</v>
      </c>
      <c r="I427" s="9" t="s">
        <v>109</v>
      </c>
      <c r="J427" s="9" t="n">
        <v>2</v>
      </c>
      <c r="K427" s="9" t="s">
        <v>110</v>
      </c>
      <c r="L427" s="9"/>
    </row>
    <row r="428" customFormat="false" ht="15" hidden="false" customHeight="false" outlineLevel="0" collapsed="false">
      <c r="A428" s="9" t="s">
        <v>988</v>
      </c>
      <c r="B428" s="9" t="s">
        <v>989</v>
      </c>
      <c r="C428" s="9" t="s">
        <v>987</v>
      </c>
      <c r="D428" s="9" t="s">
        <v>71</v>
      </c>
      <c r="E428" s="9" t="s">
        <v>108</v>
      </c>
      <c r="F428" s="12" t="n">
        <v>20.27</v>
      </c>
      <c r="G428" s="12" t="n">
        <v>73.01</v>
      </c>
      <c r="H428" s="9" t="s">
        <v>65</v>
      </c>
      <c r="I428" s="9" t="s">
        <v>109</v>
      </c>
      <c r="J428" s="9" t="n">
        <v>2</v>
      </c>
      <c r="K428" s="9" t="s">
        <v>110</v>
      </c>
      <c r="L428" s="9"/>
    </row>
    <row r="429" customFormat="false" ht="15" hidden="false" customHeight="false" outlineLevel="0" collapsed="false">
      <c r="A429" s="9" t="s">
        <v>990</v>
      </c>
      <c r="B429" s="9" t="s">
        <v>991</v>
      </c>
      <c r="C429" s="9" t="s">
        <v>987</v>
      </c>
      <c r="D429" s="9" t="s">
        <v>71</v>
      </c>
      <c r="E429" s="9" t="s">
        <v>108</v>
      </c>
      <c r="F429" s="12" t="n">
        <v>20.4</v>
      </c>
      <c r="G429" s="12" t="n">
        <v>72.83</v>
      </c>
      <c r="H429" s="9" t="s">
        <v>65</v>
      </c>
      <c r="I429" s="9" t="s">
        <v>109</v>
      </c>
      <c r="J429" s="9" t="n">
        <v>2</v>
      </c>
      <c r="K429" s="9" t="s">
        <v>110</v>
      </c>
      <c r="L429" s="9"/>
    </row>
    <row r="430" customFormat="false" ht="15" hidden="false" customHeight="false" outlineLevel="0" collapsed="false">
      <c r="A430" s="9" t="s">
        <v>992</v>
      </c>
      <c r="B430" s="9" t="s">
        <v>993</v>
      </c>
      <c r="C430" s="9" t="s">
        <v>62</v>
      </c>
      <c r="D430" s="9" t="s">
        <v>63</v>
      </c>
      <c r="E430" s="9" t="s">
        <v>108</v>
      </c>
      <c r="F430" s="12" t="n">
        <v>26.8</v>
      </c>
      <c r="G430" s="12" t="n">
        <v>82.2</v>
      </c>
      <c r="H430" s="9" t="s">
        <v>65</v>
      </c>
      <c r="I430" s="9" t="s">
        <v>109</v>
      </c>
      <c r="J430" s="9" t="n">
        <v>2</v>
      </c>
      <c r="K430" s="9" t="s">
        <v>110</v>
      </c>
      <c r="L430" s="9"/>
    </row>
    <row r="431" customFormat="false" ht="15" hidden="false" customHeight="false" outlineLevel="0" collapsed="false">
      <c r="A431" s="9" t="s">
        <v>994</v>
      </c>
      <c r="B431" s="9" t="s">
        <v>995</v>
      </c>
      <c r="C431" s="9" t="s">
        <v>62</v>
      </c>
      <c r="D431" s="9" t="s">
        <v>63</v>
      </c>
      <c r="E431" s="9" t="s">
        <v>108</v>
      </c>
      <c r="F431" s="12" t="n">
        <v>25.31</v>
      </c>
      <c r="G431" s="12" t="n">
        <v>83.01</v>
      </c>
      <c r="H431" s="9" t="s">
        <v>65</v>
      </c>
      <c r="I431" s="9" t="s">
        <v>109</v>
      </c>
      <c r="J431" s="9" t="n">
        <v>2</v>
      </c>
      <c r="K431" s="9" t="s">
        <v>110</v>
      </c>
      <c r="L431" s="9" t="s">
        <v>996</v>
      </c>
    </row>
    <row r="432" customFormat="false" ht="15" hidden="false" customHeight="false" outlineLevel="0" collapsed="false">
      <c r="A432" s="9" t="s">
        <v>997</v>
      </c>
      <c r="B432" s="9" t="s">
        <v>998</v>
      </c>
      <c r="C432" s="9" t="s">
        <v>62</v>
      </c>
      <c r="D432" s="9" t="s">
        <v>63</v>
      </c>
      <c r="E432" s="9" t="s">
        <v>108</v>
      </c>
      <c r="F432" s="12" t="n">
        <v>27.09</v>
      </c>
      <c r="G432" s="12" t="n">
        <v>77.67</v>
      </c>
      <c r="H432" s="9" t="s">
        <v>65</v>
      </c>
      <c r="I432" s="9" t="s">
        <v>109</v>
      </c>
      <c r="J432" s="9" t="n">
        <v>2</v>
      </c>
      <c r="K432" s="9" t="s">
        <v>110</v>
      </c>
      <c r="L432" s="9"/>
    </row>
    <row r="433" customFormat="false" ht="15" hidden="false" customHeight="false" outlineLevel="0" collapsed="false">
      <c r="A433" s="9" t="s">
        <v>999</v>
      </c>
      <c r="B433" s="9" t="s">
        <v>1000</v>
      </c>
      <c r="C433" s="9" t="s">
        <v>249</v>
      </c>
      <c r="D433" s="9" t="s">
        <v>71</v>
      </c>
      <c r="E433" s="9" t="s">
        <v>108</v>
      </c>
      <c r="F433" s="12" t="n">
        <v>23.02</v>
      </c>
      <c r="G433" s="12" t="n">
        <v>72.58</v>
      </c>
      <c r="H433" s="9" t="s">
        <v>87</v>
      </c>
      <c r="I433" s="9" t="s">
        <v>109</v>
      </c>
      <c r="J433" s="9" t="n">
        <v>2</v>
      </c>
      <c r="K433" s="9" t="s">
        <v>110</v>
      </c>
      <c r="L433" s="9" t="s">
        <v>1001</v>
      </c>
    </row>
    <row r="434" customFormat="false" ht="15" hidden="false" customHeight="false" outlineLevel="0" collapsed="false">
      <c r="A434" s="9" t="s">
        <v>1002</v>
      </c>
      <c r="B434" s="9" t="s">
        <v>1003</v>
      </c>
      <c r="C434" s="9" t="s">
        <v>290</v>
      </c>
      <c r="D434" s="9" t="s">
        <v>71</v>
      </c>
      <c r="E434" s="9" t="s">
        <v>108</v>
      </c>
      <c r="F434" s="12" t="n">
        <v>18.93</v>
      </c>
      <c r="G434" s="12" t="n">
        <v>72.83</v>
      </c>
      <c r="H434" s="9" t="s">
        <v>87</v>
      </c>
      <c r="I434" s="9" t="s">
        <v>109</v>
      </c>
      <c r="J434" s="9" t="n">
        <v>2</v>
      </c>
      <c r="K434" s="9" t="s">
        <v>110</v>
      </c>
      <c r="L434" s="9" t="s">
        <v>1004</v>
      </c>
    </row>
    <row r="435" customFormat="false" ht="15" hidden="false" customHeight="false" outlineLevel="0" collapsed="false">
      <c r="A435" s="9" t="s">
        <v>1005</v>
      </c>
      <c r="B435" s="9" t="s">
        <v>1006</v>
      </c>
      <c r="C435" s="9" t="s">
        <v>654</v>
      </c>
      <c r="D435" s="9" t="s">
        <v>622</v>
      </c>
      <c r="E435" s="9" t="s">
        <v>108</v>
      </c>
      <c r="F435" s="12" t="n">
        <v>22.57</v>
      </c>
      <c r="G435" s="12" t="n">
        <v>88.35</v>
      </c>
      <c r="H435" s="9" t="s">
        <v>87</v>
      </c>
      <c r="I435" s="9" t="s">
        <v>109</v>
      </c>
      <c r="J435" s="9" t="n">
        <v>2</v>
      </c>
      <c r="K435" s="9" t="s">
        <v>110</v>
      </c>
      <c r="L435" s="9" t="s">
        <v>1007</v>
      </c>
    </row>
    <row r="436" customFormat="false" ht="15" hidden="false" customHeight="false" outlineLevel="0" collapsed="false">
      <c r="A436" s="9" t="s">
        <v>1008</v>
      </c>
      <c r="B436" s="9" t="s">
        <v>1009</v>
      </c>
      <c r="C436" s="9" t="s">
        <v>589</v>
      </c>
      <c r="D436" s="9" t="s">
        <v>78</v>
      </c>
      <c r="E436" s="9" t="s">
        <v>108</v>
      </c>
      <c r="F436" s="12" t="n">
        <v>17.36</v>
      </c>
      <c r="G436" s="12" t="n">
        <v>78.47</v>
      </c>
      <c r="H436" s="9" t="s">
        <v>87</v>
      </c>
      <c r="I436" s="9" t="s">
        <v>109</v>
      </c>
      <c r="J436" s="9" t="n">
        <v>2</v>
      </c>
      <c r="K436" s="9" t="s">
        <v>110</v>
      </c>
      <c r="L436" s="9" t="s">
        <v>1010</v>
      </c>
    </row>
    <row r="437" customFormat="false" ht="15" hidden="false" customHeight="false" outlineLevel="0" collapsed="false">
      <c r="A437" s="9" t="s">
        <v>1011</v>
      </c>
      <c r="B437" s="9" t="s">
        <v>1012</v>
      </c>
      <c r="C437" s="8"/>
      <c r="D437" s="8"/>
      <c r="E437" s="9"/>
      <c r="F437" s="13"/>
      <c r="G437" s="13"/>
      <c r="H437" s="9"/>
      <c r="I437" s="9"/>
      <c r="J437" s="9"/>
      <c r="K437" s="9" t="s">
        <v>1013</v>
      </c>
      <c r="L437" s="9" t="s">
        <v>1014</v>
      </c>
    </row>
    <row r="438" customFormat="false" ht="15" hidden="false" customHeight="false" outlineLevel="0" collapsed="false">
      <c r="A438" s="9" t="s">
        <v>1015</v>
      </c>
      <c r="B438" s="9" t="s">
        <v>1016</v>
      </c>
      <c r="C438" s="8"/>
      <c r="D438" s="8"/>
      <c r="E438" s="9"/>
      <c r="F438" s="13"/>
      <c r="G438" s="13"/>
      <c r="H438" s="9"/>
      <c r="I438" s="9"/>
      <c r="J438" s="9"/>
      <c r="K438" s="9" t="s">
        <v>1013</v>
      </c>
      <c r="L438" s="9" t="s">
        <v>1014</v>
      </c>
    </row>
    <row r="439" customFormat="false" ht="15" hidden="false" customHeight="false" outlineLevel="0" collapsed="false">
      <c r="A439" s="9" t="s">
        <v>1017</v>
      </c>
      <c r="B439" s="9" t="s">
        <v>1018</v>
      </c>
      <c r="C439" s="8"/>
      <c r="D439" s="8"/>
      <c r="E439" s="9"/>
      <c r="F439" s="13"/>
      <c r="G439" s="13"/>
      <c r="H439" s="9"/>
      <c r="I439" s="9"/>
      <c r="J439" s="9"/>
      <c r="K439" s="9" t="s">
        <v>1013</v>
      </c>
      <c r="L439" s="9" t="s">
        <v>1014</v>
      </c>
    </row>
    <row r="440" customFormat="false" ht="15" hidden="false" customHeight="false" outlineLevel="0" collapsed="false">
      <c r="A440" s="9" t="s">
        <v>1019</v>
      </c>
      <c r="B440" s="9" t="s">
        <v>1020</v>
      </c>
      <c r="C440" s="8"/>
      <c r="D440" s="8"/>
      <c r="E440" s="9"/>
      <c r="F440" s="13"/>
      <c r="G440" s="13"/>
      <c r="H440" s="9"/>
      <c r="I440" s="9"/>
      <c r="J440" s="9"/>
      <c r="K440" s="9" t="s">
        <v>1013</v>
      </c>
      <c r="L440" s="9" t="s">
        <v>1014</v>
      </c>
    </row>
    <row r="441" customFormat="false" ht="15" hidden="false" customHeight="false" outlineLevel="0" collapsed="false">
      <c r="A441" s="9" t="s">
        <v>1021</v>
      </c>
      <c r="B441" s="9" t="s">
        <v>1022</v>
      </c>
      <c r="C441" s="8"/>
      <c r="D441" s="8"/>
      <c r="E441" s="9"/>
      <c r="F441" s="13"/>
      <c r="G441" s="13"/>
      <c r="H441" s="9"/>
      <c r="I441" s="9"/>
      <c r="J441" s="9"/>
      <c r="K441" s="9" t="s">
        <v>1013</v>
      </c>
      <c r="L441" s="9" t="s">
        <v>1014</v>
      </c>
    </row>
    <row r="442" customFormat="false" ht="15" hidden="false" customHeight="false" outlineLevel="0" collapsed="false">
      <c r="A442" s="9" t="s">
        <v>1023</v>
      </c>
      <c r="B442" s="9" t="s">
        <v>1024</v>
      </c>
      <c r="C442" s="8"/>
      <c r="D442" s="8"/>
      <c r="E442" s="9"/>
      <c r="F442" s="13"/>
      <c r="G442" s="13"/>
      <c r="H442" s="9"/>
      <c r="I442" s="9"/>
      <c r="J442" s="9"/>
      <c r="K442" s="9" t="s">
        <v>1013</v>
      </c>
      <c r="L442" s="9" t="s">
        <v>1014</v>
      </c>
    </row>
    <row r="443" customFormat="false" ht="15" hidden="false" customHeight="false" outlineLevel="0" collapsed="false">
      <c r="A443" s="9" t="s">
        <v>1025</v>
      </c>
      <c r="B443" s="9" t="s">
        <v>1026</v>
      </c>
      <c r="C443" s="8"/>
      <c r="D443" s="8"/>
      <c r="E443" s="9"/>
      <c r="F443" s="13"/>
      <c r="G443" s="13"/>
      <c r="H443" s="9"/>
      <c r="I443" s="9"/>
      <c r="J443" s="9"/>
      <c r="K443" s="9" t="s">
        <v>1013</v>
      </c>
      <c r="L443" s="9" t="s">
        <v>1014</v>
      </c>
    </row>
    <row r="444" customFormat="false" ht="15" hidden="false" customHeight="false" outlineLevel="0" collapsed="false">
      <c r="A444" s="9" t="s">
        <v>1027</v>
      </c>
      <c r="B444" s="9" t="s">
        <v>1028</v>
      </c>
      <c r="C444" s="8"/>
      <c r="D444" s="8"/>
      <c r="E444" s="9"/>
      <c r="F444" s="13"/>
      <c r="G444" s="13"/>
      <c r="H444" s="9"/>
      <c r="I444" s="9"/>
      <c r="J444" s="9"/>
      <c r="K444" s="9" t="s">
        <v>1013</v>
      </c>
      <c r="L444" s="9" t="s">
        <v>1014</v>
      </c>
    </row>
    <row r="445" customFormat="false" ht="15" hidden="false" customHeight="false" outlineLevel="0" collapsed="false">
      <c r="A445" s="9" t="s">
        <v>1029</v>
      </c>
      <c r="B445" s="9" t="s">
        <v>1030</v>
      </c>
      <c r="C445" s="8"/>
      <c r="D445" s="8"/>
      <c r="E445" s="9"/>
      <c r="F445" s="13"/>
      <c r="G445" s="13"/>
      <c r="H445" s="9"/>
      <c r="I445" s="9"/>
      <c r="J445" s="9"/>
      <c r="K445" s="9" t="s">
        <v>1013</v>
      </c>
      <c r="L445" s="9" t="s">
        <v>1014</v>
      </c>
    </row>
    <row r="446" customFormat="false" ht="15" hidden="false" customHeight="false" outlineLevel="0" collapsed="false">
      <c r="A446" s="9" t="s">
        <v>1031</v>
      </c>
      <c r="B446" s="9" t="s">
        <v>1032</v>
      </c>
      <c r="C446" s="8"/>
      <c r="D446" s="8"/>
      <c r="E446" s="9"/>
      <c r="F446" s="13"/>
      <c r="G446" s="13"/>
      <c r="H446" s="9"/>
      <c r="I446" s="9"/>
      <c r="J446" s="9"/>
      <c r="K446" s="9" t="s">
        <v>1013</v>
      </c>
      <c r="L446" s="9" t="s">
        <v>1014</v>
      </c>
    </row>
    <row r="447" customFormat="false" ht="15" hidden="false" customHeight="false" outlineLevel="0" collapsed="false">
      <c r="A447" s="9" t="s">
        <v>1033</v>
      </c>
      <c r="B447" s="9" t="s">
        <v>1034</v>
      </c>
      <c r="C447" s="8"/>
      <c r="D447" s="8"/>
      <c r="E447" s="9"/>
      <c r="F447" s="13"/>
      <c r="G447" s="13"/>
      <c r="H447" s="9"/>
      <c r="I447" s="9"/>
      <c r="J447" s="9"/>
      <c r="K447" s="9" t="s">
        <v>1013</v>
      </c>
      <c r="L447" s="9" t="s">
        <v>1014</v>
      </c>
    </row>
    <row r="448" customFormat="false" ht="15" hidden="false" customHeight="false" outlineLevel="0" collapsed="false">
      <c r="A448" s="9" t="s">
        <v>1035</v>
      </c>
      <c r="B448" s="9" t="s">
        <v>1036</v>
      </c>
      <c r="C448" s="8"/>
      <c r="D448" s="8"/>
      <c r="E448" s="9"/>
      <c r="F448" s="13"/>
      <c r="G448" s="13"/>
      <c r="H448" s="9"/>
      <c r="I448" s="9"/>
      <c r="J448" s="9"/>
      <c r="K448" s="9" t="s">
        <v>1013</v>
      </c>
      <c r="L448" s="9" t="s">
        <v>1014</v>
      </c>
    </row>
    <row r="449" customFormat="false" ht="15" hidden="false" customHeight="false" outlineLevel="0" collapsed="false">
      <c r="A449" s="9" t="s">
        <v>1037</v>
      </c>
      <c r="B449" s="9" t="s">
        <v>1038</v>
      </c>
      <c r="C449" s="8"/>
      <c r="D449" s="8"/>
      <c r="E449" s="9"/>
      <c r="F449" s="13"/>
      <c r="G449" s="13"/>
      <c r="H449" s="9"/>
      <c r="I449" s="9"/>
      <c r="J449" s="9"/>
      <c r="K449" s="9" t="s">
        <v>1013</v>
      </c>
      <c r="L449" s="9" t="s">
        <v>1014</v>
      </c>
    </row>
    <row r="450" customFormat="false" ht="15" hidden="false" customHeight="false" outlineLevel="0" collapsed="false">
      <c r="A450" s="9" t="s">
        <v>1039</v>
      </c>
      <c r="B450" s="9" t="s">
        <v>1040</v>
      </c>
      <c r="C450" s="8"/>
      <c r="D450" s="8"/>
      <c r="E450" s="9"/>
      <c r="F450" s="13"/>
      <c r="G450" s="13"/>
      <c r="H450" s="9"/>
      <c r="I450" s="9"/>
      <c r="J450" s="9"/>
      <c r="K450" s="9" t="s">
        <v>1013</v>
      </c>
      <c r="L450" s="9" t="s">
        <v>1014</v>
      </c>
    </row>
    <row r="451" customFormat="false" ht="15" hidden="false" customHeight="false" outlineLevel="0" collapsed="false">
      <c r="A451" s="9" t="s">
        <v>1041</v>
      </c>
      <c r="B451" s="9" t="s">
        <v>1042</v>
      </c>
      <c r="C451" s="8"/>
      <c r="D451" s="8"/>
      <c r="E451" s="9"/>
      <c r="F451" s="13"/>
      <c r="G451" s="13"/>
      <c r="H451" s="9"/>
      <c r="I451" s="9"/>
      <c r="J451" s="9"/>
      <c r="K451" s="9" t="s">
        <v>1013</v>
      </c>
      <c r="L451" s="9" t="s">
        <v>1014</v>
      </c>
    </row>
    <row r="452" customFormat="false" ht="15" hidden="false" customHeight="false" outlineLevel="0" collapsed="false">
      <c r="A452" s="9" t="s">
        <v>1043</v>
      </c>
      <c r="B452" s="9" t="s">
        <v>1044</v>
      </c>
      <c r="C452" s="8"/>
      <c r="D452" s="8"/>
      <c r="E452" s="9"/>
      <c r="F452" s="13"/>
      <c r="G452" s="13"/>
      <c r="H452" s="9"/>
      <c r="I452" s="9"/>
      <c r="J452" s="9"/>
      <c r="K452" s="9" t="s">
        <v>1013</v>
      </c>
      <c r="L452" s="9" t="s">
        <v>1014</v>
      </c>
    </row>
    <row r="453" customFormat="false" ht="15" hidden="false" customHeight="false" outlineLevel="0" collapsed="false">
      <c r="A453" s="9" t="s">
        <v>1045</v>
      </c>
      <c r="B453" s="9" t="s">
        <v>1046</v>
      </c>
      <c r="C453" s="8"/>
      <c r="D453" s="8"/>
      <c r="E453" s="9"/>
      <c r="F453" s="13"/>
      <c r="G453" s="13"/>
      <c r="H453" s="9"/>
      <c r="I453" s="9"/>
      <c r="J453" s="9"/>
      <c r="K453" s="9" t="s">
        <v>1013</v>
      </c>
      <c r="L453" s="9" t="s">
        <v>1014</v>
      </c>
    </row>
    <row r="454" customFormat="false" ht="15" hidden="false" customHeight="false" outlineLevel="0" collapsed="false">
      <c r="A454" s="9" t="s">
        <v>1047</v>
      </c>
      <c r="B454" s="9" t="s">
        <v>1048</v>
      </c>
      <c r="C454" s="8"/>
      <c r="D454" s="8"/>
      <c r="E454" s="9"/>
      <c r="F454" s="13"/>
      <c r="G454" s="13"/>
      <c r="H454" s="9"/>
      <c r="I454" s="9"/>
      <c r="J454" s="9"/>
      <c r="K454" s="9" t="s">
        <v>1013</v>
      </c>
      <c r="L454" s="9" t="s">
        <v>1014</v>
      </c>
    </row>
    <row r="455" customFormat="false" ht="15" hidden="false" customHeight="false" outlineLevel="0" collapsed="false">
      <c r="A455" s="9" t="s">
        <v>1049</v>
      </c>
      <c r="B455" s="9" t="s">
        <v>1050</v>
      </c>
      <c r="C455" s="8"/>
      <c r="D455" s="8"/>
      <c r="E455" s="9"/>
      <c r="F455" s="13"/>
      <c r="G455" s="13"/>
      <c r="H455" s="9"/>
      <c r="I455" s="9"/>
      <c r="J455" s="9"/>
      <c r="K455" s="9" t="s">
        <v>1013</v>
      </c>
      <c r="L455" s="9" t="s">
        <v>1014</v>
      </c>
    </row>
    <row r="456" customFormat="false" ht="15" hidden="false" customHeight="false" outlineLevel="0" collapsed="false">
      <c r="A456" s="9" t="s">
        <v>1051</v>
      </c>
      <c r="B456" s="9" t="s">
        <v>1052</v>
      </c>
      <c r="C456" s="8"/>
      <c r="D456" s="8"/>
      <c r="E456" s="9"/>
      <c r="F456" s="13"/>
      <c r="G456" s="13"/>
      <c r="H456" s="9"/>
      <c r="I456" s="9"/>
      <c r="J456" s="9"/>
      <c r="K456" s="9" t="s">
        <v>1013</v>
      </c>
      <c r="L456" s="9" t="s">
        <v>1014</v>
      </c>
    </row>
    <row r="457" customFormat="false" ht="15" hidden="false" customHeight="false" outlineLevel="0" collapsed="false">
      <c r="A457" s="9" t="s">
        <v>1053</v>
      </c>
      <c r="B457" s="9" t="s">
        <v>1054</v>
      </c>
      <c r="C457" s="8"/>
      <c r="D457" s="8"/>
      <c r="E457" s="9"/>
      <c r="F457" s="13"/>
      <c r="G457" s="13"/>
      <c r="H457" s="9"/>
      <c r="I457" s="9"/>
      <c r="J457" s="9"/>
      <c r="K457" s="9" t="s">
        <v>1013</v>
      </c>
      <c r="L457" s="9" t="s">
        <v>1014</v>
      </c>
    </row>
    <row r="458" customFormat="false" ht="15" hidden="false" customHeight="false" outlineLevel="0" collapsed="false">
      <c r="A458" s="9" t="s">
        <v>1055</v>
      </c>
      <c r="B458" s="9" t="s">
        <v>1056</v>
      </c>
      <c r="C458" s="8"/>
      <c r="D458" s="8"/>
      <c r="E458" s="9"/>
      <c r="F458" s="13"/>
      <c r="G458" s="13"/>
      <c r="H458" s="9"/>
      <c r="I458" s="9"/>
      <c r="J458" s="9"/>
      <c r="K458" s="9" t="s">
        <v>1013</v>
      </c>
      <c r="L458" s="9" t="s">
        <v>1014</v>
      </c>
    </row>
    <row r="459" customFormat="false" ht="15" hidden="false" customHeight="false" outlineLevel="0" collapsed="false">
      <c r="A459" s="9" t="s">
        <v>1057</v>
      </c>
      <c r="B459" s="9" t="s">
        <v>1058</v>
      </c>
      <c r="C459" s="8"/>
      <c r="D459" s="8"/>
      <c r="E459" s="9"/>
      <c r="F459" s="13"/>
      <c r="G459" s="13"/>
      <c r="H459" s="9"/>
      <c r="I459" s="9"/>
      <c r="J459" s="9"/>
      <c r="K459" s="9" t="s">
        <v>1013</v>
      </c>
      <c r="L459" s="9" t="s">
        <v>1014</v>
      </c>
    </row>
    <row r="460" customFormat="false" ht="15" hidden="false" customHeight="false" outlineLevel="0" collapsed="false">
      <c r="A460" s="9" t="s">
        <v>1059</v>
      </c>
      <c r="B460" s="9" t="s">
        <v>1060</v>
      </c>
      <c r="C460" s="8"/>
      <c r="D460" s="8"/>
      <c r="E460" s="9"/>
      <c r="F460" s="13"/>
      <c r="G460" s="13"/>
      <c r="H460" s="9"/>
      <c r="I460" s="9"/>
      <c r="J460" s="9"/>
      <c r="K460" s="9" t="s">
        <v>1013</v>
      </c>
      <c r="L460" s="9" t="s">
        <v>1014</v>
      </c>
    </row>
    <row r="461" customFormat="false" ht="15" hidden="false" customHeight="false" outlineLevel="0" collapsed="false">
      <c r="A461" s="9" t="s">
        <v>1061</v>
      </c>
      <c r="B461" s="9" t="s">
        <v>1062</v>
      </c>
      <c r="C461" s="8"/>
      <c r="D461" s="8"/>
      <c r="E461" s="9"/>
      <c r="F461" s="13"/>
      <c r="G461" s="13"/>
      <c r="H461" s="9"/>
      <c r="I461" s="9"/>
      <c r="J461" s="9"/>
      <c r="K461" s="9" t="s">
        <v>1013</v>
      </c>
      <c r="L461" s="9" t="s">
        <v>1014</v>
      </c>
    </row>
    <row r="462" customFormat="false" ht="15" hidden="false" customHeight="false" outlineLevel="0" collapsed="false">
      <c r="A462" s="9" t="s">
        <v>1063</v>
      </c>
      <c r="B462" s="9" t="s">
        <v>1064</v>
      </c>
      <c r="C462" s="8"/>
      <c r="D462" s="8"/>
      <c r="E462" s="9"/>
      <c r="F462" s="13"/>
      <c r="G462" s="13"/>
      <c r="H462" s="9"/>
      <c r="I462" s="9"/>
      <c r="J462" s="9"/>
      <c r="K462" s="9" t="s">
        <v>1013</v>
      </c>
      <c r="L462" s="9" t="s">
        <v>1014</v>
      </c>
    </row>
    <row r="463" customFormat="false" ht="15" hidden="false" customHeight="false" outlineLevel="0" collapsed="false">
      <c r="A463" s="9" t="s">
        <v>1065</v>
      </c>
      <c r="B463" s="9" t="s">
        <v>1066</v>
      </c>
      <c r="C463" s="8"/>
      <c r="D463" s="8"/>
      <c r="E463" s="9"/>
      <c r="F463" s="13"/>
      <c r="G463" s="13"/>
      <c r="H463" s="9"/>
      <c r="I463" s="9"/>
      <c r="J463" s="9"/>
      <c r="K463" s="9" t="s">
        <v>1013</v>
      </c>
      <c r="L463" s="9" t="s">
        <v>1014</v>
      </c>
    </row>
    <row r="464" customFormat="false" ht="15" hidden="false" customHeight="false" outlineLevel="0" collapsed="false">
      <c r="A464" s="9" t="s">
        <v>1067</v>
      </c>
      <c r="B464" s="9" t="s">
        <v>1068</v>
      </c>
      <c r="C464" s="8"/>
      <c r="D464" s="8"/>
      <c r="E464" s="9"/>
      <c r="F464" s="13"/>
      <c r="G464" s="13"/>
      <c r="H464" s="9"/>
      <c r="I464" s="9"/>
      <c r="J464" s="9"/>
      <c r="K464" s="9" t="s">
        <v>1013</v>
      </c>
      <c r="L464" s="9" t="s">
        <v>1014</v>
      </c>
    </row>
    <row r="465" customFormat="false" ht="15" hidden="false" customHeight="false" outlineLevel="0" collapsed="false">
      <c r="A465" s="9" t="s">
        <v>1069</v>
      </c>
      <c r="B465" s="9" t="s">
        <v>1070</v>
      </c>
      <c r="C465" s="8"/>
      <c r="D465" s="8"/>
      <c r="E465" s="9"/>
      <c r="F465" s="13"/>
      <c r="G465" s="13"/>
      <c r="H465" s="9"/>
      <c r="I465" s="9"/>
      <c r="J465" s="9"/>
      <c r="K465" s="9" t="s">
        <v>1013</v>
      </c>
      <c r="L465" s="9" t="s">
        <v>1014</v>
      </c>
    </row>
    <row r="466" customFormat="false" ht="15" hidden="false" customHeight="false" outlineLevel="0" collapsed="false">
      <c r="A466" s="9" t="s">
        <v>1071</v>
      </c>
      <c r="B466" s="9" t="s">
        <v>1072</v>
      </c>
      <c r="C466" s="8"/>
      <c r="D466" s="8"/>
      <c r="E466" s="9"/>
      <c r="F466" s="13"/>
      <c r="G466" s="13"/>
      <c r="H466" s="9"/>
      <c r="I466" s="9"/>
      <c r="J466" s="9"/>
      <c r="K466" s="9" t="s">
        <v>1013</v>
      </c>
      <c r="L466" s="9" t="s">
        <v>1014</v>
      </c>
    </row>
    <row r="467" customFormat="false" ht="15" hidden="false" customHeight="false" outlineLevel="0" collapsed="false">
      <c r="A467" s="9" t="s">
        <v>1073</v>
      </c>
      <c r="B467" s="9" t="s">
        <v>1074</v>
      </c>
      <c r="C467" s="8"/>
      <c r="D467" s="8"/>
      <c r="E467" s="9"/>
      <c r="F467" s="13"/>
      <c r="G467" s="13"/>
      <c r="H467" s="9"/>
      <c r="I467" s="9"/>
      <c r="J467" s="9"/>
      <c r="K467" s="9" t="s">
        <v>1013</v>
      </c>
      <c r="L467" s="9" t="s">
        <v>1014</v>
      </c>
    </row>
    <row r="468" customFormat="false" ht="15" hidden="false" customHeight="false" outlineLevel="0" collapsed="false">
      <c r="A468" s="9" t="s">
        <v>1075</v>
      </c>
      <c r="B468" s="9" t="s">
        <v>1076</v>
      </c>
      <c r="C468" s="8"/>
      <c r="D468" s="8"/>
      <c r="E468" s="9"/>
      <c r="F468" s="13"/>
      <c r="G468" s="13"/>
      <c r="H468" s="9"/>
      <c r="I468" s="9"/>
      <c r="J468" s="9"/>
      <c r="K468" s="9" t="s">
        <v>1013</v>
      </c>
      <c r="L468" s="9" t="s">
        <v>1014</v>
      </c>
    </row>
    <row r="469" customFormat="false" ht="15" hidden="false" customHeight="false" outlineLevel="0" collapsed="false">
      <c r="A469" s="9" t="s">
        <v>1077</v>
      </c>
      <c r="B469" s="9" t="s">
        <v>1078</v>
      </c>
      <c r="C469" s="8"/>
      <c r="D469" s="8"/>
      <c r="E469" s="9"/>
      <c r="F469" s="13"/>
      <c r="G469" s="13"/>
      <c r="H469" s="9"/>
      <c r="I469" s="9"/>
      <c r="J469" s="9"/>
      <c r="K469" s="9" t="s">
        <v>1013</v>
      </c>
      <c r="L469" s="9" t="s">
        <v>1014</v>
      </c>
    </row>
    <row r="470" customFormat="false" ht="15" hidden="false" customHeight="false" outlineLevel="0" collapsed="false">
      <c r="A470" s="9" t="s">
        <v>1079</v>
      </c>
      <c r="B470" s="9" t="s">
        <v>1080</v>
      </c>
      <c r="C470" s="8"/>
      <c r="D470" s="8"/>
      <c r="E470" s="9"/>
      <c r="F470" s="13"/>
      <c r="G470" s="13"/>
      <c r="H470" s="9"/>
      <c r="I470" s="9"/>
      <c r="J470" s="9"/>
      <c r="K470" s="9" t="s">
        <v>1013</v>
      </c>
      <c r="L470" s="9" t="s">
        <v>1014</v>
      </c>
    </row>
    <row r="471" customFormat="false" ht="15" hidden="false" customHeight="false" outlineLevel="0" collapsed="false">
      <c r="A471" s="9" t="s">
        <v>1081</v>
      </c>
      <c r="B471" s="9" t="s">
        <v>1082</v>
      </c>
      <c r="C471" s="8"/>
      <c r="D471" s="8"/>
      <c r="E471" s="9"/>
      <c r="F471" s="13"/>
      <c r="G471" s="13"/>
      <c r="H471" s="9"/>
      <c r="I471" s="9"/>
      <c r="J471" s="9"/>
      <c r="K471" s="9" t="s">
        <v>1013</v>
      </c>
      <c r="L471" s="9" t="s">
        <v>1014</v>
      </c>
    </row>
    <row r="472" customFormat="false" ht="15" hidden="false" customHeight="false" outlineLevel="0" collapsed="false">
      <c r="A472" s="9" t="s">
        <v>1083</v>
      </c>
      <c r="B472" s="9" t="s">
        <v>1084</v>
      </c>
      <c r="C472" s="8"/>
      <c r="D472" s="8"/>
      <c r="E472" s="9"/>
      <c r="F472" s="13"/>
      <c r="G472" s="13"/>
      <c r="H472" s="9"/>
      <c r="I472" s="9"/>
      <c r="J472" s="9"/>
      <c r="K472" s="9" t="s">
        <v>1013</v>
      </c>
      <c r="L472" s="9" t="s">
        <v>1014</v>
      </c>
    </row>
    <row r="473" customFormat="false" ht="15" hidden="false" customHeight="false" outlineLevel="0" collapsed="false">
      <c r="A473" s="9" t="s">
        <v>1085</v>
      </c>
      <c r="B473" s="9" t="s">
        <v>1086</v>
      </c>
      <c r="C473" s="8"/>
      <c r="D473" s="8"/>
      <c r="E473" s="9"/>
      <c r="F473" s="13"/>
      <c r="G473" s="13"/>
      <c r="H473" s="9"/>
      <c r="I473" s="9"/>
      <c r="J473" s="9"/>
      <c r="K473" s="9" t="s">
        <v>1013</v>
      </c>
      <c r="L473" s="9" t="s">
        <v>1014</v>
      </c>
    </row>
    <row r="474" customFormat="false" ht="15" hidden="false" customHeight="false" outlineLevel="0" collapsed="false">
      <c r="A474" s="9" t="s">
        <v>1087</v>
      </c>
      <c r="B474" s="9" t="s">
        <v>1088</v>
      </c>
      <c r="C474" s="8"/>
      <c r="D474" s="8"/>
      <c r="E474" s="9"/>
      <c r="F474" s="13"/>
      <c r="G474" s="13"/>
      <c r="H474" s="9"/>
      <c r="I474" s="9"/>
      <c r="J474" s="9"/>
      <c r="K474" s="9" t="s">
        <v>1013</v>
      </c>
      <c r="L474" s="9" t="s">
        <v>1014</v>
      </c>
    </row>
    <row r="475" customFormat="false" ht="15" hidden="false" customHeight="false" outlineLevel="0" collapsed="false">
      <c r="A475" s="9" t="s">
        <v>1089</v>
      </c>
      <c r="B475" s="9" t="s">
        <v>1090</v>
      </c>
      <c r="C475" s="8"/>
      <c r="D475" s="8"/>
      <c r="E475" s="9"/>
      <c r="F475" s="13"/>
      <c r="G475" s="13"/>
      <c r="H475" s="9"/>
      <c r="I475" s="9"/>
      <c r="J475" s="9"/>
      <c r="K475" s="9" t="s">
        <v>1013</v>
      </c>
      <c r="L475" s="9" t="s">
        <v>1014</v>
      </c>
    </row>
    <row r="476" customFormat="false" ht="15" hidden="false" customHeight="false" outlineLevel="0" collapsed="false">
      <c r="A476" s="9" t="s">
        <v>1091</v>
      </c>
      <c r="B476" s="9" t="s">
        <v>1092</v>
      </c>
      <c r="C476" s="8"/>
      <c r="D476" s="8"/>
      <c r="E476" s="9"/>
      <c r="F476" s="13"/>
      <c r="G476" s="13"/>
      <c r="H476" s="9"/>
      <c r="I476" s="9"/>
      <c r="J476" s="9"/>
      <c r="K476" s="9" t="s">
        <v>1013</v>
      </c>
      <c r="L476" s="9" t="s">
        <v>1014</v>
      </c>
    </row>
    <row r="477" customFormat="false" ht="15" hidden="false" customHeight="false" outlineLevel="0" collapsed="false">
      <c r="A477" s="9" t="s">
        <v>1093</v>
      </c>
      <c r="B477" s="9" t="s">
        <v>1094</v>
      </c>
      <c r="C477" s="8"/>
      <c r="D477" s="8"/>
      <c r="E477" s="9"/>
      <c r="F477" s="13"/>
      <c r="G477" s="13"/>
      <c r="H477" s="9"/>
      <c r="I477" s="9"/>
      <c r="J477" s="9"/>
      <c r="K477" s="9" t="s">
        <v>1013</v>
      </c>
      <c r="L477" s="9" t="s">
        <v>1014</v>
      </c>
    </row>
    <row r="478" customFormat="false" ht="15" hidden="false" customHeight="false" outlineLevel="0" collapsed="false">
      <c r="A478" s="9" t="s">
        <v>1095</v>
      </c>
      <c r="B478" s="9" t="s">
        <v>1096</v>
      </c>
      <c r="C478" s="8"/>
      <c r="D478" s="8"/>
      <c r="E478" s="9"/>
      <c r="F478" s="13"/>
      <c r="G478" s="13"/>
      <c r="H478" s="9"/>
      <c r="I478" s="9"/>
      <c r="J478" s="9"/>
      <c r="K478" s="9" t="s">
        <v>1013</v>
      </c>
      <c r="L478" s="9" t="s">
        <v>1014</v>
      </c>
    </row>
    <row r="479" customFormat="false" ht="15" hidden="false" customHeight="false" outlineLevel="0" collapsed="false">
      <c r="A479" s="9" t="s">
        <v>1097</v>
      </c>
      <c r="B479" s="9" t="s">
        <v>1098</v>
      </c>
      <c r="C479" s="8"/>
      <c r="D479" s="8"/>
      <c r="E479" s="9"/>
      <c r="F479" s="13"/>
      <c r="G479" s="13"/>
      <c r="H479" s="9"/>
      <c r="I479" s="9"/>
      <c r="J479" s="9"/>
      <c r="K479" s="9" t="s">
        <v>1013</v>
      </c>
      <c r="L479" s="9" t="s">
        <v>1014</v>
      </c>
    </row>
    <row r="480" customFormat="false" ht="15" hidden="false" customHeight="false" outlineLevel="0" collapsed="false">
      <c r="A480" s="9" t="s">
        <v>1099</v>
      </c>
      <c r="B480" s="9" t="s">
        <v>1100</v>
      </c>
      <c r="C480" s="8"/>
      <c r="D480" s="8"/>
      <c r="E480" s="9"/>
      <c r="F480" s="13"/>
      <c r="G480" s="13"/>
      <c r="H480" s="9"/>
      <c r="I480" s="9"/>
      <c r="J480" s="9"/>
      <c r="K480" s="9" t="s">
        <v>1013</v>
      </c>
      <c r="L480" s="9" t="s">
        <v>1014</v>
      </c>
    </row>
    <row r="481" customFormat="false" ht="15" hidden="false" customHeight="false" outlineLevel="0" collapsed="false">
      <c r="A481" s="9" t="s">
        <v>1101</v>
      </c>
      <c r="B481" s="9" t="s">
        <v>1102</v>
      </c>
      <c r="C481" s="8"/>
      <c r="D481" s="8"/>
      <c r="E481" s="9"/>
      <c r="F481" s="13"/>
      <c r="G481" s="13"/>
      <c r="H481" s="9"/>
      <c r="I481" s="9"/>
      <c r="J481" s="9"/>
      <c r="K481" s="9" t="s">
        <v>1013</v>
      </c>
      <c r="L481" s="9" t="s">
        <v>1014</v>
      </c>
    </row>
    <row r="482" customFormat="false" ht="15" hidden="false" customHeight="false" outlineLevel="0" collapsed="false">
      <c r="A482" s="9" t="s">
        <v>1103</v>
      </c>
      <c r="B482" s="9" t="s">
        <v>1104</v>
      </c>
      <c r="C482" s="8"/>
      <c r="D482" s="8"/>
      <c r="E482" s="9"/>
      <c r="F482" s="13"/>
      <c r="G482" s="13"/>
      <c r="H482" s="9"/>
      <c r="I482" s="9"/>
      <c r="J482" s="9"/>
      <c r="K482" s="9" t="s">
        <v>1013</v>
      </c>
      <c r="L482" s="9" t="s">
        <v>1014</v>
      </c>
    </row>
    <row r="483" customFormat="false" ht="15" hidden="false" customHeight="false" outlineLevel="0" collapsed="false">
      <c r="A483" s="9" t="s">
        <v>1105</v>
      </c>
      <c r="B483" s="9" t="s">
        <v>1106</v>
      </c>
      <c r="C483" s="8"/>
      <c r="D483" s="8"/>
      <c r="E483" s="9"/>
      <c r="F483" s="13"/>
      <c r="G483" s="13"/>
      <c r="H483" s="9"/>
      <c r="I483" s="9"/>
      <c r="J483" s="9"/>
      <c r="K483" s="9" t="s">
        <v>1013</v>
      </c>
      <c r="L483" s="9" t="s">
        <v>1014</v>
      </c>
    </row>
    <row r="484" customFormat="false" ht="15" hidden="false" customHeight="false" outlineLevel="0" collapsed="false">
      <c r="A484" s="9" t="s">
        <v>1107</v>
      </c>
      <c r="B484" s="9" t="s">
        <v>1108</v>
      </c>
      <c r="C484" s="8"/>
      <c r="D484" s="8"/>
      <c r="E484" s="9"/>
      <c r="F484" s="13"/>
      <c r="G484" s="13"/>
      <c r="H484" s="9"/>
      <c r="I484" s="9"/>
      <c r="J484" s="9"/>
      <c r="K484" s="9" t="s">
        <v>1013</v>
      </c>
      <c r="L484" s="9" t="s">
        <v>1014</v>
      </c>
    </row>
    <row r="485" customFormat="false" ht="15" hidden="false" customHeight="false" outlineLevel="0" collapsed="false">
      <c r="A485" s="9" t="s">
        <v>1109</v>
      </c>
      <c r="B485" s="9" t="s">
        <v>1110</v>
      </c>
      <c r="C485" s="8"/>
      <c r="D485" s="8"/>
      <c r="E485" s="9"/>
      <c r="F485" s="13"/>
      <c r="G485" s="13"/>
      <c r="H485" s="9"/>
      <c r="I485" s="9"/>
      <c r="J485" s="9"/>
      <c r="K485" s="9" t="s">
        <v>1013</v>
      </c>
      <c r="L485" s="9" t="s">
        <v>1014</v>
      </c>
    </row>
    <row r="486" customFormat="false" ht="15" hidden="false" customHeight="false" outlineLevel="0" collapsed="false">
      <c r="A486" s="9" t="s">
        <v>1111</v>
      </c>
      <c r="B486" s="9" t="s">
        <v>1112</v>
      </c>
      <c r="C486" s="8"/>
      <c r="D486" s="8"/>
      <c r="E486" s="9"/>
      <c r="F486" s="13"/>
      <c r="G486" s="13"/>
      <c r="H486" s="9"/>
      <c r="I486" s="9"/>
      <c r="J486" s="9"/>
      <c r="K486" s="9" t="s">
        <v>1013</v>
      </c>
      <c r="L486" s="9" t="s">
        <v>1014</v>
      </c>
    </row>
    <row r="487" customFormat="false" ht="15" hidden="false" customHeight="false" outlineLevel="0" collapsed="false">
      <c r="A487" s="9" t="s">
        <v>1113</v>
      </c>
      <c r="B487" s="9" t="s">
        <v>1114</v>
      </c>
      <c r="C487" s="8"/>
      <c r="D487" s="8"/>
      <c r="E487" s="9"/>
      <c r="F487" s="13"/>
      <c r="G487" s="13"/>
      <c r="H487" s="9"/>
      <c r="I487" s="9"/>
      <c r="J487" s="9"/>
      <c r="K487" s="9" t="s">
        <v>1013</v>
      </c>
      <c r="L487" s="9" t="s">
        <v>1014</v>
      </c>
    </row>
    <row r="488" customFormat="false" ht="15" hidden="false" customHeight="false" outlineLevel="0" collapsed="false">
      <c r="A488" s="9" t="s">
        <v>1115</v>
      </c>
      <c r="B488" s="9" t="s">
        <v>1116</v>
      </c>
      <c r="C488" s="8"/>
      <c r="D488" s="8"/>
      <c r="E488" s="9"/>
      <c r="F488" s="13"/>
      <c r="G488" s="13"/>
      <c r="H488" s="9"/>
      <c r="I488" s="9"/>
      <c r="J488" s="9"/>
      <c r="K488" s="9" t="s">
        <v>1013</v>
      </c>
      <c r="L488" s="9" t="s">
        <v>1014</v>
      </c>
    </row>
    <row r="489" customFormat="false" ht="15" hidden="false" customHeight="false" outlineLevel="0" collapsed="false">
      <c r="A489" s="9" t="s">
        <v>1117</v>
      </c>
      <c r="B489" s="9" t="s">
        <v>1118</v>
      </c>
      <c r="C489" s="8"/>
      <c r="D489" s="8"/>
      <c r="E489" s="9"/>
      <c r="F489" s="13"/>
      <c r="G489" s="13"/>
      <c r="H489" s="9"/>
      <c r="I489" s="9"/>
      <c r="J489" s="9"/>
      <c r="K489" s="9" t="s">
        <v>1013</v>
      </c>
      <c r="L489" s="9" t="s">
        <v>1014</v>
      </c>
    </row>
    <row r="490" customFormat="false" ht="15" hidden="false" customHeight="false" outlineLevel="0" collapsed="false">
      <c r="A490" s="9" t="s">
        <v>1119</v>
      </c>
      <c r="B490" s="9" t="s">
        <v>1120</v>
      </c>
      <c r="C490" s="8"/>
      <c r="D490" s="8"/>
      <c r="E490" s="9"/>
      <c r="F490" s="13"/>
      <c r="G490" s="13"/>
      <c r="H490" s="9"/>
      <c r="I490" s="9"/>
      <c r="J490" s="9"/>
      <c r="K490" s="9" t="s">
        <v>1013</v>
      </c>
      <c r="L490" s="9" t="s">
        <v>1014</v>
      </c>
    </row>
    <row r="491" customFormat="false" ht="15" hidden="false" customHeight="false" outlineLevel="0" collapsed="false">
      <c r="A491" s="9" t="s">
        <v>1121</v>
      </c>
      <c r="B491" s="9" t="s">
        <v>1122</v>
      </c>
      <c r="C491" s="8"/>
      <c r="D491" s="8"/>
      <c r="E491" s="9"/>
      <c r="F491" s="13"/>
      <c r="G491" s="13"/>
      <c r="H491" s="9"/>
      <c r="I491" s="9"/>
      <c r="J491" s="9"/>
      <c r="K491" s="9" t="s">
        <v>1013</v>
      </c>
      <c r="L491" s="9" t="s">
        <v>1014</v>
      </c>
    </row>
    <row r="492" customFormat="false" ht="15" hidden="false" customHeight="false" outlineLevel="0" collapsed="false">
      <c r="A492" s="9" t="s">
        <v>1123</v>
      </c>
      <c r="B492" s="9" t="s">
        <v>1124</v>
      </c>
      <c r="C492" s="8"/>
      <c r="D492" s="8"/>
      <c r="E492" s="9"/>
      <c r="F492" s="13"/>
      <c r="G492" s="13"/>
      <c r="H492" s="9"/>
      <c r="I492" s="9"/>
      <c r="J492" s="9"/>
      <c r="K492" s="9" t="s">
        <v>1013</v>
      </c>
      <c r="L492" s="9" t="s">
        <v>1014</v>
      </c>
    </row>
    <row r="493" customFormat="false" ht="15" hidden="false" customHeight="false" outlineLevel="0" collapsed="false">
      <c r="A493" s="9" t="s">
        <v>1125</v>
      </c>
      <c r="B493" s="9" t="s">
        <v>1126</v>
      </c>
      <c r="C493" s="8"/>
      <c r="D493" s="8"/>
      <c r="E493" s="9"/>
      <c r="F493" s="13"/>
      <c r="G493" s="13"/>
      <c r="H493" s="9"/>
      <c r="I493" s="9"/>
      <c r="J493" s="9"/>
      <c r="K493" s="9" t="s">
        <v>1013</v>
      </c>
      <c r="L493" s="9" t="s">
        <v>1014</v>
      </c>
    </row>
    <row r="494" customFormat="false" ht="15" hidden="false" customHeight="false" outlineLevel="0" collapsed="false">
      <c r="A494" s="9" t="s">
        <v>1127</v>
      </c>
      <c r="B494" s="9" t="s">
        <v>1128</v>
      </c>
      <c r="C494" s="8"/>
      <c r="D494" s="8"/>
      <c r="E494" s="9"/>
      <c r="F494" s="13"/>
      <c r="G494" s="13"/>
      <c r="H494" s="9"/>
      <c r="I494" s="9"/>
      <c r="J494" s="9"/>
      <c r="K494" s="9" t="s">
        <v>1013</v>
      </c>
      <c r="L494" s="9" t="s">
        <v>1014</v>
      </c>
    </row>
    <row r="495" customFormat="false" ht="15" hidden="false" customHeight="false" outlineLevel="0" collapsed="false">
      <c r="A495" s="9" t="s">
        <v>1129</v>
      </c>
      <c r="B495" s="9" t="s">
        <v>1130</v>
      </c>
      <c r="C495" s="8"/>
      <c r="D495" s="8"/>
      <c r="E495" s="9"/>
      <c r="F495" s="13"/>
      <c r="G495" s="13"/>
      <c r="H495" s="9"/>
      <c r="I495" s="9"/>
      <c r="J495" s="9"/>
      <c r="K495" s="9" t="s">
        <v>1013</v>
      </c>
      <c r="L495" s="9" t="s">
        <v>1014</v>
      </c>
    </row>
    <row r="496" customFormat="false" ht="15" hidden="false" customHeight="false" outlineLevel="0" collapsed="false">
      <c r="A496" s="9" t="s">
        <v>1131</v>
      </c>
      <c r="B496" s="9" t="s">
        <v>1132</v>
      </c>
      <c r="C496" s="8"/>
      <c r="D496" s="8"/>
      <c r="E496" s="9"/>
      <c r="F496" s="13"/>
      <c r="G496" s="13"/>
      <c r="H496" s="9"/>
      <c r="I496" s="9"/>
      <c r="J496" s="9"/>
      <c r="K496" s="9" t="s">
        <v>1013</v>
      </c>
      <c r="L496" s="9" t="s">
        <v>1014</v>
      </c>
    </row>
    <row r="497" customFormat="false" ht="15" hidden="false" customHeight="false" outlineLevel="0" collapsed="false">
      <c r="A497" s="9" t="s">
        <v>1133</v>
      </c>
      <c r="B497" s="9" t="s">
        <v>1134</v>
      </c>
      <c r="C497" s="8"/>
      <c r="D497" s="8"/>
      <c r="E497" s="9"/>
      <c r="F497" s="13"/>
      <c r="G497" s="13"/>
      <c r="H497" s="9"/>
      <c r="I497" s="9"/>
      <c r="J497" s="9"/>
      <c r="K497" s="9" t="s">
        <v>1013</v>
      </c>
      <c r="L497" s="9" t="s">
        <v>1014</v>
      </c>
    </row>
    <row r="498" customFormat="false" ht="15" hidden="false" customHeight="false" outlineLevel="0" collapsed="false">
      <c r="A498" s="9" t="s">
        <v>1135</v>
      </c>
      <c r="B498" s="9" t="s">
        <v>1136</v>
      </c>
      <c r="C498" s="8"/>
      <c r="D498" s="8"/>
      <c r="E498" s="9"/>
      <c r="F498" s="13"/>
      <c r="G498" s="13"/>
      <c r="H498" s="9"/>
      <c r="I498" s="9"/>
      <c r="J498" s="9"/>
      <c r="K498" s="9" t="s">
        <v>1013</v>
      </c>
      <c r="L498" s="9" t="s">
        <v>1014</v>
      </c>
    </row>
    <row r="499" customFormat="false" ht="15" hidden="false" customHeight="false" outlineLevel="0" collapsed="false">
      <c r="A499" s="9" t="s">
        <v>1137</v>
      </c>
      <c r="B499" s="9" t="s">
        <v>1138</v>
      </c>
      <c r="C499" s="8"/>
      <c r="D499" s="8"/>
      <c r="E499" s="9"/>
      <c r="F499" s="13"/>
      <c r="G499" s="13"/>
      <c r="H499" s="9"/>
      <c r="I499" s="9"/>
      <c r="J499" s="9"/>
      <c r="K499" s="9" t="s">
        <v>1013</v>
      </c>
      <c r="L499" s="9" t="s">
        <v>1014</v>
      </c>
    </row>
    <row r="500" customFormat="false" ht="15" hidden="false" customHeight="false" outlineLevel="0" collapsed="false">
      <c r="A500" s="9" t="s">
        <v>1139</v>
      </c>
      <c r="B500" s="9" t="s">
        <v>1140</v>
      </c>
      <c r="C500" s="8"/>
      <c r="D500" s="8"/>
      <c r="E500" s="9"/>
      <c r="F500" s="13"/>
      <c r="G500" s="13"/>
      <c r="H500" s="9"/>
      <c r="I500" s="9"/>
      <c r="J500" s="9"/>
      <c r="K500" s="9" t="s">
        <v>1013</v>
      </c>
      <c r="L500" s="9" t="s">
        <v>1014</v>
      </c>
    </row>
    <row r="501" customFormat="false" ht="15" hidden="false" customHeight="false" outlineLevel="0" collapsed="false">
      <c r="A501" s="9" t="s">
        <v>1141</v>
      </c>
      <c r="B501" s="9" t="s">
        <v>1142</v>
      </c>
      <c r="C501" s="8"/>
      <c r="D501" s="8"/>
      <c r="E501" s="9"/>
      <c r="F501" s="13"/>
      <c r="G501" s="13"/>
      <c r="H501" s="9"/>
      <c r="I501" s="9"/>
      <c r="J501" s="9"/>
      <c r="K501" s="9" t="s">
        <v>1013</v>
      </c>
      <c r="L501" s="9" t="s">
        <v>1014</v>
      </c>
    </row>
  </sheetData>
  <autoFilter ref="A1:L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7" min="6" style="0" width="11"/>
    <col collapsed="false" customWidth="true" hidden="false" outlineLevel="0" max="8" min="8" style="0" width="34"/>
    <col collapsed="false" customWidth="true" hidden="false" outlineLevel="0" max="9" min="9" style="0" width="10"/>
  </cols>
  <sheetData>
    <row r="1" customFormat="false" ht="31.5" hidden="false" customHeight="true" outlineLevel="0" collapsed="false">
      <c r="A1" s="3" t="s">
        <v>1143</v>
      </c>
      <c r="B1" s="3" t="s">
        <v>48</v>
      </c>
      <c r="C1" s="3" t="s">
        <v>49</v>
      </c>
      <c r="D1" s="3" t="s">
        <v>1144</v>
      </c>
      <c r="E1" s="3" t="s">
        <v>1145</v>
      </c>
      <c r="F1" s="3" t="s">
        <v>53</v>
      </c>
      <c r="G1" s="3" t="s">
        <v>54</v>
      </c>
      <c r="H1" s="3" t="s">
        <v>1146</v>
      </c>
      <c r="I1" s="3" t="s">
        <v>1147</v>
      </c>
    </row>
    <row r="2" customFormat="false" ht="15" hidden="false" customHeight="false" outlineLevel="0" collapsed="false">
      <c r="A2" s="9" t="s">
        <v>1148</v>
      </c>
      <c r="B2" s="9" t="s">
        <v>60</v>
      </c>
      <c r="C2" s="9" t="str">
        <f aca="false">IFERROR(INDEX(Destination!$B$2:$B$501,MATCH(B2,Destination!$A$2:$A$501,0)),"")</f>
        <v>Agra</v>
      </c>
      <c r="D2" s="9" t="s">
        <v>1149</v>
      </c>
      <c r="E2" s="9" t="s">
        <v>1150</v>
      </c>
      <c r="F2" s="14"/>
      <c r="G2" s="14"/>
      <c r="H2" s="9" t="s">
        <v>1151</v>
      </c>
      <c r="I2" s="8"/>
    </row>
    <row r="3" customFormat="false" ht="15" hidden="false" customHeight="false" outlineLevel="0" collapsed="false">
      <c r="A3" s="9" t="s">
        <v>1152</v>
      </c>
      <c r="B3" s="9" t="s">
        <v>60</v>
      </c>
      <c r="C3" s="9" t="str">
        <f aca="false">IFERROR(INDEX(Destination!$B$2:$B$501,MATCH(B3,Destination!$A$2:$A$501,0)),"")</f>
        <v>Agra</v>
      </c>
      <c r="D3" s="9" t="s">
        <v>1153</v>
      </c>
      <c r="E3" s="9" t="s">
        <v>64</v>
      </c>
      <c r="F3" s="14"/>
      <c r="G3" s="14"/>
      <c r="H3" s="9" t="s">
        <v>1154</v>
      </c>
      <c r="I3" s="8"/>
    </row>
    <row r="4" customFormat="false" ht="15" hidden="false" customHeight="false" outlineLevel="0" collapsed="false">
      <c r="A4" s="9" t="s">
        <v>1155</v>
      </c>
      <c r="B4" s="9" t="s">
        <v>60</v>
      </c>
      <c r="C4" s="9" t="str">
        <f aca="false">IFERROR(INDEX(Destination!$B$2:$B$501,MATCH(B4,Destination!$A$2:$A$501,0)),"")</f>
        <v>Agra</v>
      </c>
      <c r="D4" s="9" t="s">
        <v>1156</v>
      </c>
      <c r="E4" s="9" t="s">
        <v>64</v>
      </c>
      <c r="F4" s="14"/>
      <c r="G4" s="14"/>
      <c r="H4" s="9" t="s">
        <v>1154</v>
      </c>
      <c r="I4" s="8"/>
    </row>
    <row r="5" customFormat="false" ht="15" hidden="false" customHeight="false" outlineLevel="0" collapsed="false">
      <c r="A5" s="9" t="s">
        <v>1157</v>
      </c>
      <c r="B5" s="9" t="s">
        <v>60</v>
      </c>
      <c r="C5" s="9" t="str">
        <f aca="false">IFERROR(INDEX(Destination!$B$2:$B$501,MATCH(B5,Destination!$A$2:$A$501,0)),"")</f>
        <v>Agra</v>
      </c>
      <c r="D5" s="9" t="s">
        <v>1158</v>
      </c>
      <c r="E5" s="9" t="s">
        <v>1159</v>
      </c>
      <c r="F5" s="14"/>
      <c r="G5" s="14"/>
      <c r="H5" s="9" t="s">
        <v>1160</v>
      </c>
      <c r="I5" s="8"/>
    </row>
    <row r="6" customFormat="false" ht="15" hidden="false" customHeight="false" outlineLevel="0" collapsed="false">
      <c r="A6" s="9" t="s">
        <v>1161</v>
      </c>
      <c r="B6" s="9" t="s">
        <v>60</v>
      </c>
      <c r="C6" s="9" t="str">
        <f aca="false">IFERROR(INDEX(Destination!$B$2:$B$501,MATCH(B6,Destination!$A$2:$A$501,0)),"")</f>
        <v>Agra</v>
      </c>
      <c r="D6" s="9" t="s">
        <v>1162</v>
      </c>
      <c r="E6" s="9" t="s">
        <v>1163</v>
      </c>
      <c r="F6" s="14"/>
      <c r="G6" s="14"/>
      <c r="H6" s="9" t="s">
        <v>1164</v>
      </c>
      <c r="I6" s="8"/>
    </row>
    <row r="7" customFormat="false" ht="15" hidden="false" customHeight="false" outlineLevel="0" collapsed="false">
      <c r="A7" s="9" t="s">
        <v>1165</v>
      </c>
      <c r="B7" s="9" t="s">
        <v>60</v>
      </c>
      <c r="C7" s="9" t="str">
        <f aca="false">IFERROR(INDEX(Destination!$B$2:$B$501,MATCH(B7,Destination!$A$2:$A$501,0)),"")</f>
        <v>Agra</v>
      </c>
      <c r="D7" s="9" t="s">
        <v>1166</v>
      </c>
      <c r="E7" s="9" t="s">
        <v>1163</v>
      </c>
      <c r="F7" s="14"/>
      <c r="G7" s="14"/>
      <c r="H7" s="9" t="s">
        <v>1164</v>
      </c>
      <c r="I7" s="8"/>
    </row>
    <row r="8" customFormat="false" ht="15" hidden="false" customHeight="false" outlineLevel="0" collapsed="false">
      <c r="A8" s="9" t="s">
        <v>1167</v>
      </c>
      <c r="B8" s="9" t="s">
        <v>68</v>
      </c>
      <c r="C8" s="9" t="str">
        <f aca="false">IFERROR(INDEX(Destination!$B$2:$B$501,MATCH(B8,Destination!$A$2:$A$501,0)),"")</f>
        <v>Jaipur</v>
      </c>
      <c r="D8" s="9" t="s">
        <v>1168</v>
      </c>
      <c r="E8" s="9" t="s">
        <v>1150</v>
      </c>
      <c r="F8" s="14"/>
      <c r="G8" s="14"/>
      <c r="H8" s="9" t="s">
        <v>1151</v>
      </c>
      <c r="I8" s="8"/>
    </row>
    <row r="9" customFormat="false" ht="15" hidden="false" customHeight="false" outlineLevel="0" collapsed="false">
      <c r="A9" s="9" t="s">
        <v>1169</v>
      </c>
      <c r="B9" s="9" t="s">
        <v>68</v>
      </c>
      <c r="C9" s="9" t="str">
        <f aca="false">IFERROR(INDEX(Destination!$B$2:$B$501,MATCH(B9,Destination!$A$2:$A$501,0)),"")</f>
        <v>Jaipur</v>
      </c>
      <c r="D9" s="9" t="s">
        <v>1170</v>
      </c>
      <c r="E9" s="9" t="s">
        <v>1150</v>
      </c>
      <c r="F9" s="14"/>
      <c r="G9" s="14"/>
      <c r="H9" s="9" t="s">
        <v>1151</v>
      </c>
      <c r="I9" s="8"/>
    </row>
    <row r="10" customFormat="false" ht="15" hidden="false" customHeight="false" outlineLevel="0" collapsed="false">
      <c r="A10" s="9" t="s">
        <v>1171</v>
      </c>
      <c r="B10" s="9" t="s">
        <v>68</v>
      </c>
      <c r="C10" s="9" t="str">
        <f aca="false">IFERROR(INDEX(Destination!$B$2:$B$501,MATCH(B10,Destination!$A$2:$A$501,0)),"")</f>
        <v>Jaipur</v>
      </c>
      <c r="D10" s="9" t="s">
        <v>1172</v>
      </c>
      <c r="E10" s="9" t="s">
        <v>64</v>
      </c>
      <c r="F10" s="14"/>
      <c r="G10" s="14"/>
      <c r="H10" s="9" t="s">
        <v>1154</v>
      </c>
      <c r="I10" s="8"/>
    </row>
    <row r="11" customFormat="false" ht="15" hidden="false" customHeight="false" outlineLevel="0" collapsed="false">
      <c r="A11" s="9" t="s">
        <v>1173</v>
      </c>
      <c r="B11" s="9" t="s">
        <v>68</v>
      </c>
      <c r="C11" s="9" t="str">
        <f aca="false">IFERROR(INDEX(Destination!$B$2:$B$501,MATCH(B11,Destination!$A$2:$A$501,0)),"")</f>
        <v>Jaipur</v>
      </c>
      <c r="D11" s="9" t="s">
        <v>1174</v>
      </c>
      <c r="E11" s="9" t="s">
        <v>64</v>
      </c>
      <c r="F11" s="14"/>
      <c r="G11" s="14"/>
      <c r="H11" s="9" t="s">
        <v>1154</v>
      </c>
      <c r="I11" s="8"/>
    </row>
    <row r="12" customFormat="false" ht="15" hidden="false" customHeight="false" outlineLevel="0" collapsed="false">
      <c r="A12" s="9" t="s">
        <v>1175</v>
      </c>
      <c r="B12" s="9" t="s">
        <v>68</v>
      </c>
      <c r="C12" s="9" t="str">
        <f aca="false">IFERROR(INDEX(Destination!$B$2:$B$501,MATCH(B12,Destination!$A$2:$A$501,0)),"")</f>
        <v>Jaipur</v>
      </c>
      <c r="D12" s="9" t="s">
        <v>1176</v>
      </c>
      <c r="E12" s="9" t="s">
        <v>1163</v>
      </c>
      <c r="F12" s="14"/>
      <c r="G12" s="14"/>
      <c r="H12" s="9" t="s">
        <v>1164</v>
      </c>
      <c r="I12" s="8"/>
    </row>
    <row r="13" customFormat="false" ht="15" hidden="false" customHeight="false" outlineLevel="0" collapsed="false">
      <c r="A13" s="9" t="s">
        <v>1177</v>
      </c>
      <c r="B13" s="9" t="s">
        <v>68</v>
      </c>
      <c r="C13" s="9" t="str">
        <f aca="false">IFERROR(INDEX(Destination!$B$2:$B$501,MATCH(B13,Destination!$A$2:$A$501,0)),"")</f>
        <v>Jaipur</v>
      </c>
      <c r="D13" s="9" t="s">
        <v>1178</v>
      </c>
      <c r="E13" s="9" t="s">
        <v>1163</v>
      </c>
      <c r="F13" s="14"/>
      <c r="G13" s="14"/>
      <c r="H13" s="9" t="s">
        <v>1164</v>
      </c>
      <c r="I13" s="8"/>
    </row>
    <row r="14" customFormat="false" ht="15" hidden="false" customHeight="false" outlineLevel="0" collapsed="false">
      <c r="A14" s="9" t="s">
        <v>1179</v>
      </c>
      <c r="B14" s="9" t="s">
        <v>72</v>
      </c>
      <c r="C14" s="9" t="str">
        <f aca="false">IFERROR(INDEX(Destination!$B$2:$B$501,MATCH(B14,Destination!$A$2:$A$501,0)),"")</f>
        <v>Varanasi</v>
      </c>
      <c r="D14" s="9" t="s">
        <v>1180</v>
      </c>
      <c r="E14" s="9" t="s">
        <v>1150</v>
      </c>
      <c r="F14" s="14"/>
      <c r="G14" s="14"/>
      <c r="H14" s="9" t="s">
        <v>1151</v>
      </c>
      <c r="I14" s="8"/>
    </row>
    <row r="15" customFormat="false" ht="15" hidden="false" customHeight="false" outlineLevel="0" collapsed="false">
      <c r="A15" s="9" t="s">
        <v>1181</v>
      </c>
      <c r="B15" s="9" t="s">
        <v>72</v>
      </c>
      <c r="C15" s="9" t="str">
        <f aca="false">IFERROR(INDEX(Destination!$B$2:$B$501,MATCH(B15,Destination!$A$2:$A$501,0)),"")</f>
        <v>Varanasi</v>
      </c>
      <c r="D15" s="9" t="s">
        <v>1182</v>
      </c>
      <c r="E15" s="9" t="s">
        <v>1150</v>
      </c>
      <c r="F15" s="14"/>
      <c r="G15" s="14"/>
      <c r="H15" s="9" t="s">
        <v>1151</v>
      </c>
      <c r="I15" s="8"/>
    </row>
    <row r="16" customFormat="false" ht="15" hidden="false" customHeight="false" outlineLevel="0" collapsed="false">
      <c r="A16" s="9" t="s">
        <v>1183</v>
      </c>
      <c r="B16" s="9" t="s">
        <v>72</v>
      </c>
      <c r="C16" s="9" t="str">
        <f aca="false">IFERROR(INDEX(Destination!$B$2:$B$501,MATCH(B16,Destination!$A$2:$A$501,0)),"")</f>
        <v>Varanasi</v>
      </c>
      <c r="D16" s="9" t="s">
        <v>1184</v>
      </c>
      <c r="E16" s="9" t="s">
        <v>64</v>
      </c>
      <c r="F16" s="14"/>
      <c r="G16" s="14"/>
      <c r="H16" s="9" t="s">
        <v>1154</v>
      </c>
      <c r="I16" s="8"/>
    </row>
    <row r="17" customFormat="false" ht="15" hidden="false" customHeight="false" outlineLevel="0" collapsed="false">
      <c r="A17" s="9" t="s">
        <v>1185</v>
      </c>
      <c r="B17" s="9" t="s">
        <v>72</v>
      </c>
      <c r="C17" s="9" t="str">
        <f aca="false">IFERROR(INDEX(Destination!$B$2:$B$501,MATCH(B17,Destination!$A$2:$A$501,0)),"")</f>
        <v>Varanasi</v>
      </c>
      <c r="D17" s="9" t="s">
        <v>1186</v>
      </c>
      <c r="E17" s="9" t="s">
        <v>1159</v>
      </c>
      <c r="F17" s="14"/>
      <c r="G17" s="14"/>
      <c r="H17" s="9" t="s">
        <v>1160</v>
      </c>
      <c r="I17" s="8"/>
    </row>
    <row r="18" customFormat="false" ht="15" hidden="false" customHeight="false" outlineLevel="0" collapsed="false">
      <c r="A18" s="9" t="s">
        <v>1187</v>
      </c>
      <c r="B18" s="9" t="s">
        <v>72</v>
      </c>
      <c r="C18" s="9" t="str">
        <f aca="false">IFERROR(INDEX(Destination!$B$2:$B$501,MATCH(B18,Destination!$A$2:$A$501,0)),"")</f>
        <v>Varanasi</v>
      </c>
      <c r="D18" s="9" t="s">
        <v>1188</v>
      </c>
      <c r="E18" s="9" t="s">
        <v>1163</v>
      </c>
      <c r="F18" s="14"/>
      <c r="G18" s="14"/>
      <c r="H18" s="9" t="s">
        <v>1164</v>
      </c>
      <c r="I18" s="8"/>
    </row>
    <row r="19" customFormat="false" ht="15" hidden="false" customHeight="false" outlineLevel="0" collapsed="false">
      <c r="A19" s="9" t="s">
        <v>1189</v>
      </c>
      <c r="B19" s="9" t="s">
        <v>72</v>
      </c>
      <c r="C19" s="9" t="str">
        <f aca="false">IFERROR(INDEX(Destination!$B$2:$B$501,MATCH(B19,Destination!$A$2:$A$501,0)),"")</f>
        <v>Varanasi</v>
      </c>
      <c r="D19" s="9" t="s">
        <v>120</v>
      </c>
      <c r="E19" s="9" t="s">
        <v>1163</v>
      </c>
      <c r="F19" s="14"/>
      <c r="G19" s="14"/>
      <c r="H19" s="9" t="s">
        <v>1164</v>
      </c>
      <c r="I19" s="8"/>
    </row>
    <row r="20" customFormat="false" ht="15" hidden="false" customHeight="false" outlineLevel="0" collapsed="false">
      <c r="A20" s="9" t="s">
        <v>1190</v>
      </c>
      <c r="B20" s="9" t="s">
        <v>75</v>
      </c>
      <c r="C20" s="9" t="str">
        <f aca="false">IFERROR(INDEX(Destination!$B$2:$B$501,MATCH(B20,Destination!$A$2:$A$501,0)),"")</f>
        <v>Mysuru</v>
      </c>
      <c r="D20" s="9" t="s">
        <v>1191</v>
      </c>
      <c r="E20" s="9" t="s">
        <v>1150</v>
      </c>
      <c r="F20" s="14"/>
      <c r="G20" s="14"/>
      <c r="H20" s="9" t="s">
        <v>1151</v>
      </c>
      <c r="I20" s="8"/>
    </row>
    <row r="21" customFormat="false" ht="15" hidden="false" customHeight="false" outlineLevel="0" collapsed="false">
      <c r="A21" s="9" t="s">
        <v>1192</v>
      </c>
      <c r="B21" s="9" t="s">
        <v>75</v>
      </c>
      <c r="C21" s="9" t="str">
        <f aca="false">IFERROR(INDEX(Destination!$B$2:$B$501,MATCH(B21,Destination!$A$2:$A$501,0)),"")</f>
        <v>Mysuru</v>
      </c>
      <c r="D21" s="9" t="s">
        <v>1193</v>
      </c>
      <c r="E21" s="9" t="s">
        <v>64</v>
      </c>
      <c r="F21" s="14"/>
      <c r="G21" s="14"/>
      <c r="H21" s="9" t="s">
        <v>1154</v>
      </c>
      <c r="I21" s="8"/>
    </row>
    <row r="22" customFormat="false" ht="15" hidden="false" customHeight="false" outlineLevel="0" collapsed="false">
      <c r="A22" s="9" t="s">
        <v>1194</v>
      </c>
      <c r="B22" s="9" t="s">
        <v>75</v>
      </c>
      <c r="C22" s="9" t="str">
        <f aca="false">IFERROR(INDEX(Destination!$B$2:$B$501,MATCH(B22,Destination!$A$2:$A$501,0)),"")</f>
        <v>Mysuru</v>
      </c>
      <c r="D22" s="9" t="s">
        <v>1195</v>
      </c>
      <c r="E22" s="9" t="s">
        <v>64</v>
      </c>
      <c r="F22" s="14"/>
      <c r="G22" s="14"/>
      <c r="H22" s="9" t="s">
        <v>1154</v>
      </c>
      <c r="I22" s="8"/>
    </row>
    <row r="23" customFormat="false" ht="15" hidden="false" customHeight="false" outlineLevel="0" collapsed="false">
      <c r="A23" s="9" t="s">
        <v>1196</v>
      </c>
      <c r="B23" s="9" t="s">
        <v>75</v>
      </c>
      <c r="C23" s="9" t="str">
        <f aca="false">IFERROR(INDEX(Destination!$B$2:$B$501,MATCH(B23,Destination!$A$2:$A$501,0)),"")</f>
        <v>Mysuru</v>
      </c>
      <c r="D23" s="9" t="s">
        <v>1197</v>
      </c>
      <c r="E23" s="9" t="s">
        <v>1159</v>
      </c>
      <c r="F23" s="14"/>
      <c r="G23" s="14"/>
      <c r="H23" s="9" t="s">
        <v>1160</v>
      </c>
      <c r="I23" s="8"/>
    </row>
    <row r="24" customFormat="false" ht="15" hidden="false" customHeight="false" outlineLevel="0" collapsed="false">
      <c r="A24" s="9" t="s">
        <v>1198</v>
      </c>
      <c r="B24" s="9" t="s">
        <v>75</v>
      </c>
      <c r="C24" s="9" t="str">
        <f aca="false">IFERROR(INDEX(Destination!$B$2:$B$501,MATCH(B24,Destination!$A$2:$A$501,0)),"")</f>
        <v>Mysuru</v>
      </c>
      <c r="D24" s="9" t="s">
        <v>1199</v>
      </c>
      <c r="E24" s="9" t="s">
        <v>1163</v>
      </c>
      <c r="F24" s="14"/>
      <c r="G24" s="14"/>
      <c r="H24" s="9" t="s">
        <v>1164</v>
      </c>
      <c r="I24" s="8"/>
    </row>
    <row r="25" customFormat="false" ht="15" hidden="false" customHeight="false" outlineLevel="0" collapsed="false">
      <c r="A25" s="9" t="s">
        <v>1200</v>
      </c>
      <c r="B25" s="9" t="s">
        <v>80</v>
      </c>
      <c r="C25" s="9" t="str">
        <f aca="false">IFERROR(INDEX(Destination!$B$2:$B$501,MATCH(B25,Destination!$A$2:$A$501,0)),"")</f>
        <v>Kochi</v>
      </c>
      <c r="D25" s="9" t="s">
        <v>1201</v>
      </c>
      <c r="E25" s="9" t="s">
        <v>1150</v>
      </c>
      <c r="F25" s="14"/>
      <c r="G25" s="14"/>
      <c r="H25" s="9" t="s">
        <v>1151</v>
      </c>
      <c r="I25" s="8"/>
    </row>
    <row r="26" customFormat="false" ht="15" hidden="false" customHeight="false" outlineLevel="0" collapsed="false">
      <c r="A26" s="9" t="s">
        <v>1202</v>
      </c>
      <c r="B26" s="9" t="s">
        <v>80</v>
      </c>
      <c r="C26" s="9" t="str">
        <f aca="false">IFERROR(INDEX(Destination!$B$2:$B$501,MATCH(B26,Destination!$A$2:$A$501,0)),"")</f>
        <v>Kochi</v>
      </c>
      <c r="D26" s="9" t="s">
        <v>1203</v>
      </c>
      <c r="E26" s="9" t="s">
        <v>64</v>
      </c>
      <c r="F26" s="14"/>
      <c r="G26" s="14"/>
      <c r="H26" s="9" t="s">
        <v>1154</v>
      </c>
      <c r="I26" s="8"/>
    </row>
    <row r="27" customFormat="false" ht="15" hidden="false" customHeight="false" outlineLevel="0" collapsed="false">
      <c r="A27" s="9" t="s">
        <v>1204</v>
      </c>
      <c r="B27" s="9" t="s">
        <v>80</v>
      </c>
      <c r="C27" s="9" t="str">
        <f aca="false">IFERROR(INDEX(Destination!$B$2:$B$501,MATCH(B27,Destination!$A$2:$A$501,0)),"")</f>
        <v>Kochi</v>
      </c>
      <c r="D27" s="9" t="s">
        <v>1205</v>
      </c>
      <c r="E27" s="9" t="s">
        <v>64</v>
      </c>
      <c r="F27" s="14"/>
      <c r="G27" s="14"/>
      <c r="H27" s="9" t="s">
        <v>1154</v>
      </c>
      <c r="I27" s="8"/>
    </row>
    <row r="28" customFormat="false" ht="15" hidden="false" customHeight="false" outlineLevel="0" collapsed="false">
      <c r="A28" s="9" t="s">
        <v>1206</v>
      </c>
      <c r="B28" s="9" t="s">
        <v>80</v>
      </c>
      <c r="C28" s="9" t="str">
        <f aca="false">IFERROR(INDEX(Destination!$B$2:$B$501,MATCH(B28,Destination!$A$2:$A$501,0)),"")</f>
        <v>Kochi</v>
      </c>
      <c r="D28" s="9" t="s">
        <v>1207</v>
      </c>
      <c r="E28" s="9" t="s">
        <v>1159</v>
      </c>
      <c r="F28" s="14"/>
      <c r="G28" s="14"/>
      <c r="H28" s="9" t="s">
        <v>1160</v>
      </c>
      <c r="I28" s="8"/>
    </row>
    <row r="29" customFormat="false" ht="15" hidden="false" customHeight="false" outlineLevel="0" collapsed="false">
      <c r="A29" s="9" t="s">
        <v>1208</v>
      </c>
      <c r="B29" s="9" t="s">
        <v>80</v>
      </c>
      <c r="C29" s="9" t="str">
        <f aca="false">IFERROR(INDEX(Destination!$B$2:$B$501,MATCH(B29,Destination!$A$2:$A$501,0)),"")</f>
        <v>Kochi</v>
      </c>
      <c r="D29" s="9" t="s">
        <v>525</v>
      </c>
      <c r="E29" s="9" t="s">
        <v>1163</v>
      </c>
      <c r="F29" s="14"/>
      <c r="G29" s="14"/>
      <c r="H29" s="9" t="s">
        <v>1164</v>
      </c>
      <c r="I29" s="8"/>
    </row>
    <row r="30" customFormat="false" ht="15" hidden="false" customHeight="false" outlineLevel="0" collapsed="false">
      <c r="A30" s="9" t="s">
        <v>1209</v>
      </c>
      <c r="B30" s="9" t="s">
        <v>80</v>
      </c>
      <c r="C30" s="9" t="str">
        <f aca="false">IFERROR(INDEX(Destination!$B$2:$B$501,MATCH(B30,Destination!$A$2:$A$501,0)),"")</f>
        <v>Kochi</v>
      </c>
      <c r="D30" s="9" t="s">
        <v>1210</v>
      </c>
      <c r="E30" s="9" t="s">
        <v>1163</v>
      </c>
      <c r="F30" s="14"/>
      <c r="G30" s="14"/>
      <c r="H30" s="9" t="s">
        <v>1164</v>
      </c>
      <c r="I30" s="8"/>
    </row>
    <row r="31" customFormat="false" ht="15" hidden="false" customHeight="false" outlineLevel="0" collapsed="false">
      <c r="A31" s="9" t="s">
        <v>1211</v>
      </c>
      <c r="B31" s="9" t="s">
        <v>84</v>
      </c>
      <c r="C31" s="9" t="str">
        <f aca="false">IFERROR(INDEX(Destination!$B$2:$B$501,MATCH(B31,Destination!$A$2:$A$501,0)),"")</f>
        <v>Hampi</v>
      </c>
      <c r="D31" s="9" t="s">
        <v>1212</v>
      </c>
      <c r="E31" s="9" t="s">
        <v>1150</v>
      </c>
      <c r="F31" s="14"/>
      <c r="G31" s="14"/>
      <c r="H31" s="9" t="s">
        <v>1151</v>
      </c>
      <c r="I31" s="8"/>
    </row>
    <row r="32" customFormat="false" ht="15" hidden="false" customHeight="false" outlineLevel="0" collapsed="false">
      <c r="A32" s="9" t="s">
        <v>1213</v>
      </c>
      <c r="B32" s="9" t="s">
        <v>84</v>
      </c>
      <c r="C32" s="9" t="str">
        <f aca="false">IFERROR(INDEX(Destination!$B$2:$B$501,MATCH(B32,Destination!$A$2:$A$501,0)),"")</f>
        <v>Hampi</v>
      </c>
      <c r="D32" s="9" t="s">
        <v>1214</v>
      </c>
      <c r="E32" s="9" t="s">
        <v>64</v>
      </c>
      <c r="F32" s="14"/>
      <c r="G32" s="14"/>
      <c r="H32" s="9" t="s">
        <v>1154</v>
      </c>
      <c r="I32" s="8"/>
    </row>
    <row r="33" customFormat="false" ht="15" hidden="false" customHeight="false" outlineLevel="0" collapsed="false">
      <c r="A33" s="9" t="s">
        <v>1215</v>
      </c>
      <c r="B33" s="9" t="s">
        <v>84</v>
      </c>
      <c r="C33" s="9" t="str">
        <f aca="false">IFERROR(INDEX(Destination!$B$2:$B$501,MATCH(B33,Destination!$A$2:$A$501,0)),"")</f>
        <v>Hampi</v>
      </c>
      <c r="D33" s="9" t="s">
        <v>1216</v>
      </c>
      <c r="E33" s="9" t="s">
        <v>64</v>
      </c>
      <c r="F33" s="14"/>
      <c r="G33" s="14"/>
      <c r="H33" s="9" t="s">
        <v>1154</v>
      </c>
      <c r="I33" s="8"/>
    </row>
    <row r="34" customFormat="false" ht="15" hidden="false" customHeight="false" outlineLevel="0" collapsed="false">
      <c r="A34" s="9" t="s">
        <v>1217</v>
      </c>
      <c r="B34" s="9" t="s">
        <v>84</v>
      </c>
      <c r="C34" s="9" t="str">
        <f aca="false">IFERROR(INDEX(Destination!$B$2:$B$501,MATCH(B34,Destination!$A$2:$A$501,0)),"")</f>
        <v>Hampi</v>
      </c>
      <c r="D34" s="9" t="s">
        <v>1218</v>
      </c>
      <c r="E34" s="9" t="s">
        <v>1159</v>
      </c>
      <c r="F34" s="14"/>
      <c r="G34" s="14"/>
      <c r="H34" s="9" t="s">
        <v>1160</v>
      </c>
      <c r="I34" s="8"/>
    </row>
    <row r="35" customFormat="false" ht="15" hidden="false" customHeight="false" outlineLevel="0" collapsed="false">
      <c r="A35" s="9" t="s">
        <v>1219</v>
      </c>
      <c r="B35" s="9" t="s">
        <v>84</v>
      </c>
      <c r="C35" s="9" t="str">
        <f aca="false">IFERROR(INDEX(Destination!$B$2:$B$501,MATCH(B35,Destination!$A$2:$A$501,0)),"")</f>
        <v>Hampi</v>
      </c>
      <c r="D35" s="9" t="s">
        <v>1220</v>
      </c>
      <c r="E35" s="9" t="s">
        <v>1163</v>
      </c>
      <c r="F35" s="14"/>
      <c r="G35" s="14"/>
      <c r="H35" s="9" t="s">
        <v>1164</v>
      </c>
      <c r="I35" s="8"/>
    </row>
    <row r="36" customFormat="false" ht="15" hidden="false" customHeight="false" outlineLevel="0" collapsed="false">
      <c r="A36" s="9" t="s">
        <v>1221</v>
      </c>
      <c r="B36" s="9" t="s">
        <v>88</v>
      </c>
      <c r="C36" s="9" t="str">
        <f aca="false">IFERROR(INDEX(Destination!$B$2:$B$501,MATCH(B36,Destination!$A$2:$A$501,0)),"")</f>
        <v>Munnar</v>
      </c>
      <c r="D36" s="9" t="s">
        <v>1222</v>
      </c>
      <c r="E36" s="9" t="s">
        <v>64</v>
      </c>
      <c r="F36" s="14"/>
      <c r="G36" s="14"/>
      <c r="H36" s="9" t="s">
        <v>1154</v>
      </c>
      <c r="I36" s="8"/>
    </row>
    <row r="37" customFormat="false" ht="15" hidden="false" customHeight="false" outlineLevel="0" collapsed="false">
      <c r="A37" s="9" t="s">
        <v>1223</v>
      </c>
      <c r="B37" s="9" t="s">
        <v>88</v>
      </c>
      <c r="C37" s="9" t="str">
        <f aca="false">IFERROR(INDEX(Destination!$B$2:$B$501,MATCH(B37,Destination!$A$2:$A$501,0)),"")</f>
        <v>Munnar</v>
      </c>
      <c r="D37" s="9" t="s">
        <v>1224</v>
      </c>
      <c r="E37" s="9" t="s">
        <v>1159</v>
      </c>
      <c r="F37" s="14"/>
      <c r="G37" s="14"/>
      <c r="H37" s="9" t="s">
        <v>1160</v>
      </c>
      <c r="I37" s="8"/>
    </row>
    <row r="38" customFormat="false" ht="15" hidden="false" customHeight="false" outlineLevel="0" collapsed="false">
      <c r="A38" s="9" t="s">
        <v>1225</v>
      </c>
      <c r="B38" s="9" t="s">
        <v>88</v>
      </c>
      <c r="C38" s="9" t="str">
        <f aca="false">IFERROR(INDEX(Destination!$B$2:$B$501,MATCH(B38,Destination!$A$2:$A$501,0)),"")</f>
        <v>Munnar</v>
      </c>
      <c r="D38" s="9" t="s">
        <v>1226</v>
      </c>
      <c r="E38" s="9" t="s">
        <v>1163</v>
      </c>
      <c r="F38" s="14"/>
      <c r="G38" s="14"/>
      <c r="H38" s="9" t="s">
        <v>1164</v>
      </c>
      <c r="I38" s="8"/>
    </row>
    <row r="39" customFormat="false" ht="15" hidden="false" customHeight="false" outlineLevel="0" collapsed="false">
      <c r="A39" s="9" t="s">
        <v>1227</v>
      </c>
      <c r="B39" s="9" t="s">
        <v>88</v>
      </c>
      <c r="C39" s="9" t="str">
        <f aca="false">IFERROR(INDEX(Destination!$B$2:$B$501,MATCH(B39,Destination!$A$2:$A$501,0)),"")</f>
        <v>Munnar</v>
      </c>
      <c r="D39" s="9" t="s">
        <v>1228</v>
      </c>
      <c r="E39" s="9" t="s">
        <v>1163</v>
      </c>
      <c r="F39" s="14"/>
      <c r="G39" s="14"/>
      <c r="H39" s="9" t="s">
        <v>1164</v>
      </c>
      <c r="I39" s="8"/>
    </row>
    <row r="40" customFormat="false" ht="15" hidden="false" customHeight="false" outlineLevel="0" collapsed="false">
      <c r="A40" s="9" t="s">
        <v>1229</v>
      </c>
      <c r="B40" s="9" t="s">
        <v>92</v>
      </c>
      <c r="C40" s="9" t="str">
        <f aca="false">IFERROR(INDEX(Destination!$B$2:$B$501,MATCH(B40,Destination!$A$2:$A$501,0)),"")</f>
        <v>Rameswaram</v>
      </c>
      <c r="D40" s="9" t="s">
        <v>1230</v>
      </c>
      <c r="E40" s="9" t="s">
        <v>1150</v>
      </c>
      <c r="F40" s="14"/>
      <c r="G40" s="14"/>
      <c r="H40" s="9" t="s">
        <v>1151</v>
      </c>
      <c r="I40" s="8"/>
    </row>
    <row r="41" customFormat="false" ht="15" hidden="false" customHeight="false" outlineLevel="0" collapsed="false">
      <c r="A41" s="9" t="s">
        <v>1231</v>
      </c>
      <c r="B41" s="9" t="s">
        <v>92</v>
      </c>
      <c r="C41" s="9" t="str">
        <f aca="false">IFERROR(INDEX(Destination!$B$2:$B$501,MATCH(B41,Destination!$A$2:$A$501,0)),"")</f>
        <v>Rameswaram</v>
      </c>
      <c r="D41" s="9" t="s">
        <v>1232</v>
      </c>
      <c r="E41" s="9" t="s">
        <v>1159</v>
      </c>
      <c r="F41" s="14"/>
      <c r="G41" s="14"/>
      <c r="H41" s="9" t="s">
        <v>1160</v>
      </c>
      <c r="I41" s="8"/>
    </row>
    <row r="42" customFormat="false" ht="15" hidden="false" customHeight="false" outlineLevel="0" collapsed="false">
      <c r="A42" s="9" t="s">
        <v>1233</v>
      </c>
      <c r="B42" s="9" t="s">
        <v>92</v>
      </c>
      <c r="C42" s="9" t="str">
        <f aca="false">IFERROR(INDEX(Destination!$B$2:$B$501,MATCH(B42,Destination!$A$2:$A$501,0)),"")</f>
        <v>Rameswaram</v>
      </c>
      <c r="D42" s="9" t="s">
        <v>466</v>
      </c>
      <c r="E42" s="9" t="s">
        <v>1163</v>
      </c>
      <c r="F42" s="14"/>
      <c r="G42" s="14"/>
      <c r="H42" s="9" t="s">
        <v>1164</v>
      </c>
      <c r="I42" s="8"/>
    </row>
    <row r="43" customFormat="false" ht="15" hidden="false" customHeight="false" outlineLevel="0" collapsed="false">
      <c r="A43" s="9" t="s">
        <v>1234</v>
      </c>
      <c r="B43" s="9" t="s">
        <v>92</v>
      </c>
      <c r="C43" s="9" t="str">
        <f aca="false">IFERROR(INDEX(Destination!$B$2:$B$501,MATCH(B43,Destination!$A$2:$A$501,0)),"")</f>
        <v>Rameswaram</v>
      </c>
      <c r="D43" s="9" t="s">
        <v>1235</v>
      </c>
      <c r="E43" s="9" t="s">
        <v>1163</v>
      </c>
      <c r="F43" s="14"/>
      <c r="G43" s="14"/>
      <c r="H43" s="9" t="s">
        <v>1164</v>
      </c>
      <c r="I43" s="8"/>
    </row>
    <row r="44" customFormat="false" ht="15" hidden="false" customHeight="false" outlineLevel="0" collapsed="false">
      <c r="A44" s="9" t="s">
        <v>1236</v>
      </c>
      <c r="B44" s="9" t="s">
        <v>96</v>
      </c>
      <c r="C44" s="9" t="str">
        <f aca="false">IFERROR(INDEX(Destination!$B$2:$B$501,MATCH(B44,Destination!$A$2:$A$501,0)),"")</f>
        <v>Goa</v>
      </c>
      <c r="D44" s="9" t="s">
        <v>1237</v>
      </c>
      <c r="E44" s="9" t="s">
        <v>1150</v>
      </c>
      <c r="F44" s="14"/>
      <c r="G44" s="14"/>
      <c r="H44" s="9" t="s">
        <v>1151</v>
      </c>
      <c r="I44" s="8"/>
    </row>
    <row r="45" customFormat="false" ht="15" hidden="false" customHeight="false" outlineLevel="0" collapsed="false">
      <c r="A45" s="9" t="s">
        <v>1238</v>
      </c>
      <c r="B45" s="9" t="s">
        <v>96</v>
      </c>
      <c r="C45" s="9" t="str">
        <f aca="false">IFERROR(INDEX(Destination!$B$2:$B$501,MATCH(B45,Destination!$A$2:$A$501,0)),"")</f>
        <v>Goa</v>
      </c>
      <c r="D45" s="9" t="s">
        <v>1239</v>
      </c>
      <c r="E45" s="9" t="s">
        <v>1150</v>
      </c>
      <c r="F45" s="14"/>
      <c r="G45" s="14"/>
      <c r="H45" s="9" t="s">
        <v>1151</v>
      </c>
      <c r="I45" s="8"/>
    </row>
    <row r="46" customFormat="false" ht="15" hidden="false" customHeight="false" outlineLevel="0" collapsed="false">
      <c r="A46" s="9" t="s">
        <v>1240</v>
      </c>
      <c r="B46" s="9" t="s">
        <v>96</v>
      </c>
      <c r="C46" s="9" t="str">
        <f aca="false">IFERROR(INDEX(Destination!$B$2:$B$501,MATCH(B46,Destination!$A$2:$A$501,0)),"")</f>
        <v>Goa</v>
      </c>
      <c r="D46" s="9" t="s">
        <v>1241</v>
      </c>
      <c r="E46" s="9" t="s">
        <v>64</v>
      </c>
      <c r="F46" s="14"/>
      <c r="G46" s="14"/>
      <c r="H46" s="9" t="s">
        <v>1154</v>
      </c>
      <c r="I46" s="8"/>
    </row>
    <row r="47" customFormat="false" ht="15" hidden="false" customHeight="false" outlineLevel="0" collapsed="false">
      <c r="A47" s="9" t="s">
        <v>1242</v>
      </c>
      <c r="B47" s="9" t="s">
        <v>96</v>
      </c>
      <c r="C47" s="9" t="str">
        <f aca="false">IFERROR(INDEX(Destination!$B$2:$B$501,MATCH(B47,Destination!$A$2:$A$501,0)),"")</f>
        <v>Goa</v>
      </c>
      <c r="D47" s="9" t="s">
        <v>1243</v>
      </c>
      <c r="E47" s="9" t="s">
        <v>1159</v>
      </c>
      <c r="F47" s="14"/>
      <c r="G47" s="14"/>
      <c r="H47" s="9" t="s">
        <v>1160</v>
      </c>
      <c r="I47" s="8"/>
    </row>
    <row r="48" customFormat="false" ht="15" hidden="false" customHeight="false" outlineLevel="0" collapsed="false">
      <c r="A48" s="9" t="s">
        <v>1244</v>
      </c>
      <c r="B48" s="9" t="s">
        <v>96</v>
      </c>
      <c r="C48" s="9" t="str">
        <f aca="false">IFERROR(INDEX(Destination!$B$2:$B$501,MATCH(B48,Destination!$A$2:$A$501,0)),"")</f>
        <v>Goa</v>
      </c>
      <c r="D48" s="9" t="s">
        <v>349</v>
      </c>
      <c r="E48" s="9" t="s">
        <v>1163</v>
      </c>
      <c r="F48" s="14"/>
      <c r="G48" s="14"/>
      <c r="H48" s="9" t="s">
        <v>1164</v>
      </c>
      <c r="I48" s="8"/>
    </row>
    <row r="49" customFormat="false" ht="15" hidden="false" customHeight="false" outlineLevel="0" collapsed="false">
      <c r="A49" s="9" t="s">
        <v>1245</v>
      </c>
      <c r="B49" s="9" t="s">
        <v>96</v>
      </c>
      <c r="C49" s="9" t="str">
        <f aca="false">IFERROR(INDEX(Destination!$B$2:$B$501,MATCH(B49,Destination!$A$2:$A$501,0)),"")</f>
        <v>Goa</v>
      </c>
      <c r="D49" s="9" t="s">
        <v>347</v>
      </c>
      <c r="E49" s="9" t="s">
        <v>1163</v>
      </c>
      <c r="F49" s="14"/>
      <c r="G49" s="14"/>
      <c r="H49" s="9" t="s">
        <v>1164</v>
      </c>
      <c r="I49" s="8"/>
    </row>
    <row r="50" customFormat="false" ht="15" hidden="false" customHeight="false" outlineLevel="0" collapsed="false">
      <c r="A50" s="9" t="s">
        <v>1246</v>
      </c>
      <c r="B50" s="9" t="s">
        <v>96</v>
      </c>
      <c r="C50" s="9" t="str">
        <f aca="false">IFERROR(INDEX(Destination!$B$2:$B$501,MATCH(B50,Destination!$A$2:$A$501,0)),"")</f>
        <v>Goa</v>
      </c>
      <c r="D50" s="9" t="s">
        <v>357</v>
      </c>
      <c r="E50" s="9" t="s">
        <v>1163</v>
      </c>
      <c r="F50" s="14"/>
      <c r="G50" s="14"/>
      <c r="H50" s="9" t="s">
        <v>1164</v>
      </c>
      <c r="I50" s="8"/>
    </row>
    <row r="51" customFormat="false" ht="15" hidden="false" customHeight="false" outlineLevel="0" collapsed="false">
      <c r="A51" s="9" t="s">
        <v>1247</v>
      </c>
      <c r="B51" s="9" t="s">
        <v>96</v>
      </c>
      <c r="C51" s="9" t="str">
        <f aca="false">IFERROR(INDEX(Destination!$B$2:$B$501,MATCH(B51,Destination!$A$2:$A$501,0)),"")</f>
        <v>Goa</v>
      </c>
      <c r="D51" s="9" t="s">
        <v>361</v>
      </c>
      <c r="E51" s="9" t="s">
        <v>1163</v>
      </c>
      <c r="F51" s="14"/>
      <c r="G51" s="14"/>
      <c r="H51" s="9" t="s">
        <v>1164</v>
      </c>
      <c r="I51" s="8"/>
    </row>
    <row r="52" customFormat="false" ht="15" hidden="false" customHeight="false" outlineLevel="0" collapsed="false">
      <c r="A52" s="9" t="s">
        <v>1248</v>
      </c>
      <c r="B52" s="9" t="s">
        <v>101</v>
      </c>
      <c r="C52" s="9" t="str">
        <f aca="false">IFERROR(INDEX(Destination!$B$2:$B$501,MATCH(B52,Destination!$A$2:$A$501,0)),"")</f>
        <v>Leh</v>
      </c>
      <c r="D52" s="9" t="s">
        <v>1249</v>
      </c>
      <c r="E52" s="9" t="s">
        <v>1150</v>
      </c>
      <c r="F52" s="14"/>
      <c r="G52" s="14"/>
      <c r="H52" s="9" t="s">
        <v>1151</v>
      </c>
      <c r="I52" s="8"/>
    </row>
    <row r="53" customFormat="false" ht="15" hidden="false" customHeight="false" outlineLevel="0" collapsed="false">
      <c r="A53" s="9" t="s">
        <v>1250</v>
      </c>
      <c r="B53" s="9" t="s">
        <v>101</v>
      </c>
      <c r="C53" s="9" t="str">
        <f aca="false">IFERROR(INDEX(Destination!$B$2:$B$501,MATCH(B53,Destination!$A$2:$A$501,0)),"")</f>
        <v>Leh</v>
      </c>
      <c r="D53" s="9" t="s">
        <v>924</v>
      </c>
      <c r="E53" s="9" t="s">
        <v>1150</v>
      </c>
      <c r="F53" s="14"/>
      <c r="G53" s="14"/>
      <c r="H53" s="9" t="s">
        <v>1151</v>
      </c>
      <c r="I53" s="8"/>
    </row>
    <row r="54" customFormat="false" ht="15" hidden="false" customHeight="false" outlineLevel="0" collapsed="false">
      <c r="A54" s="9" t="s">
        <v>1251</v>
      </c>
      <c r="B54" s="9" t="s">
        <v>101</v>
      </c>
      <c r="C54" s="9" t="str">
        <f aca="false">IFERROR(INDEX(Destination!$B$2:$B$501,MATCH(B54,Destination!$A$2:$A$501,0)),"")</f>
        <v>Leh</v>
      </c>
      <c r="D54" s="9" t="s">
        <v>1252</v>
      </c>
      <c r="E54" s="9" t="s">
        <v>64</v>
      </c>
      <c r="F54" s="14"/>
      <c r="G54" s="14"/>
      <c r="H54" s="9" t="s">
        <v>1154</v>
      </c>
      <c r="I54" s="8"/>
    </row>
    <row r="55" customFormat="false" ht="15" hidden="false" customHeight="false" outlineLevel="0" collapsed="false">
      <c r="A55" s="9" t="s">
        <v>1253</v>
      </c>
      <c r="B55" s="9" t="s">
        <v>101</v>
      </c>
      <c r="C55" s="9" t="str">
        <f aca="false">IFERROR(INDEX(Destination!$B$2:$B$501,MATCH(B55,Destination!$A$2:$A$501,0)),"")</f>
        <v>Leh</v>
      </c>
      <c r="D55" s="9" t="s">
        <v>1254</v>
      </c>
      <c r="E55" s="9" t="s">
        <v>1159</v>
      </c>
      <c r="F55" s="14"/>
      <c r="G55" s="14"/>
      <c r="H55" s="9" t="s">
        <v>1160</v>
      </c>
      <c r="I55" s="8"/>
    </row>
    <row r="56" customFormat="false" ht="15" hidden="false" customHeight="false" outlineLevel="0" collapsed="false">
      <c r="A56" s="9" t="s">
        <v>1255</v>
      </c>
      <c r="B56" s="9" t="s">
        <v>101</v>
      </c>
      <c r="C56" s="9" t="str">
        <f aca="false">IFERROR(INDEX(Destination!$B$2:$B$501,MATCH(B56,Destination!$A$2:$A$501,0)),"")</f>
        <v>Leh</v>
      </c>
      <c r="D56" s="9" t="s">
        <v>162</v>
      </c>
      <c r="E56" s="9" t="s">
        <v>1163</v>
      </c>
      <c r="F56" s="14"/>
      <c r="G56" s="14"/>
      <c r="H56" s="9" t="s">
        <v>1164</v>
      </c>
      <c r="I56" s="8"/>
    </row>
    <row r="57" customFormat="false" ht="15" hidden="false" customHeight="false" outlineLevel="0" collapsed="false">
      <c r="A57" s="9" t="s">
        <v>1256</v>
      </c>
      <c r="B57" s="9" t="s">
        <v>101</v>
      </c>
      <c r="C57" s="9" t="str">
        <f aca="false">IFERROR(INDEX(Destination!$B$2:$B$501,MATCH(B57,Destination!$A$2:$A$501,0)),"")</f>
        <v>Leh</v>
      </c>
      <c r="D57" s="9" t="s">
        <v>160</v>
      </c>
      <c r="E57" s="9" t="s">
        <v>1163</v>
      </c>
      <c r="F57" s="14"/>
      <c r="G57" s="14"/>
      <c r="H57" s="9" t="s">
        <v>1164</v>
      </c>
      <c r="I57" s="8"/>
    </row>
  </sheetData>
  <autoFilter ref="A1:I57"/>
  <dataValidations count="1">
    <dataValidation allowBlank="true" errorStyle="warning" operator="between" showDropDown="false" showErrorMessage="false" showInputMessage="false" sqref="E2:E257" type="list">
      <formula1>"Attraction,Religious,Heritage,Nature,Museum,Market,Viewpoint,Park,Beach,Other"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40"/>
  </cols>
  <sheetData>
    <row r="1" customFormat="false" ht="31.5" hidden="false" customHeight="true" outlineLevel="0" collapsed="false">
      <c r="A1" s="3" t="s">
        <v>1257</v>
      </c>
      <c r="B1" s="3" t="s">
        <v>1143</v>
      </c>
      <c r="C1" s="3" t="s">
        <v>1258</v>
      </c>
      <c r="D1" s="3" t="s">
        <v>1259</v>
      </c>
      <c r="E1" s="3" t="s">
        <v>1260</v>
      </c>
      <c r="F1" s="3" t="s">
        <v>1261</v>
      </c>
      <c r="G1" s="3" t="s">
        <v>1262</v>
      </c>
      <c r="H1" s="3" t="s">
        <v>59</v>
      </c>
    </row>
    <row r="2" customFormat="false" ht="15" hidden="false" customHeight="false" outlineLevel="0" collapsed="false">
      <c r="A2" s="10" t="s">
        <v>1263</v>
      </c>
      <c r="B2" s="10" t="s">
        <v>1148</v>
      </c>
      <c r="C2" s="10" t="s">
        <v>1264</v>
      </c>
      <c r="D2" s="10" t="s">
        <v>1265</v>
      </c>
      <c r="E2" s="10" t="s">
        <v>1266</v>
      </c>
      <c r="F2" s="10" t="s">
        <v>1267</v>
      </c>
      <c r="G2" s="10" t="s">
        <v>1268</v>
      </c>
      <c r="H2" s="10" t="s">
        <v>1269</v>
      </c>
    </row>
    <row r="3" customFormat="false" ht="15" hidden="false" customHeight="false" outlineLevel="0" collapsed="false">
      <c r="C3" s="9" t="str">
        <f aca="false">IFERROR(INDEX(Place!$D$2:$D$3000,MATCH(B3,Place!$A$2:$A$3000,0)),"")</f>
        <v/>
      </c>
    </row>
    <row r="4" customFormat="false" ht="15" hidden="false" customHeight="false" outlineLevel="0" collapsed="false">
      <c r="C4" s="9" t="str">
        <f aca="false">IFERROR(INDEX(Place!$D$2:$D$3000,MATCH(B4,Place!$A$2:$A$3000,0)),"")</f>
        <v/>
      </c>
    </row>
    <row r="5" customFormat="false" ht="15" hidden="false" customHeight="false" outlineLevel="0" collapsed="false">
      <c r="C5" s="9" t="str">
        <f aca="false">IFERROR(INDEX(Place!$D$2:$D$3000,MATCH(B5,Place!$A$2:$A$3000,0)),"")</f>
        <v/>
      </c>
    </row>
    <row r="6" customFormat="false" ht="15" hidden="false" customHeight="false" outlineLevel="0" collapsed="false">
      <c r="C6" s="9" t="str">
        <f aca="false">IFERROR(INDEX(Place!$D$2:$D$3000,MATCH(B6,Place!$A$2:$A$3000,0)),"")</f>
        <v/>
      </c>
    </row>
    <row r="7" customFormat="false" ht="15" hidden="false" customHeight="false" outlineLevel="0" collapsed="false">
      <c r="C7" s="9" t="str">
        <f aca="false">IFERROR(INDEX(Place!$D$2:$D$3000,MATCH(B7,Place!$A$2:$A$3000,0)),"")</f>
        <v/>
      </c>
    </row>
  </sheetData>
  <autoFilter ref="A1:H7"/>
  <dataValidations count="2">
    <dataValidation allowBlank="true" errorStyle="stop" operator="between" showDropDown="false" showErrorMessage="false" showInputMessage="false" sqref="D3:D1007" type="list">
      <formula1>"Mon,Tue,Wed,Thu,Fri,Sat,Sun"</formula1>
      <formula2>0</formula2>
    </dataValidation>
    <dataValidation allowBlank="true" errorStyle="stop" operator="between" showDropDown="false" showErrorMessage="false" showInputMessage="false" sqref="G3:G100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34"/>
  </cols>
  <sheetData>
    <row r="1" customFormat="false" ht="31.5" hidden="false" customHeight="true" outlineLevel="0" collapsed="false">
      <c r="A1" s="3" t="s">
        <v>1270</v>
      </c>
      <c r="B1" s="3" t="s">
        <v>48</v>
      </c>
      <c r="C1" s="3" t="s">
        <v>49</v>
      </c>
      <c r="D1" s="3" t="s">
        <v>1144</v>
      </c>
      <c r="E1" s="3" t="s">
        <v>1271</v>
      </c>
      <c r="F1" s="3" t="s">
        <v>1272</v>
      </c>
      <c r="G1" s="3" t="s">
        <v>1273</v>
      </c>
      <c r="H1" s="3" t="s">
        <v>1146</v>
      </c>
    </row>
    <row r="2" customFormat="false" ht="15" hidden="false" customHeight="false" outlineLevel="0" collapsed="false">
      <c r="A2" s="9" t="s">
        <v>1274</v>
      </c>
      <c r="B2" s="9" t="s">
        <v>60</v>
      </c>
      <c r="C2" s="9" t="str">
        <f aca="false">IFERROR(INDEX(Destination!$B$2:$B$501,MATCH(B2,Destination!$A$2:$A$501,0)),"")</f>
        <v>Agra</v>
      </c>
      <c r="D2" s="9" t="s">
        <v>1275</v>
      </c>
      <c r="E2" s="15"/>
      <c r="F2" s="16"/>
      <c r="G2" s="9" t="s">
        <v>1276</v>
      </c>
      <c r="H2" s="9" t="s">
        <v>1277</v>
      </c>
    </row>
    <row r="3" customFormat="false" ht="15" hidden="false" customHeight="false" outlineLevel="0" collapsed="false">
      <c r="A3" s="9" t="s">
        <v>1278</v>
      </c>
      <c r="B3" s="9" t="s">
        <v>60</v>
      </c>
      <c r="C3" s="9" t="str">
        <f aca="false">IFERROR(INDEX(Destination!$B$2:$B$501,MATCH(B3,Destination!$A$2:$A$501,0)),"")</f>
        <v>Agra</v>
      </c>
      <c r="D3" s="9" t="s">
        <v>1279</v>
      </c>
      <c r="E3" s="15"/>
      <c r="F3" s="16"/>
      <c r="G3" s="9" t="s">
        <v>64</v>
      </c>
      <c r="H3" s="9" t="s">
        <v>1277</v>
      </c>
    </row>
    <row r="4" customFormat="false" ht="15" hidden="false" customHeight="false" outlineLevel="0" collapsed="false">
      <c r="A4" s="9" t="s">
        <v>1280</v>
      </c>
      <c r="B4" s="9" t="s">
        <v>68</v>
      </c>
      <c r="C4" s="9" t="str">
        <f aca="false">IFERROR(INDEX(Destination!$B$2:$B$501,MATCH(B4,Destination!$A$2:$A$501,0)),"")</f>
        <v>Jaipur</v>
      </c>
      <c r="D4" s="9" t="s">
        <v>1281</v>
      </c>
      <c r="E4" s="15"/>
      <c r="F4" s="16"/>
      <c r="G4" s="9" t="s">
        <v>64</v>
      </c>
      <c r="H4" s="9" t="s">
        <v>1277</v>
      </c>
    </row>
    <row r="5" customFormat="false" ht="15" hidden="false" customHeight="false" outlineLevel="0" collapsed="false">
      <c r="A5" s="9" t="s">
        <v>1282</v>
      </c>
      <c r="B5" s="9" t="s">
        <v>68</v>
      </c>
      <c r="C5" s="9" t="str">
        <f aca="false">IFERROR(INDEX(Destination!$B$2:$B$501,MATCH(B5,Destination!$A$2:$A$501,0)),"")</f>
        <v>Jaipur</v>
      </c>
      <c r="D5" s="9" t="s">
        <v>1283</v>
      </c>
      <c r="E5" s="15"/>
      <c r="F5" s="16"/>
      <c r="G5" s="9" t="s">
        <v>1284</v>
      </c>
      <c r="H5" s="9" t="s">
        <v>1277</v>
      </c>
    </row>
    <row r="6" customFormat="false" ht="15" hidden="false" customHeight="false" outlineLevel="0" collapsed="false">
      <c r="A6" s="9" t="s">
        <v>1285</v>
      </c>
      <c r="B6" s="9" t="s">
        <v>72</v>
      </c>
      <c r="C6" s="9" t="str">
        <f aca="false">IFERROR(INDEX(Destination!$B$2:$B$501,MATCH(B6,Destination!$A$2:$A$501,0)),"")</f>
        <v>Varanasi</v>
      </c>
      <c r="D6" s="9" t="s">
        <v>1286</v>
      </c>
      <c r="E6" s="15"/>
      <c r="F6" s="16"/>
      <c r="G6" s="9" t="s">
        <v>74</v>
      </c>
      <c r="H6" s="9" t="s">
        <v>1277</v>
      </c>
    </row>
    <row r="7" customFormat="false" ht="15" hidden="false" customHeight="false" outlineLevel="0" collapsed="false">
      <c r="A7" s="9" t="s">
        <v>1287</v>
      </c>
      <c r="B7" s="9" t="s">
        <v>72</v>
      </c>
      <c r="C7" s="9" t="str">
        <f aca="false">IFERROR(INDEX(Destination!$B$2:$B$501,MATCH(B7,Destination!$A$2:$A$501,0)),"")</f>
        <v>Varanasi</v>
      </c>
      <c r="D7" s="9" t="s">
        <v>1288</v>
      </c>
      <c r="E7" s="15"/>
      <c r="F7" s="16"/>
      <c r="G7" s="9" t="s">
        <v>1159</v>
      </c>
      <c r="H7" s="9" t="s">
        <v>1277</v>
      </c>
    </row>
    <row r="8" customFormat="false" ht="15" hidden="false" customHeight="false" outlineLevel="0" collapsed="false">
      <c r="A8" s="9" t="s">
        <v>1289</v>
      </c>
      <c r="B8" s="9" t="s">
        <v>75</v>
      </c>
      <c r="C8" s="9" t="str">
        <f aca="false">IFERROR(INDEX(Destination!$B$2:$B$501,MATCH(B8,Destination!$A$2:$A$501,0)),"")</f>
        <v>Mysuru</v>
      </c>
      <c r="D8" s="9" t="s">
        <v>1290</v>
      </c>
      <c r="E8" s="15"/>
      <c r="F8" s="16"/>
      <c r="G8" s="9" t="s">
        <v>64</v>
      </c>
      <c r="H8" s="9" t="s">
        <v>1277</v>
      </c>
    </row>
    <row r="9" customFormat="false" ht="15" hidden="false" customHeight="false" outlineLevel="0" collapsed="false">
      <c r="A9" s="9" t="s">
        <v>1291</v>
      </c>
      <c r="B9" s="9" t="s">
        <v>75</v>
      </c>
      <c r="C9" s="9" t="str">
        <f aca="false">IFERROR(INDEX(Destination!$B$2:$B$501,MATCH(B9,Destination!$A$2:$A$501,0)),"")</f>
        <v>Mysuru</v>
      </c>
      <c r="D9" s="9" t="s">
        <v>1279</v>
      </c>
      <c r="E9" s="15"/>
      <c r="F9" s="16"/>
      <c r="G9" s="9" t="s">
        <v>64</v>
      </c>
      <c r="H9" s="9" t="s">
        <v>1277</v>
      </c>
    </row>
    <row r="10" customFormat="false" ht="15" hidden="false" customHeight="false" outlineLevel="0" collapsed="false">
      <c r="A10" s="9" t="s">
        <v>1292</v>
      </c>
      <c r="B10" s="9" t="s">
        <v>80</v>
      </c>
      <c r="C10" s="9" t="str">
        <f aca="false">IFERROR(INDEX(Destination!$B$2:$B$501,MATCH(B10,Destination!$A$2:$A$501,0)),"")</f>
        <v>Kochi</v>
      </c>
      <c r="D10" s="9" t="s">
        <v>1279</v>
      </c>
      <c r="E10" s="15"/>
      <c r="F10" s="16"/>
      <c r="G10" s="9" t="s">
        <v>64</v>
      </c>
      <c r="H10" s="9" t="s">
        <v>1277</v>
      </c>
    </row>
    <row r="11" customFormat="false" ht="15" hidden="false" customHeight="false" outlineLevel="0" collapsed="false">
      <c r="A11" s="9" t="s">
        <v>1293</v>
      </c>
      <c r="B11" s="9" t="s">
        <v>80</v>
      </c>
      <c r="C11" s="9" t="str">
        <f aca="false">IFERROR(INDEX(Destination!$B$2:$B$501,MATCH(B11,Destination!$A$2:$A$501,0)),"")</f>
        <v>Kochi</v>
      </c>
      <c r="D11" s="9" t="s">
        <v>1288</v>
      </c>
      <c r="E11" s="15"/>
      <c r="F11" s="16"/>
      <c r="G11" s="9" t="s">
        <v>1159</v>
      </c>
      <c r="H11" s="9" t="s">
        <v>1277</v>
      </c>
    </row>
    <row r="12" customFormat="false" ht="15" hidden="false" customHeight="false" outlineLevel="0" collapsed="false">
      <c r="A12" s="9" t="s">
        <v>1294</v>
      </c>
      <c r="B12" s="9" t="s">
        <v>84</v>
      </c>
      <c r="C12" s="9" t="str">
        <f aca="false">IFERROR(INDEX(Destination!$B$2:$B$501,MATCH(B12,Destination!$A$2:$A$501,0)),"")</f>
        <v>Hampi</v>
      </c>
      <c r="D12" s="9" t="s">
        <v>1295</v>
      </c>
      <c r="E12" s="15"/>
      <c r="F12" s="16"/>
      <c r="G12" s="9" t="s">
        <v>1296</v>
      </c>
      <c r="H12" s="9" t="s">
        <v>1277</v>
      </c>
    </row>
    <row r="13" customFormat="false" ht="15" hidden="false" customHeight="false" outlineLevel="0" collapsed="false">
      <c r="A13" s="9" t="s">
        <v>1297</v>
      </c>
      <c r="B13" s="9" t="s">
        <v>84</v>
      </c>
      <c r="C13" s="9" t="str">
        <f aca="false">IFERROR(INDEX(Destination!$B$2:$B$501,MATCH(B13,Destination!$A$2:$A$501,0)),"")</f>
        <v>Hampi</v>
      </c>
      <c r="D13" s="9" t="s">
        <v>1298</v>
      </c>
      <c r="E13" s="15"/>
      <c r="F13" s="16"/>
      <c r="G13" s="9" t="s">
        <v>64</v>
      </c>
      <c r="H13" s="9" t="s">
        <v>1277</v>
      </c>
    </row>
    <row r="14" customFormat="false" ht="15" hidden="false" customHeight="false" outlineLevel="0" collapsed="false">
      <c r="A14" s="9" t="s">
        <v>1299</v>
      </c>
      <c r="B14" s="9" t="s">
        <v>88</v>
      </c>
      <c r="C14" s="9" t="str">
        <f aca="false">IFERROR(INDEX(Destination!$B$2:$B$501,MATCH(B14,Destination!$A$2:$A$501,0)),"")</f>
        <v>Munnar</v>
      </c>
      <c r="D14" s="9" t="s">
        <v>1300</v>
      </c>
      <c r="E14" s="15"/>
      <c r="F14" s="16"/>
      <c r="G14" s="9" t="s">
        <v>1296</v>
      </c>
      <c r="H14" s="9" t="s">
        <v>1277</v>
      </c>
    </row>
    <row r="15" customFormat="false" ht="15" hidden="false" customHeight="false" outlineLevel="0" collapsed="false">
      <c r="A15" s="9" t="s">
        <v>1301</v>
      </c>
      <c r="B15" s="9" t="s">
        <v>88</v>
      </c>
      <c r="C15" s="9" t="str">
        <f aca="false">IFERROR(INDEX(Destination!$B$2:$B$501,MATCH(B15,Destination!$A$2:$A$501,0)),"")</f>
        <v>Munnar</v>
      </c>
      <c r="D15" s="9" t="s">
        <v>1302</v>
      </c>
      <c r="E15" s="15"/>
      <c r="F15" s="16"/>
      <c r="G15" s="9" t="s">
        <v>1159</v>
      </c>
      <c r="H15" s="9" t="s">
        <v>1277</v>
      </c>
    </row>
    <row r="16" customFormat="false" ht="15" hidden="false" customHeight="false" outlineLevel="0" collapsed="false">
      <c r="A16" s="9" t="s">
        <v>1303</v>
      </c>
      <c r="B16" s="9" t="s">
        <v>92</v>
      </c>
      <c r="C16" s="9" t="str">
        <f aca="false">IFERROR(INDEX(Destination!$B$2:$B$501,MATCH(B16,Destination!$A$2:$A$501,0)),"")</f>
        <v>Rameswaram</v>
      </c>
      <c r="D16" s="9" t="s">
        <v>1304</v>
      </c>
      <c r="E16" s="15"/>
      <c r="F16" s="16"/>
      <c r="G16" s="9" t="s">
        <v>74</v>
      </c>
      <c r="H16" s="9" t="s">
        <v>1277</v>
      </c>
    </row>
    <row r="17" customFormat="false" ht="15" hidden="false" customHeight="false" outlineLevel="0" collapsed="false">
      <c r="A17" s="9" t="s">
        <v>1305</v>
      </c>
      <c r="B17" s="9" t="s">
        <v>92</v>
      </c>
      <c r="C17" s="9" t="str">
        <f aca="false">IFERROR(INDEX(Destination!$B$2:$B$501,MATCH(B17,Destination!$A$2:$A$501,0)),"")</f>
        <v>Rameswaram</v>
      </c>
      <c r="D17" s="9" t="s">
        <v>1306</v>
      </c>
      <c r="E17" s="15"/>
      <c r="F17" s="16"/>
      <c r="G17" s="9" t="s">
        <v>1276</v>
      </c>
      <c r="H17" s="9" t="s">
        <v>1277</v>
      </c>
    </row>
    <row r="18" customFormat="false" ht="15" hidden="false" customHeight="false" outlineLevel="0" collapsed="false">
      <c r="A18" s="9" t="s">
        <v>1307</v>
      </c>
      <c r="B18" s="9" t="s">
        <v>96</v>
      </c>
      <c r="C18" s="9" t="str">
        <f aca="false">IFERROR(INDEX(Destination!$B$2:$B$501,MATCH(B18,Destination!$A$2:$A$501,0)),"")</f>
        <v>Goa</v>
      </c>
      <c r="D18" s="9" t="s">
        <v>1308</v>
      </c>
      <c r="E18" s="15"/>
      <c r="F18" s="16"/>
      <c r="G18" s="9" t="s">
        <v>1296</v>
      </c>
      <c r="H18" s="9" t="s">
        <v>1277</v>
      </c>
    </row>
    <row r="19" customFormat="false" ht="15" hidden="false" customHeight="false" outlineLevel="0" collapsed="false">
      <c r="A19" s="9" t="s">
        <v>1309</v>
      </c>
      <c r="B19" s="9" t="s">
        <v>96</v>
      </c>
      <c r="C19" s="9" t="str">
        <f aca="false">IFERROR(INDEX(Destination!$B$2:$B$501,MATCH(B19,Destination!$A$2:$A$501,0)),"")</f>
        <v>Goa</v>
      </c>
      <c r="D19" s="9" t="s">
        <v>1310</v>
      </c>
      <c r="E19" s="15"/>
      <c r="F19" s="16"/>
      <c r="G19" s="9" t="s">
        <v>1159</v>
      </c>
      <c r="H19" s="9" t="s">
        <v>1277</v>
      </c>
    </row>
    <row r="20" customFormat="false" ht="15" hidden="false" customHeight="false" outlineLevel="0" collapsed="false">
      <c r="A20" s="9" t="s">
        <v>1311</v>
      </c>
      <c r="B20" s="9" t="s">
        <v>101</v>
      </c>
      <c r="C20" s="9" t="str">
        <f aca="false">IFERROR(INDEX(Destination!$B$2:$B$501,MATCH(B20,Destination!$A$2:$A$501,0)),"")</f>
        <v>Leh</v>
      </c>
      <c r="D20" s="9" t="s">
        <v>1300</v>
      </c>
      <c r="E20" s="15"/>
      <c r="F20" s="16"/>
      <c r="G20" s="9" t="s">
        <v>1296</v>
      </c>
      <c r="H20" s="9" t="s">
        <v>1277</v>
      </c>
    </row>
    <row r="21" customFormat="false" ht="15" hidden="false" customHeight="false" outlineLevel="0" collapsed="false">
      <c r="A21" s="9" t="s">
        <v>1312</v>
      </c>
      <c r="B21" s="9" t="s">
        <v>101</v>
      </c>
      <c r="C21" s="9" t="str">
        <f aca="false">IFERROR(INDEX(Destination!$B$2:$B$501,MATCH(B21,Destination!$A$2:$A$501,0)),"")</f>
        <v>Leh</v>
      </c>
      <c r="D21" s="9" t="s">
        <v>1313</v>
      </c>
      <c r="E21" s="15"/>
      <c r="F21" s="16"/>
      <c r="G21" s="9" t="s">
        <v>1296</v>
      </c>
      <c r="H21" s="9" t="s">
        <v>1277</v>
      </c>
    </row>
  </sheetData>
  <autoFilter ref="A1:H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7" style="0" width="11"/>
    <col collapsed="false" customWidth="true" hidden="false" outlineLevel="0" max="10" min="9" style="0" width="10"/>
    <col collapsed="false" customWidth="true" hidden="false" outlineLevel="0" max="11" min="11" style="0" width="50"/>
  </cols>
  <sheetData>
    <row r="1" customFormat="false" ht="31.5" hidden="false" customHeight="true" outlineLevel="0" collapsed="false">
      <c r="A1" s="3" t="s">
        <v>1314</v>
      </c>
      <c r="B1" s="3" t="s">
        <v>48</v>
      </c>
      <c r="C1" s="3" t="s">
        <v>49</v>
      </c>
      <c r="D1" s="3" t="s">
        <v>1144</v>
      </c>
      <c r="E1" s="3" t="s">
        <v>1315</v>
      </c>
      <c r="F1" s="3" t="s">
        <v>1316</v>
      </c>
      <c r="G1" s="3" t="s">
        <v>53</v>
      </c>
      <c r="H1" s="3" t="s">
        <v>54</v>
      </c>
      <c r="I1" s="3" t="s">
        <v>1317</v>
      </c>
      <c r="J1" s="3" t="s">
        <v>1318</v>
      </c>
      <c r="K1" s="3" t="s">
        <v>1146</v>
      </c>
    </row>
    <row r="2" customFormat="false" ht="15" hidden="false" customHeight="false" outlineLevel="0" collapsed="false">
      <c r="A2" s="9" t="s">
        <v>1319</v>
      </c>
      <c r="B2" s="9" t="s">
        <v>60</v>
      </c>
      <c r="C2" s="9" t="str">
        <f aca="false">IFERROR(INDEX(Destination!$B$2:$B$501,MATCH(B2,Destination!$A$2:$A$501,0)),"")</f>
        <v>Agra</v>
      </c>
      <c r="D2" s="9" t="s">
        <v>1320</v>
      </c>
      <c r="E2" s="16"/>
      <c r="F2" s="8"/>
      <c r="G2" s="14"/>
      <c r="H2" s="14"/>
      <c r="I2" s="8"/>
      <c r="J2" s="8"/>
      <c r="K2" s="9" t="s">
        <v>1321</v>
      </c>
    </row>
    <row r="3" customFormat="false" ht="15" hidden="false" customHeight="false" outlineLevel="0" collapsed="false">
      <c r="A3" s="9" t="s">
        <v>1322</v>
      </c>
      <c r="B3" s="9" t="s">
        <v>60</v>
      </c>
      <c r="C3" s="9" t="str">
        <f aca="false">IFERROR(INDEX(Destination!$B$2:$B$501,MATCH(B3,Destination!$A$2:$A$501,0)),"")</f>
        <v>Agra</v>
      </c>
      <c r="D3" s="9" t="s">
        <v>1323</v>
      </c>
      <c r="E3" s="16"/>
      <c r="F3" s="8"/>
      <c r="G3" s="14"/>
      <c r="H3" s="14"/>
      <c r="I3" s="8"/>
      <c r="J3" s="8"/>
      <c r="K3" s="9" t="s">
        <v>1321</v>
      </c>
    </row>
    <row r="4" customFormat="false" ht="15" hidden="false" customHeight="false" outlineLevel="0" collapsed="false">
      <c r="A4" s="9" t="s">
        <v>1324</v>
      </c>
      <c r="B4" s="9" t="s">
        <v>68</v>
      </c>
      <c r="C4" s="9" t="str">
        <f aca="false">IFERROR(INDEX(Destination!$B$2:$B$501,MATCH(B4,Destination!$A$2:$A$501,0)),"")</f>
        <v>Jaipur</v>
      </c>
      <c r="D4" s="9" t="s">
        <v>1325</v>
      </c>
      <c r="E4" s="16"/>
      <c r="F4" s="8"/>
      <c r="G4" s="14"/>
      <c r="H4" s="14"/>
      <c r="I4" s="8"/>
      <c r="J4" s="8"/>
      <c r="K4" s="9" t="s">
        <v>1321</v>
      </c>
    </row>
    <row r="5" customFormat="false" ht="15" hidden="false" customHeight="false" outlineLevel="0" collapsed="false">
      <c r="A5" s="9" t="s">
        <v>1326</v>
      </c>
      <c r="B5" s="9" t="s">
        <v>68</v>
      </c>
      <c r="C5" s="9" t="str">
        <f aca="false">IFERROR(INDEX(Destination!$B$2:$B$501,MATCH(B5,Destination!$A$2:$A$501,0)),"")</f>
        <v>Jaipur</v>
      </c>
      <c r="D5" s="9" t="s">
        <v>1327</v>
      </c>
      <c r="E5" s="16"/>
      <c r="F5" s="8"/>
      <c r="G5" s="14"/>
      <c r="H5" s="14"/>
      <c r="I5" s="8"/>
      <c r="J5" s="8"/>
      <c r="K5" s="9" t="s">
        <v>1321</v>
      </c>
    </row>
    <row r="6" customFormat="false" ht="15" hidden="false" customHeight="false" outlineLevel="0" collapsed="false">
      <c r="A6" s="9" t="s">
        <v>1328</v>
      </c>
      <c r="B6" s="9" t="s">
        <v>72</v>
      </c>
      <c r="C6" s="9" t="str">
        <f aca="false">IFERROR(INDEX(Destination!$B$2:$B$501,MATCH(B6,Destination!$A$2:$A$501,0)),"")</f>
        <v>Varanasi</v>
      </c>
      <c r="D6" s="9" t="s">
        <v>1329</v>
      </c>
      <c r="E6" s="16"/>
      <c r="F6" s="8"/>
      <c r="G6" s="14"/>
      <c r="H6" s="14"/>
      <c r="I6" s="8"/>
      <c r="J6" s="8"/>
      <c r="K6" s="9" t="s">
        <v>1321</v>
      </c>
    </row>
    <row r="7" customFormat="false" ht="15" hidden="false" customHeight="false" outlineLevel="0" collapsed="false">
      <c r="A7" s="9" t="s">
        <v>1330</v>
      </c>
      <c r="B7" s="9" t="s">
        <v>72</v>
      </c>
      <c r="C7" s="9" t="str">
        <f aca="false">IFERROR(INDEX(Destination!$B$2:$B$501,MATCH(B7,Destination!$A$2:$A$501,0)),"")</f>
        <v>Varanasi</v>
      </c>
      <c r="D7" s="9" t="s">
        <v>1331</v>
      </c>
      <c r="E7" s="16"/>
      <c r="F7" s="8"/>
      <c r="G7" s="14"/>
      <c r="H7" s="14"/>
      <c r="I7" s="8"/>
      <c r="J7" s="8"/>
      <c r="K7" s="9" t="s">
        <v>1321</v>
      </c>
    </row>
    <row r="8" customFormat="false" ht="15" hidden="false" customHeight="false" outlineLevel="0" collapsed="false">
      <c r="A8" s="9" t="s">
        <v>1332</v>
      </c>
      <c r="B8" s="9" t="s">
        <v>75</v>
      </c>
      <c r="C8" s="9" t="str">
        <f aca="false">IFERROR(INDEX(Destination!$B$2:$B$501,MATCH(B8,Destination!$A$2:$A$501,0)),"")</f>
        <v>Mysuru</v>
      </c>
      <c r="D8" s="9" t="s">
        <v>1333</v>
      </c>
      <c r="E8" s="16"/>
      <c r="F8" s="8"/>
      <c r="G8" s="14"/>
      <c r="H8" s="14"/>
      <c r="I8" s="8"/>
      <c r="J8" s="8"/>
      <c r="K8" s="9" t="s">
        <v>1321</v>
      </c>
    </row>
    <row r="9" customFormat="false" ht="15" hidden="false" customHeight="false" outlineLevel="0" collapsed="false">
      <c r="A9" s="9" t="s">
        <v>1334</v>
      </c>
      <c r="B9" s="9" t="s">
        <v>75</v>
      </c>
      <c r="C9" s="9" t="str">
        <f aca="false">IFERROR(INDEX(Destination!$B$2:$B$501,MATCH(B9,Destination!$A$2:$A$501,0)),"")</f>
        <v>Mysuru</v>
      </c>
      <c r="D9" s="9" t="s">
        <v>1335</v>
      </c>
      <c r="E9" s="16"/>
      <c r="F9" s="8"/>
      <c r="G9" s="14"/>
      <c r="H9" s="14"/>
      <c r="I9" s="8"/>
      <c r="J9" s="8"/>
      <c r="K9" s="9" t="s">
        <v>1336</v>
      </c>
    </row>
    <row r="10" customFormat="false" ht="15" hidden="false" customHeight="false" outlineLevel="0" collapsed="false">
      <c r="A10" s="9" t="s">
        <v>1337</v>
      </c>
      <c r="B10" s="9" t="s">
        <v>80</v>
      </c>
      <c r="C10" s="9" t="str">
        <f aca="false">IFERROR(INDEX(Destination!$B$2:$B$501,MATCH(B10,Destination!$A$2:$A$501,0)),"")</f>
        <v>Kochi</v>
      </c>
      <c r="D10" s="9" t="s">
        <v>1338</v>
      </c>
      <c r="E10" s="16"/>
      <c r="F10" s="8"/>
      <c r="G10" s="14"/>
      <c r="H10" s="14"/>
      <c r="I10" s="8"/>
      <c r="J10" s="8"/>
      <c r="K10" s="9" t="s">
        <v>1336</v>
      </c>
    </row>
    <row r="11" customFormat="false" ht="15" hidden="false" customHeight="false" outlineLevel="0" collapsed="false">
      <c r="A11" s="9" t="s">
        <v>1339</v>
      </c>
      <c r="B11" s="9" t="s">
        <v>80</v>
      </c>
      <c r="C11" s="9" t="str">
        <f aca="false">IFERROR(INDEX(Destination!$B$2:$B$501,MATCH(B11,Destination!$A$2:$A$501,0)),"")</f>
        <v>Kochi</v>
      </c>
      <c r="D11" s="9" t="s">
        <v>1340</v>
      </c>
      <c r="E11" s="16"/>
      <c r="F11" s="8"/>
      <c r="G11" s="14"/>
      <c r="H11" s="14"/>
      <c r="I11" s="8"/>
      <c r="J11" s="8"/>
      <c r="K11" s="9" t="s">
        <v>1321</v>
      </c>
    </row>
    <row r="12" customFormat="false" ht="15" hidden="false" customHeight="false" outlineLevel="0" collapsed="false">
      <c r="A12" s="9" t="s">
        <v>1341</v>
      </c>
      <c r="B12" s="9" t="s">
        <v>92</v>
      </c>
      <c r="C12" s="9" t="str">
        <f aca="false">IFERROR(INDEX(Destination!$B$2:$B$501,MATCH(B12,Destination!$A$2:$A$501,0)),"")</f>
        <v>Rameswaram</v>
      </c>
      <c r="D12" s="9" t="s">
        <v>1342</v>
      </c>
      <c r="E12" s="16"/>
      <c r="F12" s="8"/>
      <c r="G12" s="14"/>
      <c r="H12" s="14"/>
      <c r="I12" s="8"/>
      <c r="J12" s="8"/>
      <c r="K12" s="9" t="s">
        <v>1336</v>
      </c>
    </row>
  </sheetData>
  <autoFilter ref="A1:K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7" min="6" style="0" width="20"/>
    <col collapsed="false" customWidth="true" hidden="false" outlineLevel="0" max="9" min="8" style="0" width="11"/>
    <col collapsed="false" customWidth="true" hidden="false" outlineLevel="0" max="10" min="10" style="0" width="34"/>
  </cols>
  <sheetData>
    <row r="1" customFormat="false" ht="31.5" hidden="false" customHeight="true" outlineLevel="0" collapsed="false">
      <c r="A1" s="3" t="s">
        <v>1343</v>
      </c>
      <c r="B1" s="3" t="s">
        <v>48</v>
      </c>
      <c r="C1" s="3" t="s">
        <v>49</v>
      </c>
      <c r="D1" s="3" t="s">
        <v>1144</v>
      </c>
      <c r="E1" s="3" t="s">
        <v>1344</v>
      </c>
      <c r="F1" s="3" t="s">
        <v>1345</v>
      </c>
      <c r="G1" s="3" t="s">
        <v>1316</v>
      </c>
      <c r="H1" s="3" t="s">
        <v>53</v>
      </c>
      <c r="I1" s="3" t="s">
        <v>54</v>
      </c>
      <c r="J1" s="3" t="s">
        <v>1146</v>
      </c>
    </row>
    <row r="2" customFormat="false" ht="15" hidden="false" customHeight="false" outlineLevel="0" collapsed="false">
      <c r="A2" s="10" t="s">
        <v>1263</v>
      </c>
      <c r="B2" s="10" t="s">
        <v>60</v>
      </c>
      <c r="C2" s="10" t="s">
        <v>61</v>
      </c>
      <c r="D2" s="10" t="s">
        <v>1346</v>
      </c>
      <c r="E2" s="10" t="s">
        <v>1347</v>
      </c>
      <c r="F2" s="10" t="n">
        <v>800</v>
      </c>
      <c r="G2" s="10" t="s">
        <v>1348</v>
      </c>
      <c r="H2" s="10" t="n">
        <v>27.165</v>
      </c>
      <c r="I2" s="10" t="n">
        <v>78.042</v>
      </c>
      <c r="J2" s="10" t="s">
        <v>1349</v>
      </c>
    </row>
  </sheetData>
  <autoFilter ref="A1:J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10" min="7" style="0" width="9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44"/>
  </cols>
  <sheetData>
    <row r="1" customFormat="false" ht="31.5" hidden="false" customHeight="true" outlineLevel="0" collapsed="false">
      <c r="A1" s="3" t="s">
        <v>1350</v>
      </c>
      <c r="B1" s="3" t="s">
        <v>1351</v>
      </c>
      <c r="C1" s="3" t="s">
        <v>1352</v>
      </c>
      <c r="D1" s="3" t="s">
        <v>1353</v>
      </c>
      <c r="E1" s="3" t="s">
        <v>1354</v>
      </c>
      <c r="F1" s="3" t="s">
        <v>1355</v>
      </c>
      <c r="G1" s="3" t="s">
        <v>1356</v>
      </c>
      <c r="H1" s="3" t="s">
        <v>1357</v>
      </c>
      <c r="I1" s="3" t="s">
        <v>1358</v>
      </c>
      <c r="J1" s="3" t="s">
        <v>1359</v>
      </c>
      <c r="K1" s="3" t="s">
        <v>1360</v>
      </c>
      <c r="L1" s="3" t="s">
        <v>1361</v>
      </c>
      <c r="M1" s="3" t="s">
        <v>1362</v>
      </c>
      <c r="N1" s="3" t="s">
        <v>1146</v>
      </c>
    </row>
    <row r="2" customFormat="false" ht="15" hidden="false" customHeight="false" outlineLevel="0" collapsed="false">
      <c r="A2" s="9" t="s">
        <v>1363</v>
      </c>
      <c r="B2" s="9" t="s">
        <v>60</v>
      </c>
      <c r="C2" s="9" t="str">
        <f aca="false">IFERROR(INDEX(Destination!$B$2:$B$501,MATCH(B2,Destination!$A$2:$A$501,0)),"")</f>
        <v>Agra</v>
      </c>
      <c r="D2" s="9" t="s">
        <v>111</v>
      </c>
      <c r="E2" s="9" t="str">
        <f aca="false">IFERROR(INDEX(Destination!$B$2:$B$501,MATCH(D2,Destination!$A$2:$A$501,0)),"")</f>
        <v>Mathura</v>
      </c>
      <c r="F2" s="9" t="s">
        <v>1364</v>
      </c>
      <c r="G2" s="12" t="n">
        <f aca="false">INDEX(Destination!$F$2:$F$501,MATCH(B2,Destination!$A$2:$A$501,0))</f>
        <v>27.18</v>
      </c>
      <c r="H2" s="12" t="n">
        <f aca="false">INDEX(Destination!$G$2:$G$501,MATCH(B2,Destination!$A$2:$A$501,0))</f>
        <v>78.02</v>
      </c>
      <c r="I2" s="12" t="n">
        <f aca="false">INDEX(Destination!$F$2:$F$501,MATCH(D2,Destination!$A$2:$A$501,0))</f>
        <v>27.49</v>
      </c>
      <c r="J2" s="12" t="n">
        <f aca="false">INDEX(Destination!$G$2:$G$501,MATCH(D2,Destination!$A$2:$A$501,0))</f>
        <v>77.67</v>
      </c>
      <c r="K2" s="17" t="n">
        <f aca="false">Assumptions!$B$2*2*ASIN(SQRT(SIN(RADIANS(I2-G2)/2)^2+COS(RADIANS(G2))*COS(RADIANS(I2))*SIN(RADIANS(J2-H2)/2)^2))</f>
        <v>48.8207096965925</v>
      </c>
      <c r="L2" s="18" t="n">
        <f aca="false">K2*Assumptions!$B$3</f>
        <v>63.4669226055702</v>
      </c>
      <c r="M2" s="19" t="n">
        <f aca="false">L2/Assumptions!$B$4</f>
        <v>1.41037605790156</v>
      </c>
      <c r="N2" s="9" t="s">
        <v>1365</v>
      </c>
    </row>
    <row r="3" customFormat="false" ht="15" hidden="false" customHeight="false" outlineLevel="0" collapsed="false">
      <c r="A3" s="9" t="s">
        <v>1366</v>
      </c>
      <c r="B3" s="9" t="s">
        <v>60</v>
      </c>
      <c r="C3" s="9" t="str">
        <f aca="false">IFERROR(INDEX(Destination!$B$2:$B$501,MATCH(B3,Destination!$A$2:$A$501,0)),"")</f>
        <v>Agra</v>
      </c>
      <c r="D3" s="9" t="s">
        <v>113</v>
      </c>
      <c r="E3" s="9" t="str">
        <f aca="false">IFERROR(INDEX(Destination!$B$2:$B$501,MATCH(D3,Destination!$A$2:$A$501,0)),"")</f>
        <v>Vrindavan</v>
      </c>
      <c r="F3" s="9" t="s">
        <v>1364</v>
      </c>
      <c r="G3" s="12" t="n">
        <f aca="false">INDEX(Destination!$F$2:$F$501,MATCH(B3,Destination!$A$2:$A$501,0))</f>
        <v>27.18</v>
      </c>
      <c r="H3" s="12" t="n">
        <f aca="false">INDEX(Destination!$G$2:$G$501,MATCH(B3,Destination!$A$2:$A$501,0))</f>
        <v>78.02</v>
      </c>
      <c r="I3" s="12" t="n">
        <f aca="false">INDEX(Destination!$F$2:$F$501,MATCH(D3,Destination!$A$2:$A$501,0))</f>
        <v>27.58</v>
      </c>
      <c r="J3" s="12" t="n">
        <f aca="false">INDEX(Destination!$G$2:$G$501,MATCH(D3,Destination!$A$2:$A$501,0))</f>
        <v>77.7</v>
      </c>
      <c r="K3" s="17" t="n">
        <f aca="false">Assumptions!$B$2*2*ASIN(SQRT(SIN(RADIANS(I3-G3)/2)^2+COS(RADIANS(G3))*COS(RADIANS(I3))*SIN(RADIANS(J3-H3)/2)^2))</f>
        <v>54.558298059676</v>
      </c>
      <c r="L3" s="18" t="n">
        <f aca="false">K3*Assumptions!$B$3</f>
        <v>70.9257874775789</v>
      </c>
      <c r="M3" s="19" t="n">
        <f aca="false">L3/Assumptions!$B$4</f>
        <v>1.57612861061286</v>
      </c>
      <c r="N3" s="9" t="s">
        <v>1365</v>
      </c>
    </row>
    <row r="4" customFormat="false" ht="15" hidden="false" customHeight="false" outlineLevel="0" collapsed="false">
      <c r="A4" s="9" t="s">
        <v>1367</v>
      </c>
      <c r="B4" s="9" t="s">
        <v>60</v>
      </c>
      <c r="C4" s="9" t="str">
        <f aca="false">IFERROR(INDEX(Destination!$B$2:$B$501,MATCH(B4,Destination!$A$2:$A$501,0)),"")</f>
        <v>Agra</v>
      </c>
      <c r="D4" s="9" t="s">
        <v>214</v>
      </c>
      <c r="E4" s="9" t="str">
        <f aca="false">IFERROR(INDEX(Destination!$B$2:$B$501,MATCH(D4,Destination!$A$2:$A$501,0)),"")</f>
        <v>Bharatpur</v>
      </c>
      <c r="F4" s="9" t="s">
        <v>1364</v>
      </c>
      <c r="G4" s="12" t="n">
        <f aca="false">INDEX(Destination!$F$2:$F$501,MATCH(B4,Destination!$A$2:$A$501,0))</f>
        <v>27.18</v>
      </c>
      <c r="H4" s="12" t="n">
        <f aca="false">INDEX(Destination!$G$2:$G$501,MATCH(B4,Destination!$A$2:$A$501,0))</f>
        <v>78.02</v>
      </c>
      <c r="I4" s="12" t="n">
        <f aca="false">INDEX(Destination!$F$2:$F$501,MATCH(D4,Destination!$A$2:$A$501,0))</f>
        <v>27.22</v>
      </c>
      <c r="J4" s="12" t="n">
        <f aca="false">INDEX(Destination!$G$2:$G$501,MATCH(D4,Destination!$A$2:$A$501,0))</f>
        <v>77.49</v>
      </c>
      <c r="K4" s="17" t="n">
        <f aca="false">Assumptions!$B$2*2*ASIN(SQRT(SIN(RADIANS(I4-G4)/2)^2+COS(RADIANS(G4))*COS(RADIANS(I4))*SIN(RADIANS(J4-H4)/2)^2))</f>
        <v>52.604582145842</v>
      </c>
      <c r="L4" s="18" t="n">
        <f aca="false">K4*Assumptions!$B$3</f>
        <v>68.3859567895946</v>
      </c>
      <c r="M4" s="19" t="n">
        <f aca="false">L4/Assumptions!$B$4</f>
        <v>1.51968792865766</v>
      </c>
      <c r="N4" s="9" t="s">
        <v>1365</v>
      </c>
    </row>
    <row r="5" customFormat="false" ht="15" hidden="false" customHeight="false" outlineLevel="0" collapsed="false">
      <c r="A5" s="9" t="s">
        <v>1368</v>
      </c>
      <c r="B5" s="9" t="s">
        <v>60</v>
      </c>
      <c r="C5" s="9" t="str">
        <f aca="false">IFERROR(INDEX(Destination!$B$2:$B$501,MATCH(B5,Destination!$A$2:$A$501,0)),"")</f>
        <v>Agra</v>
      </c>
      <c r="D5" s="9" t="s">
        <v>239</v>
      </c>
      <c r="E5" s="9" t="str">
        <f aca="false">IFERROR(INDEX(Destination!$B$2:$B$501,MATCH(D5,Destination!$A$2:$A$501,0)),"")</f>
        <v>Dholpur</v>
      </c>
      <c r="F5" s="9" t="s">
        <v>1364</v>
      </c>
      <c r="G5" s="12" t="n">
        <f aca="false">INDEX(Destination!$F$2:$F$501,MATCH(B5,Destination!$A$2:$A$501,0))</f>
        <v>27.18</v>
      </c>
      <c r="H5" s="12" t="n">
        <f aca="false">INDEX(Destination!$G$2:$G$501,MATCH(B5,Destination!$A$2:$A$501,0))</f>
        <v>78.02</v>
      </c>
      <c r="I5" s="12" t="n">
        <f aca="false">INDEX(Destination!$F$2:$F$501,MATCH(D5,Destination!$A$2:$A$501,0))</f>
        <v>26.7</v>
      </c>
      <c r="J5" s="12" t="n">
        <f aca="false">INDEX(Destination!$G$2:$G$501,MATCH(D5,Destination!$A$2:$A$501,0))</f>
        <v>77.89</v>
      </c>
      <c r="K5" s="17" t="n">
        <f aca="false">Assumptions!$B$2*2*ASIN(SQRT(SIN(RADIANS(I5-G5)/2)^2+COS(RADIANS(G5))*COS(RADIANS(I5))*SIN(RADIANS(J5-H5)/2)^2))</f>
        <v>54.9072116399324</v>
      </c>
      <c r="L5" s="18" t="n">
        <f aca="false">K5*Assumptions!$B$3</f>
        <v>71.3793751319121</v>
      </c>
      <c r="M5" s="19" t="n">
        <f aca="false">L5/Assumptions!$B$4</f>
        <v>1.58620833626471</v>
      </c>
      <c r="N5" s="9" t="s">
        <v>1365</v>
      </c>
    </row>
    <row r="6" customFormat="false" ht="15" hidden="false" customHeight="false" outlineLevel="0" collapsed="false">
      <c r="A6" s="9" t="s">
        <v>1369</v>
      </c>
      <c r="B6" s="9" t="s">
        <v>60</v>
      </c>
      <c r="C6" s="9" t="str">
        <f aca="false">IFERROR(INDEX(Destination!$B$2:$B$501,MATCH(B6,Destination!$A$2:$A$501,0)),"")</f>
        <v>Agra</v>
      </c>
      <c r="D6" s="9" t="s">
        <v>997</v>
      </c>
      <c r="E6" s="9" t="str">
        <f aca="false">IFERROR(INDEX(Destination!$B$2:$B$501,MATCH(D6,Destination!$A$2:$A$501,0)),"")</f>
        <v>Fatehpur Sikri</v>
      </c>
      <c r="F6" s="9" t="s">
        <v>1364</v>
      </c>
      <c r="G6" s="12" t="n">
        <f aca="false">INDEX(Destination!$F$2:$F$501,MATCH(B6,Destination!$A$2:$A$501,0))</f>
        <v>27.18</v>
      </c>
      <c r="H6" s="12" t="n">
        <f aca="false">INDEX(Destination!$G$2:$G$501,MATCH(B6,Destination!$A$2:$A$501,0))</f>
        <v>78.02</v>
      </c>
      <c r="I6" s="12" t="n">
        <f aca="false">INDEX(Destination!$F$2:$F$501,MATCH(D6,Destination!$A$2:$A$501,0))</f>
        <v>27.09</v>
      </c>
      <c r="J6" s="12" t="n">
        <f aca="false">INDEX(Destination!$G$2:$G$501,MATCH(D6,Destination!$A$2:$A$501,0))</f>
        <v>77.67</v>
      </c>
      <c r="K6" s="17" t="n">
        <f aca="false">Assumptions!$B$2*2*ASIN(SQRT(SIN(RADIANS(I6-G6)/2)^2+COS(RADIANS(G6))*COS(RADIANS(I6))*SIN(RADIANS(J6-H6)/2)^2))</f>
        <v>36.0514873052272</v>
      </c>
      <c r="L6" s="18" t="n">
        <f aca="false">K6*Assumptions!$B$3</f>
        <v>46.8669334967954</v>
      </c>
      <c r="M6" s="19" t="n">
        <f aca="false">L6/Assumptions!$B$4</f>
        <v>1.0414874110399</v>
      </c>
      <c r="N6" s="9" t="s">
        <v>1365</v>
      </c>
    </row>
    <row r="7" customFormat="false" ht="15" hidden="false" customHeight="false" outlineLevel="0" collapsed="false">
      <c r="A7" s="9" t="s">
        <v>1370</v>
      </c>
      <c r="B7" s="9" t="s">
        <v>68</v>
      </c>
      <c r="C7" s="9" t="str">
        <f aca="false">IFERROR(INDEX(Destination!$B$2:$B$501,MATCH(B7,Destination!$A$2:$A$501,0)),"")</f>
        <v>Jaipur</v>
      </c>
      <c r="D7" s="9" t="s">
        <v>216</v>
      </c>
      <c r="E7" s="9" t="str">
        <f aca="false">IFERROR(INDEX(Destination!$B$2:$B$501,MATCH(D7,Destination!$A$2:$A$501,0)),"")</f>
        <v>Dausa</v>
      </c>
      <c r="F7" s="9" t="s">
        <v>1364</v>
      </c>
      <c r="G7" s="12" t="n">
        <f aca="false">INDEX(Destination!$F$2:$F$501,MATCH(B7,Destination!$A$2:$A$501,0))</f>
        <v>26.91</v>
      </c>
      <c r="H7" s="12" t="n">
        <f aca="false">INDEX(Destination!$G$2:$G$501,MATCH(B7,Destination!$A$2:$A$501,0))</f>
        <v>75.79</v>
      </c>
      <c r="I7" s="12" t="n">
        <f aca="false">INDEX(Destination!$F$2:$F$501,MATCH(D7,Destination!$A$2:$A$501,0))</f>
        <v>26.89</v>
      </c>
      <c r="J7" s="12" t="n">
        <f aca="false">INDEX(Destination!$G$2:$G$501,MATCH(D7,Destination!$A$2:$A$501,0))</f>
        <v>76.34</v>
      </c>
      <c r="K7" s="17" t="n">
        <f aca="false">Assumptions!$B$2*2*ASIN(SQRT(SIN(RADIANS(I7-G7)/2)^2+COS(RADIANS(G7))*COS(RADIANS(I7))*SIN(RADIANS(J7-H7)/2)^2))</f>
        <v>54.5851268071009</v>
      </c>
      <c r="L7" s="18" t="n">
        <f aca="false">K7*Assumptions!$B$3</f>
        <v>70.9606648492312</v>
      </c>
      <c r="M7" s="19" t="n">
        <f aca="false">L7/Assumptions!$B$4</f>
        <v>1.57690366331625</v>
      </c>
      <c r="N7" s="9" t="s">
        <v>1365</v>
      </c>
    </row>
    <row r="8" customFormat="false" ht="15" hidden="false" customHeight="false" outlineLevel="0" collapsed="false">
      <c r="A8" s="9" t="s">
        <v>1371</v>
      </c>
      <c r="B8" s="9" t="s">
        <v>68</v>
      </c>
      <c r="C8" s="9" t="str">
        <f aca="false">IFERROR(INDEX(Destination!$B$2:$B$501,MATCH(B8,Destination!$A$2:$A$501,0)),"")</f>
        <v>Jaipur</v>
      </c>
      <c r="D8" s="9" t="s">
        <v>218</v>
      </c>
      <c r="E8" s="9" t="str">
        <f aca="false">IFERROR(INDEX(Destination!$B$2:$B$501,MATCH(D8,Destination!$A$2:$A$501,0)),"")</f>
        <v>Shekhawati</v>
      </c>
      <c r="F8" s="9" t="s">
        <v>1364</v>
      </c>
      <c r="G8" s="12" t="n">
        <f aca="false">INDEX(Destination!$F$2:$F$501,MATCH(B8,Destination!$A$2:$A$501,0))</f>
        <v>26.91</v>
      </c>
      <c r="H8" s="12" t="n">
        <f aca="false">INDEX(Destination!$G$2:$G$501,MATCH(B8,Destination!$A$2:$A$501,0))</f>
        <v>75.79</v>
      </c>
      <c r="I8" s="12" t="n">
        <f aca="false">INDEX(Destination!$F$2:$F$501,MATCH(D8,Destination!$A$2:$A$501,0))</f>
        <v>27.8</v>
      </c>
      <c r="J8" s="12" t="n">
        <f aca="false">INDEX(Destination!$G$2:$G$501,MATCH(D8,Destination!$A$2:$A$501,0))</f>
        <v>75.4</v>
      </c>
      <c r="K8" s="17" t="n">
        <f aca="false">Assumptions!$B$2*2*ASIN(SQRT(SIN(RADIANS(I8-G8)/2)^2+COS(RADIANS(G8))*COS(RADIANS(I8))*SIN(RADIANS(J8-H8)/2)^2))</f>
        <v>106.194402906444</v>
      </c>
      <c r="L8" s="18" t="n">
        <f aca="false">K8*Assumptions!$B$3</f>
        <v>138.052723778377</v>
      </c>
      <c r="M8" s="19" t="n">
        <f aca="false">L8/Assumptions!$B$4</f>
        <v>3.06783830618616</v>
      </c>
      <c r="N8" s="9" t="s">
        <v>1365</v>
      </c>
    </row>
    <row r="9" customFormat="false" ht="15" hidden="false" customHeight="false" outlineLevel="0" collapsed="false">
      <c r="A9" s="9" t="s">
        <v>1372</v>
      </c>
      <c r="B9" s="9" t="s">
        <v>68</v>
      </c>
      <c r="C9" s="9" t="str">
        <f aca="false">IFERROR(INDEX(Destination!$B$2:$B$501,MATCH(B9,Destination!$A$2:$A$501,0)),"")</f>
        <v>Jaipur</v>
      </c>
      <c r="D9" s="9" t="s">
        <v>243</v>
      </c>
      <c r="E9" s="9" t="str">
        <f aca="false">IFERROR(INDEX(Destination!$B$2:$B$501,MATCH(D9,Destination!$A$2:$A$501,0)),"")</f>
        <v>Tonk</v>
      </c>
      <c r="F9" s="9" t="s">
        <v>1364</v>
      </c>
      <c r="G9" s="12" t="n">
        <f aca="false">INDEX(Destination!$F$2:$F$501,MATCH(B9,Destination!$A$2:$A$501,0))</f>
        <v>26.91</v>
      </c>
      <c r="H9" s="12" t="n">
        <f aca="false">INDEX(Destination!$G$2:$G$501,MATCH(B9,Destination!$A$2:$A$501,0))</f>
        <v>75.79</v>
      </c>
      <c r="I9" s="12" t="n">
        <f aca="false">INDEX(Destination!$F$2:$F$501,MATCH(D9,Destination!$A$2:$A$501,0))</f>
        <v>26.17</v>
      </c>
      <c r="J9" s="12" t="n">
        <f aca="false">INDEX(Destination!$G$2:$G$501,MATCH(D9,Destination!$A$2:$A$501,0))</f>
        <v>75.79</v>
      </c>
      <c r="K9" s="17" t="n">
        <f aca="false">Assumptions!$B$2*2*ASIN(SQRT(SIN(RADIANS(I9-G9)/2)^2+COS(RADIANS(G9))*COS(RADIANS(I9))*SIN(RADIANS(J9-H9)/2)^2))</f>
        <v>82.2842457169733</v>
      </c>
      <c r="L9" s="18" t="n">
        <f aca="false">K9*Assumptions!$B$3</f>
        <v>106.969519432065</v>
      </c>
      <c r="M9" s="19" t="n">
        <f aca="false">L9/Assumptions!$B$4</f>
        <v>2.37710043182367</v>
      </c>
      <c r="N9" s="9" t="s">
        <v>1365</v>
      </c>
    </row>
    <row r="10" customFormat="false" ht="15" hidden="false" customHeight="false" outlineLevel="0" collapsed="false">
      <c r="A10" s="9" t="s">
        <v>1373</v>
      </c>
      <c r="B10" s="9" t="s">
        <v>72</v>
      </c>
      <c r="C10" s="9" t="str">
        <f aca="false">IFERROR(INDEX(Destination!$B$2:$B$501,MATCH(B10,Destination!$A$2:$A$501,0)),"")</f>
        <v>Varanasi</v>
      </c>
      <c r="D10" s="9" t="s">
        <v>117</v>
      </c>
      <c r="E10" s="9" t="str">
        <f aca="false">IFERROR(INDEX(Destination!$B$2:$B$501,MATCH(D10,Destination!$A$2:$A$501,0)),"")</f>
        <v>Prayagraj</v>
      </c>
      <c r="F10" s="9" t="s">
        <v>1364</v>
      </c>
      <c r="G10" s="12" t="n">
        <f aca="false">INDEX(Destination!$F$2:$F$501,MATCH(B10,Destination!$A$2:$A$501,0))</f>
        <v>25.32</v>
      </c>
      <c r="H10" s="12" t="n">
        <f aca="false">INDEX(Destination!$G$2:$G$501,MATCH(B10,Destination!$A$2:$A$501,0))</f>
        <v>82.99</v>
      </c>
      <c r="I10" s="12" t="n">
        <f aca="false">INDEX(Destination!$F$2:$F$501,MATCH(D10,Destination!$A$2:$A$501,0))</f>
        <v>25.44</v>
      </c>
      <c r="J10" s="12" t="n">
        <f aca="false">INDEX(Destination!$G$2:$G$501,MATCH(D10,Destination!$A$2:$A$501,0))</f>
        <v>81.85</v>
      </c>
      <c r="K10" s="17" t="n">
        <f aca="false">Assumptions!$B$2*2*ASIN(SQRT(SIN(RADIANS(I10-G10)/2)^2+COS(RADIANS(G10))*COS(RADIANS(I10))*SIN(RADIANS(J10-H10)/2)^2))</f>
        <v>115.302062334463</v>
      </c>
      <c r="L10" s="18" t="n">
        <f aca="false">K10*Assumptions!$B$3</f>
        <v>149.892681034802</v>
      </c>
      <c r="M10" s="19" t="n">
        <f aca="false">L10/Assumptions!$B$4</f>
        <v>3.33094846744006</v>
      </c>
      <c r="N10" s="9" t="s">
        <v>1365</v>
      </c>
    </row>
    <row r="11" customFormat="false" ht="15" hidden="false" customHeight="false" outlineLevel="0" collapsed="false">
      <c r="A11" s="9" t="s">
        <v>1374</v>
      </c>
      <c r="B11" s="9" t="s">
        <v>72</v>
      </c>
      <c r="C11" s="9" t="str">
        <f aca="false">IFERROR(INDEX(Destination!$B$2:$B$501,MATCH(B11,Destination!$A$2:$A$501,0)),"")</f>
        <v>Varanasi</v>
      </c>
      <c r="D11" s="9" t="s">
        <v>716</v>
      </c>
      <c r="E11" s="9" t="str">
        <f aca="false">IFERROR(INDEX(Destination!$B$2:$B$501,MATCH(D11,Destination!$A$2:$A$501,0)),"")</f>
        <v>Betla</v>
      </c>
      <c r="F11" s="9" t="s">
        <v>1364</v>
      </c>
      <c r="G11" s="12" t="n">
        <f aca="false">INDEX(Destination!$F$2:$F$501,MATCH(B11,Destination!$A$2:$A$501,0))</f>
        <v>25.32</v>
      </c>
      <c r="H11" s="12" t="n">
        <f aca="false">INDEX(Destination!$G$2:$G$501,MATCH(B11,Destination!$A$2:$A$501,0))</f>
        <v>82.99</v>
      </c>
      <c r="I11" s="12" t="n">
        <f aca="false">INDEX(Destination!$F$2:$F$501,MATCH(D11,Destination!$A$2:$A$501,0))</f>
        <v>23.89</v>
      </c>
      <c r="J11" s="12" t="n">
        <f aca="false">INDEX(Destination!$G$2:$G$501,MATCH(D11,Destination!$A$2:$A$501,0))</f>
        <v>84.19</v>
      </c>
      <c r="K11" s="17" t="n">
        <f aca="false">Assumptions!$B$2*2*ASIN(SQRT(SIN(RADIANS(I11-G11)/2)^2+COS(RADIANS(G11))*COS(RADIANS(I11))*SIN(RADIANS(J11-H11)/2)^2))</f>
        <v>200.001300858472</v>
      </c>
      <c r="L11" s="18" t="n">
        <f aca="false">K11*Assumptions!$B$3</f>
        <v>260.001691116013</v>
      </c>
      <c r="M11" s="19" t="n">
        <f aca="false">L11/Assumptions!$B$4</f>
        <v>5.77781535813363</v>
      </c>
      <c r="N11" s="9" t="s">
        <v>1365</v>
      </c>
    </row>
    <row r="12" customFormat="false" ht="15" hidden="false" customHeight="false" outlineLevel="0" collapsed="false">
      <c r="A12" s="9" t="s">
        <v>1375</v>
      </c>
      <c r="B12" s="9" t="s">
        <v>72</v>
      </c>
      <c r="C12" s="9" t="str">
        <f aca="false">IFERROR(INDEX(Destination!$B$2:$B$501,MATCH(B12,Destination!$A$2:$A$501,0)),"")</f>
        <v>Varanasi</v>
      </c>
      <c r="D12" s="9" t="s">
        <v>992</v>
      </c>
      <c r="E12" s="9" t="str">
        <f aca="false">IFERROR(INDEX(Destination!$B$2:$B$501,MATCH(D12,Destination!$A$2:$A$501,0)),"")</f>
        <v>Ayodhya</v>
      </c>
      <c r="F12" s="9" t="s">
        <v>1364</v>
      </c>
      <c r="G12" s="12" t="n">
        <f aca="false">INDEX(Destination!$F$2:$F$501,MATCH(B12,Destination!$A$2:$A$501,0))</f>
        <v>25.32</v>
      </c>
      <c r="H12" s="12" t="n">
        <f aca="false">INDEX(Destination!$G$2:$G$501,MATCH(B12,Destination!$A$2:$A$501,0))</f>
        <v>82.99</v>
      </c>
      <c r="I12" s="12" t="n">
        <f aca="false">INDEX(Destination!$F$2:$F$501,MATCH(D12,Destination!$A$2:$A$501,0))</f>
        <v>26.8</v>
      </c>
      <c r="J12" s="12" t="n">
        <f aca="false">INDEX(Destination!$G$2:$G$501,MATCH(D12,Destination!$A$2:$A$501,0))</f>
        <v>82.2</v>
      </c>
      <c r="K12" s="17" t="n">
        <f aca="false">Assumptions!$B$2*2*ASIN(SQRT(SIN(RADIANS(I12-G12)/2)^2+COS(RADIANS(G12))*COS(RADIANS(I12))*SIN(RADIANS(J12-H12)/2)^2))</f>
        <v>182.508853645685</v>
      </c>
      <c r="L12" s="18" t="n">
        <f aca="false">K12*Assumptions!$B$3</f>
        <v>237.26150973939</v>
      </c>
      <c r="M12" s="19" t="n">
        <f aca="false">L12/Assumptions!$B$4</f>
        <v>5.27247799420867</v>
      </c>
      <c r="N12" s="9" t="s">
        <v>1365</v>
      </c>
    </row>
    <row r="13" customFormat="false" ht="15" hidden="false" customHeight="false" outlineLevel="0" collapsed="false">
      <c r="A13" s="9" t="s">
        <v>1376</v>
      </c>
      <c r="B13" s="9" t="s">
        <v>75</v>
      </c>
      <c r="C13" s="9" t="str">
        <f aca="false">IFERROR(INDEX(Destination!$B$2:$B$501,MATCH(B13,Destination!$A$2:$A$501,0)),"")</f>
        <v>Mysuru</v>
      </c>
      <c r="D13" s="9" t="s">
        <v>397</v>
      </c>
      <c r="E13" s="9" t="str">
        <f aca="false">IFERROR(INDEX(Destination!$B$2:$B$501,MATCH(D13,Destination!$A$2:$A$501,0)),"")</f>
        <v>Kabini</v>
      </c>
      <c r="F13" s="9" t="s">
        <v>1364</v>
      </c>
      <c r="G13" s="12" t="n">
        <f aca="false">INDEX(Destination!$F$2:$F$501,MATCH(B13,Destination!$A$2:$A$501,0))</f>
        <v>12.3</v>
      </c>
      <c r="H13" s="12" t="n">
        <f aca="false">INDEX(Destination!$G$2:$G$501,MATCH(B13,Destination!$A$2:$A$501,0))</f>
        <v>76.64</v>
      </c>
      <c r="I13" s="12" t="n">
        <f aca="false">INDEX(Destination!$F$2:$F$501,MATCH(D13,Destination!$A$2:$A$501,0))</f>
        <v>11.99</v>
      </c>
      <c r="J13" s="12" t="n">
        <f aca="false">INDEX(Destination!$G$2:$G$501,MATCH(D13,Destination!$A$2:$A$501,0))</f>
        <v>76.35</v>
      </c>
      <c r="K13" s="17" t="n">
        <f aca="false">Assumptions!$B$2*2*ASIN(SQRT(SIN(RADIANS(I13-G13)/2)^2+COS(RADIANS(G13))*COS(RADIANS(I13))*SIN(RADIANS(J13-H13)/2)^2))</f>
        <v>46.712100178282</v>
      </c>
      <c r="L13" s="18" t="n">
        <f aca="false">K13*Assumptions!$B$3</f>
        <v>60.7257302317666</v>
      </c>
      <c r="M13" s="19" t="n">
        <f aca="false">L13/Assumptions!$B$4</f>
        <v>1.34946067181704</v>
      </c>
      <c r="N13" s="9" t="s">
        <v>1365</v>
      </c>
    </row>
    <row r="14" customFormat="false" ht="15" hidden="false" customHeight="false" outlineLevel="0" collapsed="false">
      <c r="A14" s="9" t="s">
        <v>1377</v>
      </c>
      <c r="B14" s="9" t="s">
        <v>75</v>
      </c>
      <c r="C14" s="9" t="str">
        <f aca="false">IFERROR(INDEX(Destination!$B$2:$B$501,MATCH(B14,Destination!$A$2:$A$501,0)),"")</f>
        <v>Mysuru</v>
      </c>
      <c r="D14" s="9" t="s">
        <v>399</v>
      </c>
      <c r="E14" s="9" t="str">
        <f aca="false">IFERROR(INDEX(Destination!$B$2:$B$501,MATCH(D14,Destination!$A$2:$A$501,0)),"")</f>
        <v>Bandipur</v>
      </c>
      <c r="F14" s="9" t="s">
        <v>1364</v>
      </c>
      <c r="G14" s="12" t="n">
        <f aca="false">INDEX(Destination!$F$2:$F$501,MATCH(B14,Destination!$A$2:$A$501,0))</f>
        <v>12.3</v>
      </c>
      <c r="H14" s="12" t="n">
        <f aca="false">INDEX(Destination!$G$2:$G$501,MATCH(B14,Destination!$A$2:$A$501,0))</f>
        <v>76.64</v>
      </c>
      <c r="I14" s="12" t="n">
        <f aca="false">INDEX(Destination!$F$2:$F$501,MATCH(D14,Destination!$A$2:$A$501,0))</f>
        <v>11.67</v>
      </c>
      <c r="J14" s="12" t="n">
        <f aca="false">INDEX(Destination!$G$2:$G$501,MATCH(D14,Destination!$A$2:$A$501,0))</f>
        <v>76.63</v>
      </c>
      <c r="K14" s="17" t="n">
        <f aca="false">Assumptions!$B$2*2*ASIN(SQRT(SIN(RADIANS(I14-G14)/2)^2+COS(RADIANS(G14))*COS(RADIANS(I14))*SIN(RADIANS(J14-H14)/2)^2))</f>
        <v>70.061247633522</v>
      </c>
      <c r="L14" s="18" t="n">
        <f aca="false">K14*Assumptions!$B$3</f>
        <v>91.0796219235785</v>
      </c>
      <c r="M14" s="19" t="n">
        <f aca="false">L14/Assumptions!$B$4</f>
        <v>2.02399159830175</v>
      </c>
      <c r="N14" s="9" t="s">
        <v>1365</v>
      </c>
    </row>
    <row r="15" customFormat="false" ht="15" hidden="false" customHeight="false" outlineLevel="0" collapsed="false">
      <c r="A15" s="9" t="s">
        <v>1378</v>
      </c>
      <c r="B15" s="9" t="s">
        <v>75</v>
      </c>
      <c r="C15" s="9" t="str">
        <f aca="false">IFERROR(INDEX(Destination!$B$2:$B$501,MATCH(B15,Destination!$A$2:$A$501,0)),"")</f>
        <v>Mysuru</v>
      </c>
      <c r="D15" s="9" t="s">
        <v>425</v>
      </c>
      <c r="E15" s="9" t="str">
        <f aca="false">IFERROR(INDEX(Destination!$B$2:$B$501,MATCH(D15,Destination!$A$2:$A$501,0)),"")</f>
        <v>Nagarhole</v>
      </c>
      <c r="F15" s="9" t="s">
        <v>1364</v>
      </c>
      <c r="G15" s="12" t="n">
        <f aca="false">INDEX(Destination!$F$2:$F$501,MATCH(B15,Destination!$A$2:$A$501,0))</f>
        <v>12.3</v>
      </c>
      <c r="H15" s="12" t="n">
        <f aca="false">INDEX(Destination!$G$2:$G$501,MATCH(B15,Destination!$A$2:$A$501,0))</f>
        <v>76.64</v>
      </c>
      <c r="I15" s="12" t="n">
        <f aca="false">INDEX(Destination!$F$2:$F$501,MATCH(D15,Destination!$A$2:$A$501,0))</f>
        <v>12.05</v>
      </c>
      <c r="J15" s="12" t="n">
        <f aca="false">INDEX(Destination!$G$2:$G$501,MATCH(D15,Destination!$A$2:$A$501,0))</f>
        <v>76.1</v>
      </c>
      <c r="K15" s="17" t="n">
        <f aca="false">Assumptions!$B$2*2*ASIN(SQRT(SIN(RADIANS(I15-G15)/2)^2+COS(RADIANS(G15))*COS(RADIANS(I15))*SIN(RADIANS(J15-H15)/2)^2))</f>
        <v>64.9448428995577</v>
      </c>
      <c r="L15" s="18" t="n">
        <f aca="false">K15*Assumptions!$B$3</f>
        <v>84.428295769425</v>
      </c>
      <c r="M15" s="19" t="n">
        <f aca="false">L15/Assumptions!$B$4</f>
        <v>1.87618435043167</v>
      </c>
      <c r="N15" s="9" t="s">
        <v>1365</v>
      </c>
    </row>
    <row r="16" customFormat="false" ht="15" hidden="false" customHeight="false" outlineLevel="0" collapsed="false">
      <c r="A16" s="9" t="s">
        <v>1379</v>
      </c>
      <c r="B16" s="9" t="s">
        <v>80</v>
      </c>
      <c r="C16" s="9" t="str">
        <f aca="false">IFERROR(INDEX(Destination!$B$2:$B$501,MATCH(B16,Destination!$A$2:$A$501,0)),"")</f>
        <v>Kochi</v>
      </c>
      <c r="D16" s="9" t="s">
        <v>496</v>
      </c>
      <c r="E16" s="9" t="str">
        <f aca="false">IFERROR(INDEX(Destination!$B$2:$B$501,MATCH(D16,Destination!$A$2:$A$501,0)),"")</f>
        <v>Alleppey</v>
      </c>
      <c r="F16" s="9" t="s">
        <v>1364</v>
      </c>
      <c r="G16" s="12" t="n">
        <f aca="false">INDEX(Destination!$F$2:$F$501,MATCH(B16,Destination!$A$2:$A$501,0))</f>
        <v>9.93</v>
      </c>
      <c r="H16" s="12" t="n">
        <f aca="false">INDEX(Destination!$G$2:$G$501,MATCH(B16,Destination!$A$2:$A$501,0))</f>
        <v>76.27</v>
      </c>
      <c r="I16" s="12" t="n">
        <f aca="false">INDEX(Destination!$F$2:$F$501,MATCH(D16,Destination!$A$2:$A$501,0))</f>
        <v>9.49</v>
      </c>
      <c r="J16" s="12" t="n">
        <f aca="false">INDEX(Destination!$G$2:$G$501,MATCH(D16,Destination!$A$2:$A$501,0))</f>
        <v>76.34</v>
      </c>
      <c r="K16" s="17" t="n">
        <f aca="false">Assumptions!$B$2*2*ASIN(SQRT(SIN(RADIANS(I16-G16)/2)^2+COS(RADIANS(G16))*COS(RADIANS(I16))*SIN(RADIANS(J16-H16)/2)^2))</f>
        <v>49.5236520719228</v>
      </c>
      <c r="L16" s="18" t="n">
        <f aca="false">K16*Assumptions!$B$3</f>
        <v>64.3807476934997</v>
      </c>
      <c r="M16" s="19" t="n">
        <f aca="false">L16/Assumptions!$B$4</f>
        <v>1.43068328207777</v>
      </c>
      <c r="N16" s="9" t="s">
        <v>1365</v>
      </c>
    </row>
    <row r="17" customFormat="false" ht="15" hidden="false" customHeight="false" outlineLevel="0" collapsed="false">
      <c r="A17" s="9" t="s">
        <v>1380</v>
      </c>
      <c r="B17" s="9" t="s">
        <v>80</v>
      </c>
      <c r="C17" s="9" t="str">
        <f aca="false">IFERROR(INDEX(Destination!$B$2:$B$501,MATCH(B17,Destination!$A$2:$A$501,0)),"")</f>
        <v>Kochi</v>
      </c>
      <c r="D17" s="9" t="s">
        <v>498</v>
      </c>
      <c r="E17" s="9" t="str">
        <f aca="false">IFERROR(INDEX(Destination!$B$2:$B$501,MATCH(D17,Destination!$A$2:$A$501,0)),"")</f>
        <v>Kumarakom</v>
      </c>
      <c r="F17" s="9" t="s">
        <v>1364</v>
      </c>
      <c r="G17" s="12" t="n">
        <f aca="false">INDEX(Destination!$F$2:$F$501,MATCH(B17,Destination!$A$2:$A$501,0))</f>
        <v>9.93</v>
      </c>
      <c r="H17" s="12" t="n">
        <f aca="false">INDEX(Destination!$G$2:$G$501,MATCH(B17,Destination!$A$2:$A$501,0))</f>
        <v>76.27</v>
      </c>
      <c r="I17" s="12" t="n">
        <f aca="false">INDEX(Destination!$F$2:$F$501,MATCH(D17,Destination!$A$2:$A$501,0))</f>
        <v>9.62</v>
      </c>
      <c r="J17" s="12" t="n">
        <f aca="false">INDEX(Destination!$G$2:$G$501,MATCH(D17,Destination!$A$2:$A$501,0))</f>
        <v>76.43</v>
      </c>
      <c r="K17" s="17" t="n">
        <f aca="false">Assumptions!$B$2*2*ASIN(SQRT(SIN(RADIANS(I17-G17)/2)^2+COS(RADIANS(G17))*COS(RADIANS(I17))*SIN(RADIANS(J17-H17)/2)^2))</f>
        <v>38.6731433060788</v>
      </c>
      <c r="L17" s="18" t="n">
        <f aca="false">K17*Assumptions!$B$3</f>
        <v>50.2750862979025</v>
      </c>
      <c r="M17" s="19" t="n">
        <f aca="false">L17/Assumptions!$B$4</f>
        <v>1.11722413995339</v>
      </c>
      <c r="N17" s="9" t="s">
        <v>1365</v>
      </c>
    </row>
    <row r="18" customFormat="false" ht="15" hidden="false" customHeight="false" outlineLevel="0" collapsed="false">
      <c r="A18" s="9" t="s">
        <v>1381</v>
      </c>
      <c r="B18" s="9" t="s">
        <v>80</v>
      </c>
      <c r="C18" s="9" t="str">
        <f aca="false">IFERROR(INDEX(Destination!$B$2:$B$501,MATCH(B18,Destination!$A$2:$A$501,0)),"")</f>
        <v>Kochi</v>
      </c>
      <c r="D18" s="9" t="s">
        <v>522</v>
      </c>
      <c r="E18" s="9" t="str">
        <f aca="false">IFERROR(INDEX(Destination!$B$2:$B$501,MATCH(D18,Destination!$A$2:$A$501,0)),"")</f>
        <v>Marari</v>
      </c>
      <c r="F18" s="9" t="s">
        <v>1364</v>
      </c>
      <c r="G18" s="12" t="n">
        <f aca="false">INDEX(Destination!$F$2:$F$501,MATCH(B18,Destination!$A$2:$A$501,0))</f>
        <v>9.93</v>
      </c>
      <c r="H18" s="12" t="n">
        <f aca="false">INDEX(Destination!$G$2:$G$501,MATCH(B18,Destination!$A$2:$A$501,0))</f>
        <v>76.27</v>
      </c>
      <c r="I18" s="12" t="n">
        <f aca="false">INDEX(Destination!$F$2:$F$501,MATCH(D18,Destination!$A$2:$A$501,0))</f>
        <v>9.6</v>
      </c>
      <c r="J18" s="12" t="n">
        <f aca="false">INDEX(Destination!$G$2:$G$501,MATCH(D18,Destination!$A$2:$A$501,0))</f>
        <v>76.3</v>
      </c>
      <c r="K18" s="17" t="n">
        <f aca="false">Assumptions!$B$2*2*ASIN(SQRT(SIN(RADIANS(I18-G18)/2)^2+COS(RADIANS(G18))*COS(RADIANS(I18))*SIN(RADIANS(J18-H18)/2)^2))</f>
        <v>36.8412985774908</v>
      </c>
      <c r="L18" s="18" t="n">
        <f aca="false">K18*Assumptions!$B$3</f>
        <v>47.893688150738</v>
      </c>
      <c r="M18" s="19" t="n">
        <f aca="false">L18/Assumptions!$B$4</f>
        <v>1.06430418112751</v>
      </c>
      <c r="N18" s="9" t="s">
        <v>1365</v>
      </c>
    </row>
    <row r="19" customFormat="false" ht="15" hidden="false" customHeight="false" outlineLevel="0" collapsed="false">
      <c r="A19" s="9" t="s">
        <v>1382</v>
      </c>
      <c r="B19" s="9" t="s">
        <v>84</v>
      </c>
      <c r="C19" s="9" t="str">
        <f aca="false">IFERROR(INDEX(Destination!$B$2:$B$501,MATCH(B19,Destination!$A$2:$A$501,0)),"")</f>
        <v>Hampi</v>
      </c>
      <c r="D19" s="9" t="s">
        <v>383</v>
      </c>
      <c r="E19" s="9" t="str">
        <f aca="false">IFERROR(INDEX(Destination!$B$2:$B$501,MATCH(D19,Destination!$A$2:$A$501,0)),"")</f>
        <v>Badami</v>
      </c>
      <c r="F19" s="9" t="s">
        <v>1364</v>
      </c>
      <c r="G19" s="12" t="n">
        <f aca="false">INDEX(Destination!$F$2:$F$501,MATCH(B19,Destination!$A$2:$A$501,0))</f>
        <v>15.34</v>
      </c>
      <c r="H19" s="12" t="n">
        <f aca="false">INDEX(Destination!$G$2:$G$501,MATCH(B19,Destination!$A$2:$A$501,0))</f>
        <v>76.46</v>
      </c>
      <c r="I19" s="12" t="n">
        <f aca="false">INDEX(Destination!$F$2:$F$501,MATCH(D19,Destination!$A$2:$A$501,0))</f>
        <v>15.92</v>
      </c>
      <c r="J19" s="12" t="n">
        <f aca="false">INDEX(Destination!$G$2:$G$501,MATCH(D19,Destination!$A$2:$A$501,0))</f>
        <v>75.68</v>
      </c>
      <c r="K19" s="17" t="n">
        <f aca="false">Assumptions!$B$2*2*ASIN(SQRT(SIN(RADIANS(I19-G19)/2)^2+COS(RADIANS(G19))*COS(RADIANS(I19))*SIN(RADIANS(J19-H19)/2)^2))</f>
        <v>105.525687957914</v>
      </c>
      <c r="L19" s="18" t="n">
        <f aca="false">K19*Assumptions!$B$3</f>
        <v>137.183394345289</v>
      </c>
      <c r="M19" s="19" t="n">
        <f aca="false">L19/Assumptions!$B$4</f>
        <v>3.04851987433975</v>
      </c>
      <c r="N19" s="9" t="s">
        <v>1365</v>
      </c>
    </row>
    <row r="20" customFormat="false" ht="15" hidden="false" customHeight="false" outlineLevel="0" collapsed="false">
      <c r="A20" s="9" t="s">
        <v>1383</v>
      </c>
      <c r="B20" s="9" t="s">
        <v>84</v>
      </c>
      <c r="C20" s="9" t="str">
        <f aca="false">IFERROR(INDEX(Destination!$B$2:$B$501,MATCH(B20,Destination!$A$2:$A$501,0)),"")</f>
        <v>Hampi</v>
      </c>
      <c r="D20" s="9" t="s">
        <v>385</v>
      </c>
      <c r="E20" s="9" t="str">
        <f aca="false">IFERROR(INDEX(Destination!$B$2:$B$501,MATCH(D20,Destination!$A$2:$A$501,0)),"")</f>
        <v>Aihole</v>
      </c>
      <c r="F20" s="9" t="s">
        <v>1364</v>
      </c>
      <c r="G20" s="12" t="n">
        <f aca="false">INDEX(Destination!$F$2:$F$501,MATCH(B20,Destination!$A$2:$A$501,0))</f>
        <v>15.34</v>
      </c>
      <c r="H20" s="12" t="n">
        <f aca="false">INDEX(Destination!$G$2:$G$501,MATCH(B20,Destination!$A$2:$A$501,0))</f>
        <v>76.46</v>
      </c>
      <c r="I20" s="12" t="n">
        <f aca="false">INDEX(Destination!$F$2:$F$501,MATCH(D20,Destination!$A$2:$A$501,0))</f>
        <v>16.02</v>
      </c>
      <c r="J20" s="12" t="n">
        <f aca="false">INDEX(Destination!$G$2:$G$501,MATCH(D20,Destination!$A$2:$A$501,0))</f>
        <v>75.88</v>
      </c>
      <c r="K20" s="17" t="n">
        <f aca="false">Assumptions!$B$2*2*ASIN(SQRT(SIN(RADIANS(I20-G20)/2)^2+COS(RADIANS(G20))*COS(RADIANS(I20))*SIN(RADIANS(J20-H20)/2)^2))</f>
        <v>97.8403944111808</v>
      </c>
      <c r="L20" s="18" t="n">
        <f aca="false">K20*Assumptions!$B$3</f>
        <v>127.192512734535</v>
      </c>
      <c r="M20" s="19" t="n">
        <f aca="false">L20/Assumptions!$B$4</f>
        <v>2.82650028298967</v>
      </c>
      <c r="N20" s="9" t="s">
        <v>1365</v>
      </c>
    </row>
    <row r="21" customFormat="false" ht="15" hidden="false" customHeight="false" outlineLevel="0" collapsed="false">
      <c r="A21" s="9" t="s">
        <v>1384</v>
      </c>
      <c r="B21" s="9" t="s">
        <v>84</v>
      </c>
      <c r="C21" s="9" t="str">
        <f aca="false">IFERROR(INDEX(Destination!$B$2:$B$501,MATCH(B21,Destination!$A$2:$A$501,0)),"")</f>
        <v>Hampi</v>
      </c>
      <c r="D21" s="9" t="s">
        <v>387</v>
      </c>
      <c r="E21" s="9" t="str">
        <f aca="false">IFERROR(INDEX(Destination!$B$2:$B$501,MATCH(D21,Destination!$A$2:$A$501,0)),"")</f>
        <v>Pattadakal</v>
      </c>
      <c r="F21" s="9" t="s">
        <v>1364</v>
      </c>
      <c r="G21" s="12" t="n">
        <f aca="false">INDEX(Destination!$F$2:$F$501,MATCH(B21,Destination!$A$2:$A$501,0))</f>
        <v>15.34</v>
      </c>
      <c r="H21" s="12" t="n">
        <f aca="false">INDEX(Destination!$G$2:$G$501,MATCH(B21,Destination!$A$2:$A$501,0))</f>
        <v>76.46</v>
      </c>
      <c r="I21" s="12" t="n">
        <f aca="false">INDEX(Destination!$F$2:$F$501,MATCH(D21,Destination!$A$2:$A$501,0))</f>
        <v>15.95</v>
      </c>
      <c r="J21" s="12" t="n">
        <f aca="false">INDEX(Destination!$G$2:$G$501,MATCH(D21,Destination!$A$2:$A$501,0))</f>
        <v>75.82</v>
      </c>
      <c r="K21" s="17" t="n">
        <f aca="false">Assumptions!$B$2*2*ASIN(SQRT(SIN(RADIANS(I21-G21)/2)^2+COS(RADIANS(G21))*COS(RADIANS(I21))*SIN(RADIANS(J21-H21)/2)^2))</f>
        <v>96.4199809813769</v>
      </c>
      <c r="L21" s="18" t="n">
        <f aca="false">K21*Assumptions!$B$3</f>
        <v>125.34597527579</v>
      </c>
      <c r="M21" s="19" t="n">
        <f aca="false">L21/Assumptions!$B$4</f>
        <v>2.78546611723978</v>
      </c>
      <c r="N21" s="9" t="s">
        <v>1365</v>
      </c>
    </row>
    <row r="22" customFormat="false" ht="15" hidden="false" customHeight="false" outlineLevel="0" collapsed="false">
      <c r="A22" s="9" t="s">
        <v>1385</v>
      </c>
      <c r="B22" s="9" t="s">
        <v>88</v>
      </c>
      <c r="C22" s="9" t="str">
        <f aca="false">IFERROR(INDEX(Destination!$B$2:$B$501,MATCH(B22,Destination!$A$2:$A$501,0)),"")</f>
        <v>Munnar</v>
      </c>
      <c r="D22" s="9" t="s">
        <v>445</v>
      </c>
      <c r="E22" s="9" t="str">
        <f aca="false">IFERROR(INDEX(Destination!$B$2:$B$501,MATCH(D22,Destination!$A$2:$A$501,0)),"")</f>
        <v>Kodaikanal</v>
      </c>
      <c r="F22" s="9" t="s">
        <v>1364</v>
      </c>
      <c r="G22" s="12" t="n">
        <f aca="false">INDEX(Destination!$F$2:$F$501,MATCH(B22,Destination!$A$2:$A$501,0))</f>
        <v>10.09</v>
      </c>
      <c r="H22" s="12" t="n">
        <f aca="false">INDEX(Destination!$G$2:$G$501,MATCH(B22,Destination!$A$2:$A$501,0))</f>
        <v>77.06</v>
      </c>
      <c r="I22" s="12" t="n">
        <f aca="false">INDEX(Destination!$F$2:$F$501,MATCH(D22,Destination!$A$2:$A$501,0))</f>
        <v>10.24</v>
      </c>
      <c r="J22" s="12" t="n">
        <f aca="false">INDEX(Destination!$G$2:$G$501,MATCH(D22,Destination!$A$2:$A$501,0))</f>
        <v>77.49</v>
      </c>
      <c r="K22" s="17" t="n">
        <f aca="false">Assumptions!$B$2*2*ASIN(SQRT(SIN(RADIANS(I22-G22)/2)^2+COS(RADIANS(G22))*COS(RADIANS(I22))*SIN(RADIANS(J22-H22)/2)^2))</f>
        <v>49.9314609210635</v>
      </c>
      <c r="L22" s="18" t="n">
        <f aca="false">K22*Assumptions!$B$3</f>
        <v>64.9108991973826</v>
      </c>
      <c r="M22" s="19" t="n">
        <f aca="false">L22/Assumptions!$B$4</f>
        <v>1.4424644266085</v>
      </c>
      <c r="N22" s="9" t="s">
        <v>1365</v>
      </c>
    </row>
    <row r="23" customFormat="false" ht="15" hidden="false" customHeight="false" outlineLevel="0" collapsed="false">
      <c r="A23" s="9" t="s">
        <v>1386</v>
      </c>
      <c r="B23" s="9" t="s">
        <v>88</v>
      </c>
      <c r="C23" s="9" t="str">
        <f aca="false">IFERROR(INDEX(Destination!$B$2:$B$501,MATCH(B23,Destination!$A$2:$A$501,0)),"")</f>
        <v>Munnar</v>
      </c>
      <c r="D23" s="9" t="s">
        <v>478</v>
      </c>
      <c r="E23" s="9" t="str">
        <f aca="false">IFERROR(INDEX(Destination!$B$2:$B$501,MATCH(D23,Destination!$A$2:$A$501,0)),"")</f>
        <v>Valparai</v>
      </c>
      <c r="F23" s="9" t="s">
        <v>1364</v>
      </c>
      <c r="G23" s="12" t="n">
        <f aca="false">INDEX(Destination!$F$2:$F$501,MATCH(B23,Destination!$A$2:$A$501,0))</f>
        <v>10.09</v>
      </c>
      <c r="H23" s="12" t="n">
        <f aca="false">INDEX(Destination!$G$2:$G$501,MATCH(B23,Destination!$A$2:$A$501,0))</f>
        <v>77.06</v>
      </c>
      <c r="I23" s="12" t="n">
        <f aca="false">INDEX(Destination!$F$2:$F$501,MATCH(D23,Destination!$A$2:$A$501,0))</f>
        <v>10.33</v>
      </c>
      <c r="J23" s="12" t="n">
        <f aca="false">INDEX(Destination!$G$2:$G$501,MATCH(D23,Destination!$A$2:$A$501,0))</f>
        <v>76.96</v>
      </c>
      <c r="K23" s="17" t="n">
        <f aca="false">Assumptions!$B$2*2*ASIN(SQRT(SIN(RADIANS(I23-G23)/2)^2+COS(RADIANS(G23))*COS(RADIANS(I23))*SIN(RADIANS(J23-H23)/2)^2))</f>
        <v>28.8434122078477</v>
      </c>
      <c r="L23" s="18" t="n">
        <f aca="false">K23*Assumptions!$B$3</f>
        <v>37.4964358702021</v>
      </c>
      <c r="M23" s="19" t="n">
        <f aca="false">L23/Assumptions!$B$4</f>
        <v>0.833254130448935</v>
      </c>
      <c r="N23" s="9" t="s">
        <v>1365</v>
      </c>
    </row>
    <row r="24" customFormat="false" ht="15" hidden="false" customHeight="false" outlineLevel="0" collapsed="false">
      <c r="A24" s="9" t="s">
        <v>1387</v>
      </c>
      <c r="B24" s="9" t="s">
        <v>88</v>
      </c>
      <c r="C24" s="9" t="str">
        <f aca="false">IFERROR(INDEX(Destination!$B$2:$B$501,MATCH(B24,Destination!$A$2:$A$501,0)),"")</f>
        <v>Munnar</v>
      </c>
      <c r="D24" s="9" t="s">
        <v>516</v>
      </c>
      <c r="E24" s="9" t="str">
        <f aca="false">IFERROR(INDEX(Destination!$B$2:$B$501,MATCH(D24,Destination!$A$2:$A$501,0)),"")</f>
        <v>Vagamon</v>
      </c>
      <c r="F24" s="9" t="s">
        <v>1364</v>
      </c>
      <c r="G24" s="12" t="n">
        <f aca="false">INDEX(Destination!$F$2:$F$501,MATCH(B24,Destination!$A$2:$A$501,0))</f>
        <v>10.09</v>
      </c>
      <c r="H24" s="12" t="n">
        <f aca="false">INDEX(Destination!$G$2:$G$501,MATCH(B24,Destination!$A$2:$A$501,0))</f>
        <v>77.06</v>
      </c>
      <c r="I24" s="12" t="n">
        <f aca="false">INDEX(Destination!$F$2:$F$501,MATCH(D24,Destination!$A$2:$A$501,0))</f>
        <v>9.69</v>
      </c>
      <c r="J24" s="12" t="n">
        <f aca="false">INDEX(Destination!$G$2:$G$501,MATCH(D24,Destination!$A$2:$A$501,0))</f>
        <v>76.9</v>
      </c>
      <c r="K24" s="17" t="n">
        <f aca="false">Assumptions!$B$2*2*ASIN(SQRT(SIN(RADIANS(I24-G24)/2)^2+COS(RADIANS(G24))*COS(RADIANS(I24))*SIN(RADIANS(J24-H24)/2)^2))</f>
        <v>47.8066647287376</v>
      </c>
      <c r="L24" s="18" t="n">
        <f aca="false">K24*Assumptions!$B$3</f>
        <v>62.1486641473588</v>
      </c>
      <c r="M24" s="19" t="n">
        <f aca="false">L24/Assumptions!$B$4</f>
        <v>1.38108142549686</v>
      </c>
      <c r="N24" s="9" t="s">
        <v>1365</v>
      </c>
    </row>
    <row r="25" customFormat="false" ht="15" hidden="false" customHeight="false" outlineLevel="0" collapsed="false">
      <c r="A25" s="9" t="s">
        <v>1388</v>
      </c>
      <c r="B25" s="9" t="s">
        <v>88</v>
      </c>
      <c r="C25" s="9" t="str">
        <f aca="false">IFERROR(INDEX(Destination!$B$2:$B$501,MATCH(B25,Destination!$A$2:$A$501,0)),"")</f>
        <v>Munnar</v>
      </c>
      <c r="D25" s="9" t="s">
        <v>531</v>
      </c>
      <c r="E25" s="9" t="str">
        <f aca="false">IFERROR(INDEX(Destination!$B$2:$B$501,MATCH(D25,Destination!$A$2:$A$501,0)),"")</f>
        <v>Idukki</v>
      </c>
      <c r="F25" s="9" t="s">
        <v>1364</v>
      </c>
      <c r="G25" s="12" t="n">
        <f aca="false">INDEX(Destination!$F$2:$F$501,MATCH(B25,Destination!$A$2:$A$501,0))</f>
        <v>10.09</v>
      </c>
      <c r="H25" s="12" t="n">
        <f aca="false">INDEX(Destination!$G$2:$G$501,MATCH(B25,Destination!$A$2:$A$501,0))</f>
        <v>77.06</v>
      </c>
      <c r="I25" s="12" t="n">
        <f aca="false">INDEX(Destination!$F$2:$F$501,MATCH(D25,Destination!$A$2:$A$501,0))</f>
        <v>9.85</v>
      </c>
      <c r="J25" s="12" t="n">
        <f aca="false">INDEX(Destination!$G$2:$G$501,MATCH(D25,Destination!$A$2:$A$501,0))</f>
        <v>76.97</v>
      </c>
      <c r="K25" s="17" t="n">
        <f aca="false">Assumptions!$B$2*2*ASIN(SQRT(SIN(RADIANS(I25-G25)/2)^2+COS(RADIANS(G25))*COS(RADIANS(I25))*SIN(RADIANS(J25-H25)/2)^2))</f>
        <v>28.4487805201594</v>
      </c>
      <c r="L25" s="18" t="n">
        <f aca="false">K25*Assumptions!$B$3</f>
        <v>36.9834146762073</v>
      </c>
      <c r="M25" s="19" t="n">
        <f aca="false">L25/Assumptions!$B$4</f>
        <v>0.821853659471272</v>
      </c>
      <c r="N25" s="9" t="s">
        <v>1365</v>
      </c>
    </row>
    <row r="26" customFormat="false" ht="15" hidden="false" customHeight="false" outlineLevel="0" collapsed="false">
      <c r="A26" s="9" t="s">
        <v>1389</v>
      </c>
      <c r="B26" s="9" t="s">
        <v>92</v>
      </c>
      <c r="C26" s="9" t="str">
        <f aca="false">IFERROR(INDEX(Destination!$B$2:$B$501,MATCH(B26,Destination!$A$2:$A$501,0)),"")</f>
        <v>Rameswaram</v>
      </c>
      <c r="D26" s="9" t="s">
        <v>465</v>
      </c>
      <c r="E26" s="9" t="str">
        <f aca="false">IFERROR(INDEX(Destination!$B$2:$B$501,MATCH(D26,Destination!$A$2:$A$501,0)),"")</f>
        <v>Dhanushkodi</v>
      </c>
      <c r="F26" s="9" t="s">
        <v>1364</v>
      </c>
      <c r="G26" s="12" t="n">
        <f aca="false">INDEX(Destination!$F$2:$F$501,MATCH(B26,Destination!$A$2:$A$501,0))</f>
        <v>9.29</v>
      </c>
      <c r="H26" s="12" t="n">
        <f aca="false">INDEX(Destination!$G$2:$G$501,MATCH(B26,Destination!$A$2:$A$501,0))</f>
        <v>79.31</v>
      </c>
      <c r="I26" s="12" t="n">
        <f aca="false">INDEX(Destination!$F$2:$F$501,MATCH(D26,Destination!$A$2:$A$501,0))</f>
        <v>9.18</v>
      </c>
      <c r="J26" s="12" t="n">
        <f aca="false">INDEX(Destination!$G$2:$G$501,MATCH(D26,Destination!$A$2:$A$501,0))</f>
        <v>79.41</v>
      </c>
      <c r="K26" s="17" t="n">
        <f aca="false">Assumptions!$B$2*2*ASIN(SQRT(SIN(RADIANS(I26-G26)/2)^2+COS(RADIANS(G26))*COS(RADIANS(I26))*SIN(RADIANS(J26-H26)/2)^2))</f>
        <v>16.4337092265829</v>
      </c>
      <c r="L26" s="18" t="n">
        <f aca="false">K26*Assumptions!$B$3</f>
        <v>21.3638219945578</v>
      </c>
      <c r="M26" s="19" t="n">
        <f aca="false">L26/Assumptions!$B$4</f>
        <v>0.474751599879063</v>
      </c>
      <c r="N26" s="9" t="s">
        <v>1365</v>
      </c>
    </row>
    <row r="27" customFormat="false" ht="15" hidden="false" customHeight="false" outlineLevel="0" collapsed="false">
      <c r="A27" s="9" t="s">
        <v>1390</v>
      </c>
      <c r="B27" s="9" t="s">
        <v>92</v>
      </c>
      <c r="C27" s="9" t="str">
        <f aca="false">IFERROR(INDEX(Destination!$B$2:$B$501,MATCH(B27,Destination!$A$2:$A$501,0)),"")</f>
        <v>Rameswaram</v>
      </c>
      <c r="D27" s="9" t="s">
        <v>467</v>
      </c>
      <c r="E27" s="9" t="str">
        <f aca="false">IFERROR(INDEX(Destination!$B$2:$B$501,MATCH(D27,Destination!$A$2:$A$501,0)),"")</f>
        <v>Chettinad</v>
      </c>
      <c r="F27" s="9" t="s">
        <v>1364</v>
      </c>
      <c r="G27" s="12" t="n">
        <f aca="false">INDEX(Destination!$F$2:$F$501,MATCH(B27,Destination!$A$2:$A$501,0))</f>
        <v>9.29</v>
      </c>
      <c r="H27" s="12" t="n">
        <f aca="false">INDEX(Destination!$G$2:$G$501,MATCH(B27,Destination!$A$2:$A$501,0))</f>
        <v>79.31</v>
      </c>
      <c r="I27" s="12" t="n">
        <f aca="false">INDEX(Destination!$F$2:$F$501,MATCH(D27,Destination!$A$2:$A$501,0))</f>
        <v>10.07</v>
      </c>
      <c r="J27" s="12" t="n">
        <f aca="false">INDEX(Destination!$G$2:$G$501,MATCH(D27,Destination!$A$2:$A$501,0))</f>
        <v>78.78</v>
      </c>
      <c r="K27" s="17" t="n">
        <f aca="false">Assumptions!$B$2*2*ASIN(SQRT(SIN(RADIANS(I27-G27)/2)^2+COS(RADIANS(G27))*COS(RADIANS(I27))*SIN(RADIANS(J27-H27)/2)^2))</f>
        <v>104.39027568502</v>
      </c>
      <c r="L27" s="18" t="n">
        <f aca="false">K27*Assumptions!$B$3</f>
        <v>135.707358390526</v>
      </c>
      <c r="M27" s="19" t="n">
        <f aca="false">L27/Assumptions!$B$4</f>
        <v>3.01571907534502</v>
      </c>
      <c r="N27" s="9" t="s">
        <v>1365</v>
      </c>
    </row>
    <row r="28" customFormat="false" ht="15" hidden="false" customHeight="false" outlineLevel="0" collapsed="false">
      <c r="A28" s="9" t="s">
        <v>1391</v>
      </c>
      <c r="B28" s="9" t="s">
        <v>92</v>
      </c>
      <c r="C28" s="9" t="str">
        <f aca="false">IFERROR(INDEX(Destination!$B$2:$B$501,MATCH(B28,Destination!$A$2:$A$501,0)),"")</f>
        <v>Rameswaram</v>
      </c>
      <c r="D28" s="9" t="s">
        <v>470</v>
      </c>
      <c r="E28" s="9" t="str">
        <f aca="false">IFERROR(INDEX(Destination!$B$2:$B$501,MATCH(D28,Destination!$A$2:$A$501,0)),"")</f>
        <v>Karaikudi</v>
      </c>
      <c r="F28" s="9" t="s">
        <v>1364</v>
      </c>
      <c r="G28" s="12" t="n">
        <f aca="false">INDEX(Destination!$F$2:$F$501,MATCH(B28,Destination!$A$2:$A$501,0))</f>
        <v>9.29</v>
      </c>
      <c r="H28" s="12" t="n">
        <f aca="false">INDEX(Destination!$G$2:$G$501,MATCH(B28,Destination!$A$2:$A$501,0))</f>
        <v>79.31</v>
      </c>
      <c r="I28" s="12" t="n">
        <f aca="false">INDEX(Destination!$F$2:$F$501,MATCH(D28,Destination!$A$2:$A$501,0))</f>
        <v>10.07</v>
      </c>
      <c r="J28" s="12" t="n">
        <f aca="false">INDEX(Destination!$G$2:$G$501,MATCH(D28,Destination!$A$2:$A$501,0))</f>
        <v>78.78</v>
      </c>
      <c r="K28" s="17" t="n">
        <f aca="false">Assumptions!$B$2*2*ASIN(SQRT(SIN(RADIANS(I28-G28)/2)^2+COS(RADIANS(G28))*COS(RADIANS(I28))*SIN(RADIANS(J28-H28)/2)^2))</f>
        <v>104.39027568502</v>
      </c>
      <c r="L28" s="18" t="n">
        <f aca="false">K28*Assumptions!$B$3</f>
        <v>135.707358390526</v>
      </c>
      <c r="M28" s="19" t="n">
        <f aca="false">L28/Assumptions!$B$4</f>
        <v>3.01571907534502</v>
      </c>
      <c r="N28" s="9" t="s">
        <v>1365</v>
      </c>
    </row>
    <row r="29" customFormat="false" ht="15" hidden="false" customHeight="false" outlineLevel="0" collapsed="false">
      <c r="A29" s="9" t="s">
        <v>1392</v>
      </c>
      <c r="B29" s="9" t="s">
        <v>96</v>
      </c>
      <c r="C29" s="9" t="str">
        <f aca="false">IFERROR(INDEX(Destination!$B$2:$B$501,MATCH(B29,Destination!$A$2:$A$501,0)),"")</f>
        <v>Goa</v>
      </c>
      <c r="D29" s="9" t="s">
        <v>344</v>
      </c>
      <c r="E29" s="9" t="str">
        <f aca="false">IFERROR(INDEX(Destination!$B$2:$B$501,MATCH(D29,Destination!$A$2:$A$501,0)),"")</f>
        <v>South Goa</v>
      </c>
      <c r="F29" s="9" t="s">
        <v>1364</v>
      </c>
      <c r="G29" s="12" t="n">
        <f aca="false">INDEX(Destination!$F$2:$F$501,MATCH(B29,Destination!$A$2:$A$501,0))</f>
        <v>15.3</v>
      </c>
      <c r="H29" s="12" t="n">
        <f aca="false">INDEX(Destination!$G$2:$G$501,MATCH(B29,Destination!$A$2:$A$501,0))</f>
        <v>74</v>
      </c>
      <c r="I29" s="12" t="n">
        <f aca="false">INDEX(Destination!$F$2:$F$501,MATCH(D29,Destination!$A$2:$A$501,0))</f>
        <v>15.2</v>
      </c>
      <c r="J29" s="12" t="n">
        <f aca="false">INDEX(Destination!$G$2:$G$501,MATCH(D29,Destination!$A$2:$A$501,0))</f>
        <v>74</v>
      </c>
      <c r="K29" s="17" t="n">
        <f aca="false">Assumptions!$B$2*2*ASIN(SQRT(SIN(RADIANS(I29-G29)/2)^2+COS(RADIANS(G29))*COS(RADIANS(I29))*SIN(RADIANS(J29-H29)/2)^2))</f>
        <v>11.119492664456</v>
      </c>
      <c r="L29" s="18" t="n">
        <f aca="false">K29*Assumptions!$B$3</f>
        <v>14.4553404637928</v>
      </c>
      <c r="M29" s="19" t="n">
        <f aca="false">L29/Assumptions!$B$4</f>
        <v>0.321229788084285</v>
      </c>
      <c r="N29" s="9" t="s">
        <v>1365</v>
      </c>
    </row>
    <row r="30" customFormat="false" ht="15" hidden="false" customHeight="false" outlineLevel="0" collapsed="false">
      <c r="A30" s="9" t="s">
        <v>1393</v>
      </c>
      <c r="B30" s="9" t="s">
        <v>96</v>
      </c>
      <c r="C30" s="9" t="str">
        <f aca="false">IFERROR(INDEX(Destination!$B$2:$B$501,MATCH(B30,Destination!$A$2:$A$501,0)),"")</f>
        <v>Goa</v>
      </c>
      <c r="D30" s="9" t="s">
        <v>356</v>
      </c>
      <c r="E30" s="9" t="str">
        <f aca="false">IFERROR(INDEX(Destination!$B$2:$B$501,MATCH(D30,Destination!$A$2:$A$501,0)),"")</f>
        <v>Palolem</v>
      </c>
      <c r="F30" s="9" t="s">
        <v>1364</v>
      </c>
      <c r="G30" s="12" t="n">
        <f aca="false">INDEX(Destination!$F$2:$F$501,MATCH(B30,Destination!$A$2:$A$501,0))</f>
        <v>15.3</v>
      </c>
      <c r="H30" s="12" t="n">
        <f aca="false">INDEX(Destination!$G$2:$G$501,MATCH(B30,Destination!$A$2:$A$501,0))</f>
        <v>74</v>
      </c>
      <c r="I30" s="12" t="n">
        <f aca="false">INDEX(Destination!$F$2:$F$501,MATCH(D30,Destination!$A$2:$A$501,0))</f>
        <v>15.01</v>
      </c>
      <c r="J30" s="12" t="n">
        <f aca="false">INDEX(Destination!$G$2:$G$501,MATCH(D30,Destination!$A$2:$A$501,0))</f>
        <v>74.02</v>
      </c>
      <c r="K30" s="17" t="n">
        <f aca="false">Assumptions!$B$2*2*ASIN(SQRT(SIN(RADIANS(I30-G30)/2)^2+COS(RADIANS(G30))*COS(RADIANS(I30))*SIN(RADIANS(J30-H30)/2)^2))</f>
        <v>32.3178945142261</v>
      </c>
      <c r="L30" s="18" t="n">
        <f aca="false">K30*Assumptions!$B$3</f>
        <v>42.0132628684939</v>
      </c>
      <c r="M30" s="19" t="n">
        <f aca="false">L30/Assumptions!$B$4</f>
        <v>0.93362806374431</v>
      </c>
      <c r="N30" s="9" t="s">
        <v>1365</v>
      </c>
    </row>
    <row r="31" customFormat="false" ht="15" hidden="false" customHeight="false" outlineLevel="0" collapsed="false">
      <c r="A31" s="9" t="s">
        <v>1394</v>
      </c>
      <c r="B31" s="9" t="s">
        <v>96</v>
      </c>
      <c r="C31" s="9" t="str">
        <f aca="false">IFERROR(INDEX(Destination!$B$2:$B$501,MATCH(B31,Destination!$A$2:$A$501,0)),"")</f>
        <v>Goa</v>
      </c>
      <c r="D31" s="9" t="s">
        <v>360</v>
      </c>
      <c r="E31" s="9" t="str">
        <f aca="false">IFERROR(INDEX(Destination!$B$2:$B$501,MATCH(D31,Destination!$A$2:$A$501,0)),"")</f>
        <v>Old Goa</v>
      </c>
      <c r="F31" s="9" t="s">
        <v>1364</v>
      </c>
      <c r="G31" s="12" t="n">
        <f aca="false">INDEX(Destination!$F$2:$F$501,MATCH(B31,Destination!$A$2:$A$501,0))</f>
        <v>15.3</v>
      </c>
      <c r="H31" s="12" t="n">
        <f aca="false">INDEX(Destination!$G$2:$G$501,MATCH(B31,Destination!$A$2:$A$501,0))</f>
        <v>74</v>
      </c>
      <c r="I31" s="12" t="n">
        <f aca="false">INDEX(Destination!$F$2:$F$501,MATCH(D31,Destination!$A$2:$A$501,0))</f>
        <v>15.5</v>
      </c>
      <c r="J31" s="12" t="n">
        <f aca="false">INDEX(Destination!$G$2:$G$501,MATCH(D31,Destination!$A$2:$A$501,0))</f>
        <v>73.91</v>
      </c>
      <c r="K31" s="17" t="n">
        <f aca="false">Assumptions!$B$2*2*ASIN(SQRT(SIN(RADIANS(I31-G31)/2)^2+COS(RADIANS(G31))*COS(RADIANS(I31))*SIN(RADIANS(J31-H31)/2)^2))</f>
        <v>24.2417125540894</v>
      </c>
      <c r="L31" s="18" t="n">
        <f aca="false">K31*Assumptions!$B$3</f>
        <v>31.5142263203163</v>
      </c>
      <c r="M31" s="19" t="n">
        <f aca="false">L31/Assumptions!$B$4</f>
        <v>0.700316140451473</v>
      </c>
      <c r="N31" s="9" t="s">
        <v>1365</v>
      </c>
    </row>
    <row r="32" customFormat="false" ht="15" hidden="false" customHeight="false" outlineLevel="0" collapsed="false">
      <c r="A32" s="9" t="s">
        <v>1395</v>
      </c>
      <c r="B32" s="9" t="s">
        <v>96</v>
      </c>
      <c r="C32" s="9" t="str">
        <f aca="false">IFERROR(INDEX(Destination!$B$2:$B$501,MATCH(B32,Destination!$A$2:$A$501,0)),"")</f>
        <v>Goa</v>
      </c>
      <c r="D32" s="9" t="s">
        <v>362</v>
      </c>
      <c r="E32" s="9" t="str">
        <f aca="false">IFERROR(INDEX(Destination!$B$2:$B$501,MATCH(D32,Destination!$A$2:$A$501,0)),"")</f>
        <v>Dudhsagar</v>
      </c>
      <c r="F32" s="9" t="s">
        <v>1364</v>
      </c>
      <c r="G32" s="12" t="n">
        <f aca="false">INDEX(Destination!$F$2:$F$501,MATCH(B32,Destination!$A$2:$A$501,0))</f>
        <v>15.3</v>
      </c>
      <c r="H32" s="12" t="n">
        <f aca="false">INDEX(Destination!$G$2:$G$501,MATCH(B32,Destination!$A$2:$A$501,0))</f>
        <v>74</v>
      </c>
      <c r="I32" s="12" t="n">
        <f aca="false">INDEX(Destination!$F$2:$F$501,MATCH(D32,Destination!$A$2:$A$501,0))</f>
        <v>15.31</v>
      </c>
      <c r="J32" s="12" t="n">
        <f aca="false">INDEX(Destination!$G$2:$G$501,MATCH(D32,Destination!$A$2:$A$501,0))</f>
        <v>74.31</v>
      </c>
      <c r="K32" s="17" t="n">
        <f aca="false">Assumptions!$B$2*2*ASIN(SQRT(SIN(RADIANS(I32-G32)/2)^2+COS(RADIANS(G32))*COS(RADIANS(I32))*SIN(RADIANS(J32-H32)/2)^2))</f>
        <v>33.2664984897192</v>
      </c>
      <c r="L32" s="18" t="n">
        <f aca="false">K32*Assumptions!$B$3</f>
        <v>43.2464480366349</v>
      </c>
      <c r="M32" s="19" t="n">
        <f aca="false">L32/Assumptions!$B$4</f>
        <v>0.961032178591887</v>
      </c>
      <c r="N32" s="9" t="s">
        <v>1365</v>
      </c>
    </row>
    <row r="33" customFormat="false" ht="15" hidden="false" customHeight="false" outlineLevel="0" collapsed="false">
      <c r="A33" s="9" t="s">
        <v>1396</v>
      </c>
      <c r="B33" s="9" t="s">
        <v>96</v>
      </c>
      <c r="C33" s="9" t="str">
        <f aca="false">IFERROR(INDEX(Destination!$B$2:$B$501,MATCH(B33,Destination!$A$2:$A$501,0)),"")</f>
        <v>Goa</v>
      </c>
      <c r="D33" s="9" t="s">
        <v>368</v>
      </c>
      <c r="E33" s="9" t="str">
        <f aca="false">IFERROR(INDEX(Destination!$B$2:$B$501,MATCH(D33,Destination!$A$2:$A$501,0)),"")</f>
        <v>Agonda</v>
      </c>
      <c r="F33" s="9" t="s">
        <v>1364</v>
      </c>
      <c r="G33" s="12" t="n">
        <f aca="false">INDEX(Destination!$F$2:$F$501,MATCH(B33,Destination!$A$2:$A$501,0))</f>
        <v>15.3</v>
      </c>
      <c r="H33" s="12" t="n">
        <f aca="false">INDEX(Destination!$G$2:$G$501,MATCH(B33,Destination!$A$2:$A$501,0))</f>
        <v>74</v>
      </c>
      <c r="I33" s="12" t="n">
        <f aca="false">INDEX(Destination!$F$2:$F$501,MATCH(D33,Destination!$A$2:$A$501,0))</f>
        <v>15.05</v>
      </c>
      <c r="J33" s="12" t="n">
        <f aca="false">INDEX(Destination!$G$2:$G$501,MATCH(D33,Destination!$A$2:$A$501,0))</f>
        <v>73.99</v>
      </c>
      <c r="K33" s="17" t="n">
        <f aca="false">Assumptions!$B$2*2*ASIN(SQRT(SIN(RADIANS(I33-G33)/2)^2+COS(RADIANS(G33))*COS(RADIANS(I33))*SIN(RADIANS(J33-H33)/2)^2))</f>
        <v>27.8194390223016</v>
      </c>
      <c r="L33" s="18" t="n">
        <f aca="false">K33*Assumptions!$B$3</f>
        <v>36.1652707289921</v>
      </c>
      <c r="M33" s="19" t="n">
        <f aca="false">L33/Assumptions!$B$4</f>
        <v>0.80367268286649</v>
      </c>
      <c r="N33" s="9" t="s">
        <v>1365</v>
      </c>
    </row>
    <row r="34" customFormat="false" ht="15" hidden="false" customHeight="false" outlineLevel="0" collapsed="false">
      <c r="A34" s="9" t="s">
        <v>1397</v>
      </c>
      <c r="B34" s="9" t="s">
        <v>96</v>
      </c>
      <c r="C34" s="9" t="str">
        <f aca="false">IFERROR(INDEX(Destination!$B$2:$B$501,MATCH(B34,Destination!$A$2:$A$501,0)),"")</f>
        <v>Goa</v>
      </c>
      <c r="D34" s="9" t="s">
        <v>401</v>
      </c>
      <c r="E34" s="9" t="str">
        <f aca="false">IFERROR(INDEX(Destination!$B$2:$B$501,MATCH(D34,Destination!$A$2:$A$501,0)),"")</f>
        <v>Dandeli</v>
      </c>
      <c r="F34" s="9" t="s">
        <v>1364</v>
      </c>
      <c r="G34" s="12" t="n">
        <f aca="false">INDEX(Destination!$F$2:$F$501,MATCH(B34,Destination!$A$2:$A$501,0))</f>
        <v>15.3</v>
      </c>
      <c r="H34" s="12" t="n">
        <f aca="false">INDEX(Destination!$G$2:$G$501,MATCH(B34,Destination!$A$2:$A$501,0))</f>
        <v>74</v>
      </c>
      <c r="I34" s="12" t="n">
        <f aca="false">INDEX(Destination!$F$2:$F$501,MATCH(D34,Destination!$A$2:$A$501,0))</f>
        <v>15.27</v>
      </c>
      <c r="J34" s="12" t="n">
        <f aca="false">INDEX(Destination!$G$2:$G$501,MATCH(D34,Destination!$A$2:$A$501,0))</f>
        <v>74.62</v>
      </c>
      <c r="K34" s="17" t="n">
        <f aca="false">Assumptions!$B$2*2*ASIN(SQRT(SIN(RADIANS(I34-G34)/2)^2+COS(RADIANS(G34))*COS(RADIANS(I34))*SIN(RADIANS(J34-H34)/2)^2))</f>
        <v>66.5857624697799</v>
      </c>
      <c r="L34" s="18" t="n">
        <f aca="false">K34*Assumptions!$B$3</f>
        <v>86.5614912107139</v>
      </c>
      <c r="M34" s="19" t="n">
        <f aca="false">L34/Assumptions!$B$4</f>
        <v>1.92358869357142</v>
      </c>
      <c r="N34" s="9" t="s">
        <v>1365</v>
      </c>
    </row>
    <row r="35" customFormat="false" ht="15" hidden="false" customHeight="false" outlineLevel="0" collapsed="false">
      <c r="A35" s="9" t="s">
        <v>1398</v>
      </c>
      <c r="B35" s="9" t="s">
        <v>101</v>
      </c>
      <c r="C35" s="9" t="str">
        <f aca="false">IFERROR(INDEX(Destination!$B$2:$B$501,MATCH(B35,Destination!$A$2:$A$501,0)),"")</f>
        <v>Leh</v>
      </c>
      <c r="D35" s="9" t="s">
        <v>159</v>
      </c>
      <c r="E35" s="9" t="str">
        <f aca="false">IFERROR(INDEX(Destination!$B$2:$B$501,MATCH(D35,Destination!$A$2:$A$501,0)),"")</f>
        <v>Nubra Valley</v>
      </c>
      <c r="F35" s="9" t="s">
        <v>1364</v>
      </c>
      <c r="G35" s="12" t="n">
        <f aca="false">INDEX(Destination!$F$2:$F$501,MATCH(B35,Destination!$A$2:$A$501,0))</f>
        <v>34.16</v>
      </c>
      <c r="H35" s="12" t="n">
        <f aca="false">INDEX(Destination!$G$2:$G$501,MATCH(B35,Destination!$A$2:$A$501,0))</f>
        <v>77.58</v>
      </c>
      <c r="I35" s="12" t="n">
        <f aca="false">INDEX(Destination!$F$2:$F$501,MATCH(D35,Destination!$A$2:$A$501,0))</f>
        <v>34.68</v>
      </c>
      <c r="J35" s="12" t="n">
        <f aca="false">INDEX(Destination!$G$2:$G$501,MATCH(D35,Destination!$A$2:$A$501,0))</f>
        <v>77.56</v>
      </c>
      <c r="K35" s="17" t="n">
        <f aca="false">Assumptions!$B$2*2*ASIN(SQRT(SIN(RADIANS(I35-G35)/2)^2+COS(RADIANS(G35))*COS(RADIANS(I35))*SIN(RADIANS(J35-H35)/2)^2))</f>
        <v>57.850456623018</v>
      </c>
      <c r="L35" s="18" t="n">
        <f aca="false">K35*Assumptions!$B$3</f>
        <v>75.2055936099234</v>
      </c>
      <c r="M35" s="19" t="n">
        <f aca="false">L35/Assumptions!$B$4</f>
        <v>1.67123541355385</v>
      </c>
      <c r="N35" s="9" t="s">
        <v>1365</v>
      </c>
    </row>
    <row r="36" customFormat="false" ht="15" hidden="false" customHeight="false" outlineLevel="0" collapsed="false">
      <c r="A36" s="9" t="s">
        <v>1399</v>
      </c>
      <c r="B36" s="9" t="s">
        <v>101</v>
      </c>
      <c r="C36" s="9" t="str">
        <f aca="false">IFERROR(INDEX(Destination!$B$2:$B$501,MATCH(B36,Destination!$A$2:$A$501,0)),"")</f>
        <v>Leh</v>
      </c>
      <c r="D36" s="9" t="s">
        <v>161</v>
      </c>
      <c r="E36" s="9" t="str">
        <f aca="false">IFERROR(INDEX(Destination!$B$2:$B$501,MATCH(D36,Destination!$A$2:$A$501,0)),"")</f>
        <v>Pangong Lake</v>
      </c>
      <c r="F36" s="9" t="s">
        <v>1364</v>
      </c>
      <c r="G36" s="12" t="n">
        <f aca="false">INDEX(Destination!$F$2:$F$501,MATCH(B36,Destination!$A$2:$A$501,0))</f>
        <v>34.16</v>
      </c>
      <c r="H36" s="12" t="n">
        <f aca="false">INDEX(Destination!$G$2:$G$501,MATCH(B36,Destination!$A$2:$A$501,0))</f>
        <v>77.58</v>
      </c>
      <c r="I36" s="12" t="n">
        <f aca="false">INDEX(Destination!$F$2:$F$501,MATCH(D36,Destination!$A$2:$A$501,0))</f>
        <v>33.75</v>
      </c>
      <c r="J36" s="12" t="n">
        <f aca="false">INDEX(Destination!$G$2:$G$501,MATCH(D36,Destination!$A$2:$A$501,0))</f>
        <v>78.66</v>
      </c>
      <c r="K36" s="17" t="n">
        <f aca="false">Assumptions!$B$2*2*ASIN(SQRT(SIN(RADIANS(I36-G36)/2)^2+COS(RADIANS(G36))*COS(RADIANS(I36))*SIN(RADIANS(J36-H36)/2)^2))</f>
        <v>109.548403248245</v>
      </c>
      <c r="L36" s="18" t="n">
        <f aca="false">K36*Assumptions!$B$3</f>
        <v>142.412924222718</v>
      </c>
      <c r="M36" s="19" t="n">
        <f aca="false">L36/Assumptions!$B$4</f>
        <v>3.16473164939374</v>
      </c>
      <c r="N36" s="9" t="s">
        <v>1365</v>
      </c>
    </row>
    <row r="37" customFormat="false" ht="15" hidden="false" customHeight="false" outlineLevel="0" collapsed="false">
      <c r="A37" s="9" t="s">
        <v>1400</v>
      </c>
      <c r="B37" s="9" t="s">
        <v>101</v>
      </c>
      <c r="C37" s="9" t="str">
        <f aca="false">IFERROR(INDEX(Destination!$B$2:$B$501,MATCH(B37,Destination!$A$2:$A$501,0)),"")</f>
        <v>Leh</v>
      </c>
      <c r="D37" s="9" t="s">
        <v>919</v>
      </c>
      <c r="E37" s="9" t="str">
        <f aca="false">IFERROR(INDEX(Destination!$B$2:$B$501,MATCH(D37,Destination!$A$2:$A$501,0)),"")</f>
        <v>Alchi</v>
      </c>
      <c r="F37" s="9" t="s">
        <v>1364</v>
      </c>
      <c r="G37" s="12" t="n">
        <f aca="false">INDEX(Destination!$F$2:$F$501,MATCH(B37,Destination!$A$2:$A$501,0))</f>
        <v>34.16</v>
      </c>
      <c r="H37" s="12" t="n">
        <f aca="false">INDEX(Destination!$G$2:$G$501,MATCH(B37,Destination!$A$2:$A$501,0))</f>
        <v>77.58</v>
      </c>
      <c r="I37" s="12" t="n">
        <f aca="false">INDEX(Destination!$F$2:$F$501,MATCH(D37,Destination!$A$2:$A$501,0))</f>
        <v>34.22</v>
      </c>
      <c r="J37" s="12" t="n">
        <f aca="false">INDEX(Destination!$G$2:$G$501,MATCH(D37,Destination!$A$2:$A$501,0))</f>
        <v>77.17</v>
      </c>
      <c r="K37" s="17" t="n">
        <f aca="false">Assumptions!$B$2*2*ASIN(SQRT(SIN(RADIANS(I37-G37)/2)^2+COS(RADIANS(G37))*COS(RADIANS(I37))*SIN(RADIANS(J37-H37)/2)^2))</f>
        <v>38.2965990527798</v>
      </c>
      <c r="L37" s="18" t="n">
        <f aca="false">K37*Assumptions!$B$3</f>
        <v>49.7855787686137</v>
      </c>
      <c r="M37" s="19" t="n">
        <f aca="false">L37/Assumptions!$B$4</f>
        <v>1.10634619485808</v>
      </c>
      <c r="N37" s="9" t="s">
        <v>1365</v>
      </c>
    </row>
    <row r="38" customFormat="false" ht="15" hidden="false" customHeight="false" outlineLevel="0" collapsed="false">
      <c r="A38" s="9" t="s">
        <v>1401</v>
      </c>
      <c r="B38" s="9" t="s">
        <v>101</v>
      </c>
      <c r="C38" s="9" t="str">
        <f aca="false">IFERROR(INDEX(Destination!$B$2:$B$501,MATCH(B38,Destination!$A$2:$A$501,0)),"")</f>
        <v>Leh</v>
      </c>
      <c r="D38" s="9" t="s">
        <v>923</v>
      </c>
      <c r="E38" s="9" t="str">
        <f aca="false">IFERROR(INDEX(Destination!$B$2:$B$501,MATCH(D38,Destination!$A$2:$A$501,0)),"")</f>
        <v>Hemis</v>
      </c>
      <c r="F38" s="9" t="s">
        <v>1364</v>
      </c>
      <c r="G38" s="12" t="n">
        <f aca="false">INDEX(Destination!$F$2:$F$501,MATCH(B38,Destination!$A$2:$A$501,0))</f>
        <v>34.16</v>
      </c>
      <c r="H38" s="12" t="n">
        <f aca="false">INDEX(Destination!$G$2:$G$501,MATCH(B38,Destination!$A$2:$A$501,0))</f>
        <v>77.58</v>
      </c>
      <c r="I38" s="12" t="n">
        <f aca="false">INDEX(Destination!$F$2:$F$501,MATCH(D38,Destination!$A$2:$A$501,0))</f>
        <v>33.91</v>
      </c>
      <c r="J38" s="12" t="n">
        <f aca="false">INDEX(Destination!$G$2:$G$501,MATCH(D38,Destination!$A$2:$A$501,0))</f>
        <v>77.7</v>
      </c>
      <c r="K38" s="17" t="n">
        <f aca="false">Assumptions!$B$2*2*ASIN(SQRT(SIN(RADIANS(I38-G38)/2)^2+COS(RADIANS(G38))*COS(RADIANS(I38))*SIN(RADIANS(J38-H38)/2)^2))</f>
        <v>29.9172158599502</v>
      </c>
      <c r="L38" s="18" t="n">
        <f aca="false">K38*Assumptions!$B$3</f>
        <v>38.8923806179353</v>
      </c>
      <c r="M38" s="19" t="n">
        <f aca="false">L38/Assumptions!$B$4</f>
        <v>0.864275124843006</v>
      </c>
      <c r="N38" s="9" t="s">
        <v>1365</v>
      </c>
    </row>
    <row r="39" customFormat="false" ht="15" hidden="false" customHeight="false" outlineLevel="0" collapsed="false">
      <c r="A39" s="9" t="s">
        <v>1402</v>
      </c>
      <c r="B39" s="9" t="s">
        <v>101</v>
      </c>
      <c r="C39" s="9" t="str">
        <f aca="false">IFERROR(INDEX(Destination!$B$2:$B$501,MATCH(B39,Destination!$A$2:$A$501,0)),"")</f>
        <v>Leh</v>
      </c>
      <c r="D39" s="9" t="s">
        <v>925</v>
      </c>
      <c r="E39" s="9" t="str">
        <f aca="false">IFERROR(INDEX(Destination!$B$2:$B$501,MATCH(D39,Destination!$A$2:$A$501,0)),"")</f>
        <v>Khardung La</v>
      </c>
      <c r="F39" s="9" t="s">
        <v>1364</v>
      </c>
      <c r="G39" s="12" t="n">
        <f aca="false">INDEX(Destination!$F$2:$F$501,MATCH(B39,Destination!$A$2:$A$501,0))</f>
        <v>34.16</v>
      </c>
      <c r="H39" s="12" t="n">
        <f aca="false">INDEX(Destination!$G$2:$G$501,MATCH(B39,Destination!$A$2:$A$501,0))</f>
        <v>77.58</v>
      </c>
      <c r="I39" s="12" t="n">
        <f aca="false">INDEX(Destination!$F$2:$F$501,MATCH(D39,Destination!$A$2:$A$501,0))</f>
        <v>34.28</v>
      </c>
      <c r="J39" s="12" t="n">
        <f aca="false">INDEX(Destination!$G$2:$G$501,MATCH(D39,Destination!$A$2:$A$501,0))</f>
        <v>77.6</v>
      </c>
      <c r="K39" s="17" t="n">
        <f aca="false">Assumptions!$B$2*2*ASIN(SQRT(SIN(RADIANS(I39-G39)/2)^2+COS(RADIANS(G39))*COS(RADIANS(I39))*SIN(RADIANS(J39-H39)/2)^2))</f>
        <v>13.4695086768796</v>
      </c>
      <c r="L39" s="18" t="n">
        <f aca="false">K39*Assumptions!$B$3</f>
        <v>17.5103612799435</v>
      </c>
      <c r="M39" s="19" t="n">
        <f aca="false">L39/Assumptions!$B$4</f>
        <v>0.389119139554299</v>
      </c>
      <c r="N39" s="9" t="s">
        <v>1365</v>
      </c>
    </row>
    <row r="40" customFormat="false" ht="15" hidden="false" customHeight="false" outlineLevel="0" collapsed="false">
      <c r="A40" s="9" t="s">
        <v>1403</v>
      </c>
      <c r="B40" s="9" t="s">
        <v>101</v>
      </c>
      <c r="C40" s="9" t="str">
        <f aca="false">IFERROR(INDEX(Destination!$B$2:$B$501,MATCH(B40,Destination!$A$2:$A$501,0)),"")</f>
        <v>Leh</v>
      </c>
      <c r="D40" s="9" t="s">
        <v>927</v>
      </c>
      <c r="E40" s="9" t="str">
        <f aca="false">IFERROR(INDEX(Destination!$B$2:$B$501,MATCH(D40,Destination!$A$2:$A$501,0)),"")</f>
        <v>Magnetic Hill</v>
      </c>
      <c r="F40" s="9" t="s">
        <v>1364</v>
      </c>
      <c r="G40" s="12" t="n">
        <f aca="false">INDEX(Destination!$F$2:$F$501,MATCH(B40,Destination!$A$2:$A$501,0))</f>
        <v>34.16</v>
      </c>
      <c r="H40" s="12" t="n">
        <f aca="false">INDEX(Destination!$G$2:$G$501,MATCH(B40,Destination!$A$2:$A$501,0))</f>
        <v>77.58</v>
      </c>
      <c r="I40" s="12" t="n">
        <f aca="false">INDEX(Destination!$F$2:$F$501,MATCH(D40,Destination!$A$2:$A$501,0))</f>
        <v>34.16</v>
      </c>
      <c r="J40" s="12" t="n">
        <f aca="false">INDEX(Destination!$G$2:$G$501,MATCH(D40,Destination!$A$2:$A$501,0))</f>
        <v>77.35</v>
      </c>
      <c r="K40" s="17" t="n">
        <f aca="false">Assumptions!$B$2*2*ASIN(SQRT(SIN(RADIANS(I40-G40)/2)^2+COS(RADIANS(G40))*COS(RADIANS(I40))*SIN(RADIANS(J40-H40)/2)^2))</f>
        <v>21.1624738100459</v>
      </c>
      <c r="L40" s="18" t="n">
        <f aca="false">K40*Assumptions!$B$3</f>
        <v>27.5112159530597</v>
      </c>
      <c r="M40" s="19" t="n">
        <f aca="false">L40/Assumptions!$B$4</f>
        <v>0.611360354512437</v>
      </c>
      <c r="N40" s="9" t="s">
        <v>1365</v>
      </c>
    </row>
    <row r="41" customFormat="false" ht="15" hidden="false" customHeight="false" outlineLevel="0" collapsed="false">
      <c r="A41" s="9" t="s">
        <v>1404</v>
      </c>
      <c r="B41" s="9" t="s">
        <v>106</v>
      </c>
      <c r="C41" s="9" t="str">
        <f aca="false">IFERROR(INDEX(Destination!$B$2:$B$501,MATCH(B41,Destination!$A$2:$A$501,0)),"")</f>
        <v>Delhi</v>
      </c>
      <c r="D41" s="9" t="s">
        <v>935</v>
      </c>
      <c r="E41" s="9" t="str">
        <f aca="false">IFERROR(INDEX(Destination!$B$2:$B$501,MATCH(D41,Destination!$A$2:$A$501,0)),"")</f>
        <v>Mehrauli</v>
      </c>
      <c r="F41" s="9" t="s">
        <v>1364</v>
      </c>
      <c r="G41" s="12" t="n">
        <f aca="false">INDEX(Destination!$F$2:$F$501,MATCH(B41,Destination!$A$2:$A$501,0))</f>
        <v>28.61</v>
      </c>
      <c r="H41" s="12" t="n">
        <f aca="false">INDEX(Destination!$G$2:$G$501,MATCH(B41,Destination!$A$2:$A$501,0))</f>
        <v>77.21</v>
      </c>
      <c r="I41" s="12" t="n">
        <f aca="false">INDEX(Destination!$F$2:$F$501,MATCH(D41,Destination!$A$2:$A$501,0))</f>
        <v>28.52</v>
      </c>
      <c r="J41" s="12" t="n">
        <f aca="false">INDEX(Destination!$G$2:$G$501,MATCH(D41,Destination!$A$2:$A$501,0))</f>
        <v>77.18</v>
      </c>
      <c r="K41" s="17" t="n">
        <f aca="false">Assumptions!$B$2*2*ASIN(SQRT(SIN(RADIANS(I41-G41)/2)^2+COS(RADIANS(G41))*COS(RADIANS(I41))*SIN(RADIANS(J41-H41)/2)^2))</f>
        <v>10.4275886711352</v>
      </c>
      <c r="L41" s="18" t="n">
        <f aca="false">K41*Assumptions!$B$3</f>
        <v>13.5558652724758</v>
      </c>
      <c r="M41" s="19" t="n">
        <f aca="false">L41/Assumptions!$B$4</f>
        <v>0.301241450499461</v>
      </c>
      <c r="N41" s="9" t="s">
        <v>1365</v>
      </c>
    </row>
    <row r="42" customFormat="false" ht="15" hidden="false" customHeight="false" outlineLevel="0" collapsed="false">
      <c r="A42" s="9" t="s">
        <v>1405</v>
      </c>
      <c r="B42" s="9" t="s">
        <v>106</v>
      </c>
      <c r="C42" s="9" t="str">
        <f aca="false">IFERROR(INDEX(Destination!$B$2:$B$501,MATCH(B42,Destination!$A$2:$A$501,0)),"")</f>
        <v>Delhi</v>
      </c>
      <c r="D42" s="9" t="s">
        <v>950</v>
      </c>
      <c r="E42" s="9" t="str">
        <f aca="false">IFERROR(INDEX(Destination!$B$2:$B$501,MATCH(D42,Destination!$A$2:$A$501,0)),"")</f>
        <v>Qutub Minar</v>
      </c>
      <c r="F42" s="9" t="s">
        <v>1364</v>
      </c>
      <c r="G42" s="12" t="n">
        <f aca="false">INDEX(Destination!$F$2:$F$501,MATCH(B42,Destination!$A$2:$A$501,0))</f>
        <v>28.61</v>
      </c>
      <c r="H42" s="12" t="n">
        <f aca="false">INDEX(Destination!$G$2:$G$501,MATCH(B42,Destination!$A$2:$A$501,0))</f>
        <v>77.21</v>
      </c>
      <c r="I42" s="12" t="n">
        <f aca="false">INDEX(Destination!$F$2:$F$501,MATCH(D42,Destination!$A$2:$A$501,0))</f>
        <v>28.52</v>
      </c>
      <c r="J42" s="12" t="n">
        <f aca="false">INDEX(Destination!$G$2:$G$501,MATCH(D42,Destination!$A$2:$A$501,0))</f>
        <v>77.19</v>
      </c>
      <c r="K42" s="17" t="n">
        <f aca="false">Assumptions!$B$2*2*ASIN(SQRT(SIN(RADIANS(I42-G42)/2)^2+COS(RADIANS(G42))*COS(RADIANS(I42))*SIN(RADIANS(J42-H42)/2)^2))</f>
        <v>10.1963667079804</v>
      </c>
      <c r="L42" s="18" t="n">
        <f aca="false">K42*Assumptions!$B$3</f>
        <v>13.2552767203745</v>
      </c>
      <c r="M42" s="19" t="n">
        <f aca="false">L42/Assumptions!$B$4</f>
        <v>0.294561704897211</v>
      </c>
      <c r="N42" s="9" t="s">
        <v>1365</v>
      </c>
    </row>
    <row r="43" customFormat="false" ht="15" hidden="false" customHeight="false" outlineLevel="0" collapsed="false">
      <c r="A43" s="9" t="s">
        <v>1406</v>
      </c>
      <c r="B43" s="9" t="s">
        <v>106</v>
      </c>
      <c r="C43" s="9" t="str">
        <f aca="false">IFERROR(INDEX(Destination!$B$2:$B$501,MATCH(B43,Destination!$A$2:$A$501,0)),"")</f>
        <v>Delhi</v>
      </c>
      <c r="D43" s="9" t="s">
        <v>960</v>
      </c>
      <c r="E43" s="9" t="str">
        <f aca="false">IFERROR(INDEX(Destination!$B$2:$B$501,MATCH(D43,Destination!$A$2:$A$501,0)),"")</f>
        <v>Gurugram</v>
      </c>
      <c r="F43" s="9" t="s">
        <v>1364</v>
      </c>
      <c r="G43" s="12" t="n">
        <f aca="false">INDEX(Destination!$F$2:$F$501,MATCH(B43,Destination!$A$2:$A$501,0))</f>
        <v>28.61</v>
      </c>
      <c r="H43" s="12" t="n">
        <f aca="false">INDEX(Destination!$G$2:$G$501,MATCH(B43,Destination!$A$2:$A$501,0))</f>
        <v>77.21</v>
      </c>
      <c r="I43" s="12" t="n">
        <f aca="false">INDEX(Destination!$F$2:$F$501,MATCH(D43,Destination!$A$2:$A$501,0))</f>
        <v>28.46</v>
      </c>
      <c r="J43" s="12" t="n">
        <f aca="false">INDEX(Destination!$G$2:$G$501,MATCH(D43,Destination!$A$2:$A$501,0))</f>
        <v>77.03</v>
      </c>
      <c r="K43" s="17" t="n">
        <f aca="false">Assumptions!$B$2*2*ASIN(SQRT(SIN(RADIANS(I43-G43)/2)^2+COS(RADIANS(G43))*COS(RADIANS(I43))*SIN(RADIANS(J43-H43)/2)^2))</f>
        <v>24.2360343618959</v>
      </c>
      <c r="L43" s="18" t="n">
        <f aca="false">K43*Assumptions!$B$3</f>
        <v>31.5068446704647</v>
      </c>
      <c r="M43" s="19" t="n">
        <f aca="false">L43/Assumptions!$B$4</f>
        <v>0.700152103788104</v>
      </c>
      <c r="N43" s="9" t="s">
        <v>1365</v>
      </c>
    </row>
    <row r="44" customFormat="false" ht="15" hidden="false" customHeight="false" outlineLevel="0" collapsed="false">
      <c r="A44" s="9" t="s">
        <v>1407</v>
      </c>
      <c r="B44" s="9" t="s">
        <v>111</v>
      </c>
      <c r="C44" s="9" t="str">
        <f aca="false">IFERROR(INDEX(Destination!$B$2:$B$501,MATCH(B44,Destination!$A$2:$A$501,0)),"")</f>
        <v>Mathura</v>
      </c>
      <c r="D44" s="9" t="s">
        <v>113</v>
      </c>
      <c r="E44" s="9" t="str">
        <f aca="false">IFERROR(INDEX(Destination!$B$2:$B$501,MATCH(D44,Destination!$A$2:$A$501,0)),"")</f>
        <v>Vrindavan</v>
      </c>
      <c r="F44" s="9" t="s">
        <v>1364</v>
      </c>
      <c r="G44" s="12" t="n">
        <f aca="false">INDEX(Destination!$F$2:$F$501,MATCH(B44,Destination!$A$2:$A$501,0))</f>
        <v>27.49</v>
      </c>
      <c r="H44" s="12" t="n">
        <f aca="false">INDEX(Destination!$G$2:$G$501,MATCH(B44,Destination!$A$2:$A$501,0))</f>
        <v>77.67</v>
      </c>
      <c r="I44" s="12" t="n">
        <f aca="false">INDEX(Destination!$F$2:$F$501,MATCH(D44,Destination!$A$2:$A$501,0))</f>
        <v>27.58</v>
      </c>
      <c r="J44" s="12" t="n">
        <f aca="false">INDEX(Destination!$G$2:$G$501,MATCH(D44,Destination!$A$2:$A$501,0))</f>
        <v>77.7</v>
      </c>
      <c r="K44" s="17" t="n">
        <f aca="false">Assumptions!$B$2*2*ASIN(SQRT(SIN(RADIANS(I44-G44)/2)^2+COS(RADIANS(G44))*COS(RADIANS(I44))*SIN(RADIANS(J44-H44)/2)^2))</f>
        <v>10.435546759964</v>
      </c>
      <c r="L44" s="18" t="n">
        <f aca="false">K44*Assumptions!$B$3</f>
        <v>13.5662107879532</v>
      </c>
      <c r="M44" s="19" t="n">
        <f aca="false">L44/Assumptions!$B$4</f>
        <v>0.301471350843404</v>
      </c>
      <c r="N44" s="9" t="s">
        <v>1365</v>
      </c>
    </row>
    <row r="45" customFormat="false" ht="15" hidden="false" customHeight="false" outlineLevel="0" collapsed="false">
      <c r="A45" s="9" t="s">
        <v>1408</v>
      </c>
      <c r="B45" s="9" t="s">
        <v>111</v>
      </c>
      <c r="C45" s="9" t="str">
        <f aca="false">IFERROR(INDEX(Destination!$B$2:$B$501,MATCH(B45,Destination!$A$2:$A$501,0)),"")</f>
        <v>Mathura</v>
      </c>
      <c r="D45" s="9" t="s">
        <v>214</v>
      </c>
      <c r="E45" s="9" t="str">
        <f aca="false">IFERROR(INDEX(Destination!$B$2:$B$501,MATCH(D45,Destination!$A$2:$A$501,0)),"")</f>
        <v>Bharatpur</v>
      </c>
      <c r="F45" s="9" t="s">
        <v>1364</v>
      </c>
      <c r="G45" s="12" t="n">
        <f aca="false">INDEX(Destination!$F$2:$F$501,MATCH(B45,Destination!$A$2:$A$501,0))</f>
        <v>27.49</v>
      </c>
      <c r="H45" s="12" t="n">
        <f aca="false">INDEX(Destination!$G$2:$G$501,MATCH(B45,Destination!$A$2:$A$501,0))</f>
        <v>77.67</v>
      </c>
      <c r="I45" s="12" t="n">
        <f aca="false">INDEX(Destination!$F$2:$F$501,MATCH(D45,Destination!$A$2:$A$501,0))</f>
        <v>27.22</v>
      </c>
      <c r="J45" s="12" t="n">
        <f aca="false">INDEX(Destination!$G$2:$G$501,MATCH(D45,Destination!$A$2:$A$501,0))</f>
        <v>77.49</v>
      </c>
      <c r="K45" s="17" t="n">
        <f aca="false">Assumptions!$B$2*2*ASIN(SQRT(SIN(RADIANS(I45-G45)/2)^2+COS(RADIANS(G45))*COS(RADIANS(I45))*SIN(RADIANS(J45-H45)/2)^2))</f>
        <v>34.890922629348</v>
      </c>
      <c r="L45" s="18" t="n">
        <f aca="false">K45*Assumptions!$B$3</f>
        <v>45.3581994181524</v>
      </c>
      <c r="M45" s="19" t="n">
        <f aca="false">L45/Assumptions!$B$4</f>
        <v>1.00795998707005</v>
      </c>
      <c r="N45" s="9" t="s">
        <v>1365</v>
      </c>
    </row>
    <row r="46" customFormat="false" ht="15" hidden="false" customHeight="false" outlineLevel="0" collapsed="false">
      <c r="A46" s="9" t="s">
        <v>1409</v>
      </c>
      <c r="B46" s="9" t="s">
        <v>111</v>
      </c>
      <c r="C46" s="9" t="str">
        <f aca="false">IFERROR(INDEX(Destination!$B$2:$B$501,MATCH(B46,Destination!$A$2:$A$501,0)),"")</f>
        <v>Mathura</v>
      </c>
      <c r="D46" s="9" t="s">
        <v>997</v>
      </c>
      <c r="E46" s="9" t="str">
        <f aca="false">IFERROR(INDEX(Destination!$B$2:$B$501,MATCH(D46,Destination!$A$2:$A$501,0)),"")</f>
        <v>Fatehpur Sikri</v>
      </c>
      <c r="F46" s="9" t="s">
        <v>1364</v>
      </c>
      <c r="G46" s="12" t="n">
        <f aca="false">INDEX(Destination!$F$2:$F$501,MATCH(B46,Destination!$A$2:$A$501,0))</f>
        <v>27.49</v>
      </c>
      <c r="H46" s="12" t="n">
        <f aca="false">INDEX(Destination!$G$2:$G$501,MATCH(B46,Destination!$A$2:$A$501,0))</f>
        <v>77.67</v>
      </c>
      <c r="I46" s="12" t="n">
        <f aca="false">INDEX(Destination!$F$2:$F$501,MATCH(D46,Destination!$A$2:$A$501,0))</f>
        <v>27.09</v>
      </c>
      <c r="J46" s="12" t="n">
        <f aca="false">INDEX(Destination!$G$2:$G$501,MATCH(D46,Destination!$A$2:$A$501,0))</f>
        <v>77.67</v>
      </c>
      <c r="K46" s="17" t="n">
        <f aca="false">Assumptions!$B$2*2*ASIN(SQRT(SIN(RADIANS(I46-G46)/2)^2+COS(RADIANS(G46))*COS(RADIANS(I46))*SIN(RADIANS(J46-H46)/2)^2))</f>
        <v>44.4779706578233</v>
      </c>
      <c r="L46" s="18" t="n">
        <f aca="false">K46*Assumptions!$B$3</f>
        <v>57.8213618551703</v>
      </c>
      <c r="M46" s="19" t="n">
        <f aca="false">L46/Assumptions!$B$4</f>
        <v>1.28491915233712</v>
      </c>
      <c r="N46" s="9" t="s">
        <v>1365</v>
      </c>
    </row>
    <row r="47" customFormat="false" ht="15" hidden="false" customHeight="false" outlineLevel="0" collapsed="false">
      <c r="A47" s="9" t="s">
        <v>1410</v>
      </c>
      <c r="B47" s="9" t="s">
        <v>113</v>
      </c>
      <c r="C47" s="9" t="str">
        <f aca="false">IFERROR(INDEX(Destination!$B$2:$B$501,MATCH(B47,Destination!$A$2:$A$501,0)),"")</f>
        <v>Vrindavan</v>
      </c>
      <c r="D47" s="9" t="s">
        <v>214</v>
      </c>
      <c r="E47" s="9" t="str">
        <f aca="false">IFERROR(INDEX(Destination!$B$2:$B$501,MATCH(D47,Destination!$A$2:$A$501,0)),"")</f>
        <v>Bharatpur</v>
      </c>
      <c r="F47" s="9" t="s">
        <v>1364</v>
      </c>
      <c r="G47" s="12" t="n">
        <f aca="false">INDEX(Destination!$F$2:$F$501,MATCH(B47,Destination!$A$2:$A$501,0))</f>
        <v>27.58</v>
      </c>
      <c r="H47" s="12" t="n">
        <f aca="false">INDEX(Destination!$G$2:$G$501,MATCH(B47,Destination!$A$2:$A$501,0))</f>
        <v>77.7</v>
      </c>
      <c r="I47" s="12" t="n">
        <f aca="false">INDEX(Destination!$F$2:$F$501,MATCH(D47,Destination!$A$2:$A$501,0))</f>
        <v>27.22</v>
      </c>
      <c r="J47" s="12" t="n">
        <f aca="false">INDEX(Destination!$G$2:$G$501,MATCH(D47,Destination!$A$2:$A$501,0))</f>
        <v>77.49</v>
      </c>
      <c r="K47" s="17" t="n">
        <f aca="false">Assumptions!$B$2*2*ASIN(SQRT(SIN(RADIANS(I47-G47)/2)^2+COS(RADIANS(G47))*COS(RADIANS(I47))*SIN(RADIANS(J47-H47)/2)^2))</f>
        <v>45.0799260130778</v>
      </c>
      <c r="L47" s="18" t="n">
        <f aca="false">K47*Assumptions!$B$3</f>
        <v>58.6039038170011</v>
      </c>
      <c r="M47" s="19" t="n">
        <f aca="false">L47/Assumptions!$B$4</f>
        <v>1.30230897371114</v>
      </c>
      <c r="N47" s="9" t="s">
        <v>1365</v>
      </c>
    </row>
    <row r="48" customFormat="false" ht="15" hidden="false" customHeight="false" outlineLevel="0" collapsed="false">
      <c r="A48" s="9" t="s">
        <v>1411</v>
      </c>
      <c r="B48" s="9" t="s">
        <v>113</v>
      </c>
      <c r="C48" s="9" t="str">
        <f aca="false">IFERROR(INDEX(Destination!$B$2:$B$501,MATCH(B48,Destination!$A$2:$A$501,0)),"")</f>
        <v>Vrindavan</v>
      </c>
      <c r="D48" s="9" t="s">
        <v>954</v>
      </c>
      <c r="E48" s="9" t="str">
        <f aca="false">IFERROR(INDEX(Destination!$B$2:$B$501,MATCH(D48,Destination!$A$2:$A$501,0)),"")</f>
        <v>Lodhi Garden</v>
      </c>
      <c r="F48" s="9" t="s">
        <v>1364</v>
      </c>
      <c r="G48" s="12" t="n">
        <f aca="false">INDEX(Destination!$F$2:$F$501,MATCH(B48,Destination!$A$2:$A$501,0))</f>
        <v>27.58</v>
      </c>
      <c r="H48" s="12" t="n">
        <f aca="false">INDEX(Destination!$G$2:$G$501,MATCH(B48,Destination!$A$2:$A$501,0))</f>
        <v>77.7</v>
      </c>
      <c r="I48" s="12" t="n">
        <f aca="false">INDEX(Destination!$F$2:$F$501,MATCH(D48,Destination!$A$2:$A$501,0))</f>
        <v>28.59</v>
      </c>
      <c r="J48" s="12" t="n">
        <f aca="false">INDEX(Destination!$G$2:$G$501,MATCH(D48,Destination!$A$2:$A$501,0))</f>
        <v>77.22</v>
      </c>
      <c r="K48" s="17" t="n">
        <f aca="false">Assumptions!$B$2*2*ASIN(SQRT(SIN(RADIANS(I48-G48)/2)^2+COS(RADIANS(G48))*COS(RADIANS(I48))*SIN(RADIANS(J48-H48)/2)^2))</f>
        <v>121.778830049531</v>
      </c>
      <c r="L48" s="18" t="n">
        <f aca="false">K48*Assumptions!$B$3</f>
        <v>158.312479064391</v>
      </c>
      <c r="M48" s="19" t="n">
        <f aca="false">L48/Assumptions!$B$4</f>
        <v>3.51805509031979</v>
      </c>
      <c r="N48" s="9" t="s">
        <v>1365</v>
      </c>
    </row>
    <row r="49" customFormat="false" ht="15" hidden="false" customHeight="false" outlineLevel="0" collapsed="false">
      <c r="A49" s="9" t="s">
        <v>1412</v>
      </c>
      <c r="B49" s="9" t="s">
        <v>115</v>
      </c>
      <c r="C49" s="9" t="str">
        <f aca="false">IFERROR(INDEX(Destination!$B$2:$B$501,MATCH(B49,Destination!$A$2:$A$501,0)),"")</f>
        <v>Lucknow</v>
      </c>
      <c r="D49" s="9" t="s">
        <v>117</v>
      </c>
      <c r="E49" s="9" t="str">
        <f aca="false">IFERROR(INDEX(Destination!$B$2:$B$501,MATCH(D49,Destination!$A$2:$A$501,0)),"")</f>
        <v>Prayagraj</v>
      </c>
      <c r="F49" s="9" t="s">
        <v>1364</v>
      </c>
      <c r="G49" s="12" t="n">
        <f aca="false">INDEX(Destination!$F$2:$F$501,MATCH(B49,Destination!$A$2:$A$501,0))</f>
        <v>26.85</v>
      </c>
      <c r="H49" s="12" t="n">
        <f aca="false">INDEX(Destination!$G$2:$G$501,MATCH(B49,Destination!$A$2:$A$501,0))</f>
        <v>80.95</v>
      </c>
      <c r="I49" s="12" t="n">
        <f aca="false">INDEX(Destination!$F$2:$F$501,MATCH(D49,Destination!$A$2:$A$501,0))</f>
        <v>25.44</v>
      </c>
      <c r="J49" s="12" t="n">
        <f aca="false">INDEX(Destination!$G$2:$G$501,MATCH(D49,Destination!$A$2:$A$501,0))</f>
        <v>81.85</v>
      </c>
      <c r="K49" s="17" t="n">
        <f aca="false">Assumptions!$B$2*2*ASIN(SQRT(SIN(RADIANS(I49-G49)/2)^2+COS(RADIANS(G49))*COS(RADIANS(I49))*SIN(RADIANS(J49-H49)/2)^2))</f>
        <v>180.696546172754</v>
      </c>
      <c r="L49" s="18" t="n">
        <f aca="false">K49*Assumptions!$B$3</f>
        <v>234.905510024581</v>
      </c>
      <c r="M49" s="19" t="n">
        <f aca="false">L49/Assumptions!$B$4</f>
        <v>5.22012244499068</v>
      </c>
      <c r="N49" s="9" t="s">
        <v>1365</v>
      </c>
    </row>
    <row r="50" customFormat="false" ht="15" hidden="false" customHeight="false" outlineLevel="0" collapsed="false">
      <c r="A50" s="9" t="s">
        <v>1413</v>
      </c>
      <c r="B50" s="9" t="s">
        <v>115</v>
      </c>
      <c r="C50" s="9" t="str">
        <f aca="false">IFERROR(INDEX(Destination!$B$2:$B$501,MATCH(B50,Destination!$A$2:$A$501,0)),"")</f>
        <v>Lucknow</v>
      </c>
      <c r="D50" s="9" t="s">
        <v>124</v>
      </c>
      <c r="E50" s="9" t="str">
        <f aca="false">IFERROR(INDEX(Destination!$B$2:$B$501,MATCH(D50,Destination!$A$2:$A$501,0)),"")</f>
        <v>Khajuraho</v>
      </c>
      <c r="F50" s="9" t="s">
        <v>1364</v>
      </c>
      <c r="G50" s="12" t="n">
        <f aca="false">INDEX(Destination!$F$2:$F$501,MATCH(B50,Destination!$A$2:$A$501,0))</f>
        <v>26.85</v>
      </c>
      <c r="H50" s="12" t="n">
        <f aca="false">INDEX(Destination!$G$2:$G$501,MATCH(B50,Destination!$A$2:$A$501,0))</f>
        <v>80.95</v>
      </c>
      <c r="I50" s="12" t="n">
        <f aca="false">INDEX(Destination!$F$2:$F$501,MATCH(D50,Destination!$A$2:$A$501,0))</f>
        <v>24.85</v>
      </c>
      <c r="J50" s="12" t="n">
        <f aca="false">INDEX(Destination!$G$2:$G$501,MATCH(D50,Destination!$A$2:$A$501,0))</f>
        <v>79.92</v>
      </c>
      <c r="K50" s="17" t="n">
        <f aca="false">Assumptions!$B$2*2*ASIN(SQRT(SIN(RADIANS(I50-G50)/2)^2+COS(RADIANS(G50))*COS(RADIANS(I50))*SIN(RADIANS(J50-H50)/2)^2))</f>
        <v>245.11000870241</v>
      </c>
      <c r="L50" s="18" t="n">
        <f aca="false">K50*Assumptions!$B$3</f>
        <v>318.643011313133</v>
      </c>
      <c r="M50" s="19" t="n">
        <f aca="false">L50/Assumptions!$B$4</f>
        <v>7.08095580695852</v>
      </c>
      <c r="N50" s="9" t="s">
        <v>1365</v>
      </c>
    </row>
    <row r="51" customFormat="false" ht="15" hidden="false" customHeight="false" outlineLevel="0" collapsed="false">
      <c r="A51" s="9" t="s">
        <v>1414</v>
      </c>
      <c r="B51" s="9" t="s">
        <v>115</v>
      </c>
      <c r="C51" s="9" t="str">
        <f aca="false">IFERROR(INDEX(Destination!$B$2:$B$501,MATCH(B51,Destination!$A$2:$A$501,0)),"")</f>
        <v>Lucknow</v>
      </c>
      <c r="D51" s="9" t="s">
        <v>992</v>
      </c>
      <c r="E51" s="9" t="str">
        <f aca="false">IFERROR(INDEX(Destination!$B$2:$B$501,MATCH(D51,Destination!$A$2:$A$501,0)),"")</f>
        <v>Ayodhya</v>
      </c>
      <c r="F51" s="9" t="s">
        <v>1364</v>
      </c>
      <c r="G51" s="12" t="n">
        <f aca="false">INDEX(Destination!$F$2:$F$501,MATCH(B51,Destination!$A$2:$A$501,0))</f>
        <v>26.85</v>
      </c>
      <c r="H51" s="12" t="n">
        <f aca="false">INDEX(Destination!$G$2:$G$501,MATCH(B51,Destination!$A$2:$A$501,0))</f>
        <v>80.95</v>
      </c>
      <c r="I51" s="12" t="n">
        <f aca="false">INDEX(Destination!$F$2:$F$501,MATCH(D51,Destination!$A$2:$A$501,0))</f>
        <v>26.8</v>
      </c>
      <c r="J51" s="12" t="n">
        <f aca="false">INDEX(Destination!$G$2:$G$501,MATCH(D51,Destination!$A$2:$A$501,0))</f>
        <v>82.2</v>
      </c>
      <c r="K51" s="17" t="n">
        <f aca="false">Assumptions!$B$2*2*ASIN(SQRT(SIN(RADIANS(I51-G51)/2)^2+COS(RADIANS(G51))*COS(RADIANS(I51))*SIN(RADIANS(J51-H51)/2)^2))</f>
        <v>124.160445616359</v>
      </c>
      <c r="L51" s="18" t="n">
        <f aca="false">K51*Assumptions!$B$3</f>
        <v>161.408579301266</v>
      </c>
      <c r="M51" s="19" t="n">
        <f aca="false">L51/Assumptions!$B$4</f>
        <v>3.58685731780592</v>
      </c>
      <c r="N51" s="9" t="s">
        <v>1365</v>
      </c>
    </row>
    <row r="52" customFormat="false" ht="15" hidden="false" customHeight="false" outlineLevel="0" collapsed="false">
      <c r="A52" s="9" t="s">
        <v>1415</v>
      </c>
      <c r="B52" s="9" t="s">
        <v>117</v>
      </c>
      <c r="C52" s="9" t="str">
        <f aca="false">IFERROR(INDEX(Destination!$B$2:$B$501,MATCH(B52,Destination!$A$2:$A$501,0)),"")</f>
        <v>Prayagraj</v>
      </c>
      <c r="D52" s="9" t="s">
        <v>119</v>
      </c>
      <c r="E52" s="9" t="str">
        <f aca="false">IFERROR(INDEX(Destination!$B$2:$B$501,MATCH(D52,Destination!$A$2:$A$501,0)),"")</f>
        <v>Sarnath</v>
      </c>
      <c r="F52" s="9" t="s">
        <v>1364</v>
      </c>
      <c r="G52" s="12" t="n">
        <f aca="false">INDEX(Destination!$F$2:$F$501,MATCH(B52,Destination!$A$2:$A$501,0))</f>
        <v>25.44</v>
      </c>
      <c r="H52" s="12" t="n">
        <f aca="false">INDEX(Destination!$G$2:$G$501,MATCH(B52,Destination!$A$2:$A$501,0))</f>
        <v>81.85</v>
      </c>
      <c r="I52" s="12" t="n">
        <f aca="false">INDEX(Destination!$F$2:$F$501,MATCH(D52,Destination!$A$2:$A$501,0))</f>
        <v>25.38</v>
      </c>
      <c r="J52" s="12" t="n">
        <f aca="false">INDEX(Destination!$G$2:$G$501,MATCH(D52,Destination!$A$2:$A$501,0))</f>
        <v>83.02</v>
      </c>
      <c r="K52" s="17" t="n">
        <f aca="false">Assumptions!$B$2*2*ASIN(SQRT(SIN(RADIANS(I52-G52)/2)^2+COS(RADIANS(G52))*COS(RADIANS(I52))*SIN(RADIANS(J52-H52)/2)^2))</f>
        <v>117.70128554069</v>
      </c>
      <c r="L52" s="18" t="n">
        <f aca="false">K52*Assumptions!$B$3</f>
        <v>153.011671202897</v>
      </c>
      <c r="M52" s="19" t="n">
        <f aca="false">L52/Assumptions!$B$4</f>
        <v>3.40025936006438</v>
      </c>
      <c r="N52" s="9" t="s">
        <v>1365</v>
      </c>
    </row>
    <row r="53" customFormat="false" ht="15" hidden="false" customHeight="false" outlineLevel="0" collapsed="false">
      <c r="A53" s="9" t="s">
        <v>1416</v>
      </c>
      <c r="B53" s="9" t="s">
        <v>117</v>
      </c>
      <c r="C53" s="9" t="str">
        <f aca="false">IFERROR(INDEX(Destination!$B$2:$B$501,MATCH(B53,Destination!$A$2:$A$501,0)),"")</f>
        <v>Prayagraj</v>
      </c>
      <c r="D53" s="9" t="s">
        <v>992</v>
      </c>
      <c r="E53" s="9" t="str">
        <f aca="false">IFERROR(INDEX(Destination!$B$2:$B$501,MATCH(D53,Destination!$A$2:$A$501,0)),"")</f>
        <v>Ayodhya</v>
      </c>
      <c r="F53" s="9" t="s">
        <v>1364</v>
      </c>
      <c r="G53" s="12" t="n">
        <f aca="false">INDEX(Destination!$F$2:$F$501,MATCH(B53,Destination!$A$2:$A$501,0))</f>
        <v>25.44</v>
      </c>
      <c r="H53" s="12" t="n">
        <f aca="false">INDEX(Destination!$G$2:$G$501,MATCH(B53,Destination!$A$2:$A$501,0))</f>
        <v>81.85</v>
      </c>
      <c r="I53" s="12" t="n">
        <f aca="false">INDEX(Destination!$F$2:$F$501,MATCH(D53,Destination!$A$2:$A$501,0))</f>
        <v>26.8</v>
      </c>
      <c r="J53" s="12" t="n">
        <f aca="false">INDEX(Destination!$G$2:$G$501,MATCH(D53,Destination!$A$2:$A$501,0))</f>
        <v>82.2</v>
      </c>
      <c r="K53" s="17" t="n">
        <f aca="false">Assumptions!$B$2*2*ASIN(SQRT(SIN(RADIANS(I53-G53)/2)^2+COS(RADIANS(G53))*COS(RADIANS(I53))*SIN(RADIANS(J53-H53)/2)^2))</f>
        <v>155.20950644522</v>
      </c>
      <c r="L53" s="18" t="n">
        <f aca="false">K53*Assumptions!$B$3</f>
        <v>201.772358378786</v>
      </c>
      <c r="M53" s="19" t="n">
        <f aca="false">L53/Assumptions!$B$4</f>
        <v>4.48383018619523</v>
      </c>
      <c r="N53" s="9" t="s">
        <v>1365</v>
      </c>
    </row>
    <row r="54" customFormat="false" ht="15" hidden="false" customHeight="false" outlineLevel="0" collapsed="false">
      <c r="A54" s="9" t="s">
        <v>1417</v>
      </c>
      <c r="B54" s="9" t="s">
        <v>117</v>
      </c>
      <c r="C54" s="9" t="str">
        <f aca="false">IFERROR(INDEX(Destination!$B$2:$B$501,MATCH(B54,Destination!$A$2:$A$501,0)),"")</f>
        <v>Prayagraj</v>
      </c>
      <c r="D54" s="9" t="s">
        <v>994</v>
      </c>
      <c r="E54" s="9" t="str">
        <f aca="false">IFERROR(INDEX(Destination!$B$2:$B$501,MATCH(D54,Destination!$A$2:$A$501,0)),"")</f>
        <v>Kashi</v>
      </c>
      <c r="F54" s="9" t="s">
        <v>1364</v>
      </c>
      <c r="G54" s="12" t="n">
        <f aca="false">INDEX(Destination!$F$2:$F$501,MATCH(B54,Destination!$A$2:$A$501,0))</f>
        <v>25.44</v>
      </c>
      <c r="H54" s="12" t="n">
        <f aca="false">INDEX(Destination!$G$2:$G$501,MATCH(B54,Destination!$A$2:$A$501,0))</f>
        <v>81.85</v>
      </c>
      <c r="I54" s="12" t="n">
        <f aca="false">INDEX(Destination!$F$2:$F$501,MATCH(D54,Destination!$A$2:$A$501,0))</f>
        <v>25.31</v>
      </c>
      <c r="J54" s="12" t="n">
        <f aca="false">INDEX(Destination!$G$2:$G$501,MATCH(D54,Destination!$A$2:$A$501,0))</f>
        <v>83.01</v>
      </c>
      <c r="K54" s="17" t="n">
        <f aca="false">Assumptions!$B$2*2*ASIN(SQRT(SIN(RADIANS(I54-G54)/2)^2+COS(RADIANS(G54))*COS(RADIANS(I54))*SIN(RADIANS(J54-H54)/2)^2))</f>
        <v>117.434502111153</v>
      </c>
      <c r="L54" s="18" t="n">
        <f aca="false">K54*Assumptions!$B$3</f>
        <v>152.664852744499</v>
      </c>
      <c r="M54" s="19" t="n">
        <f aca="false">L54/Assumptions!$B$4</f>
        <v>3.39255228321109</v>
      </c>
      <c r="N54" s="9" t="s">
        <v>1365</v>
      </c>
    </row>
    <row r="55" customFormat="false" ht="15" hidden="false" customHeight="false" outlineLevel="0" collapsed="false">
      <c r="A55" s="9" t="s">
        <v>1418</v>
      </c>
      <c r="B55" s="9" t="s">
        <v>119</v>
      </c>
      <c r="C55" s="9" t="str">
        <f aca="false">IFERROR(INDEX(Destination!$B$2:$B$501,MATCH(B55,Destination!$A$2:$A$501,0)),"")</f>
        <v>Sarnath</v>
      </c>
      <c r="D55" s="9" t="s">
        <v>716</v>
      </c>
      <c r="E55" s="9" t="str">
        <f aca="false">IFERROR(INDEX(Destination!$B$2:$B$501,MATCH(D55,Destination!$A$2:$A$501,0)),"")</f>
        <v>Betla</v>
      </c>
      <c r="F55" s="9" t="s">
        <v>1364</v>
      </c>
      <c r="G55" s="12" t="n">
        <f aca="false">INDEX(Destination!$F$2:$F$501,MATCH(B55,Destination!$A$2:$A$501,0))</f>
        <v>25.38</v>
      </c>
      <c r="H55" s="12" t="n">
        <f aca="false">INDEX(Destination!$G$2:$G$501,MATCH(B55,Destination!$A$2:$A$501,0))</f>
        <v>83.02</v>
      </c>
      <c r="I55" s="12" t="n">
        <f aca="false">INDEX(Destination!$F$2:$F$501,MATCH(D55,Destination!$A$2:$A$501,0))</f>
        <v>23.89</v>
      </c>
      <c r="J55" s="12" t="n">
        <f aca="false">INDEX(Destination!$G$2:$G$501,MATCH(D55,Destination!$A$2:$A$501,0))</f>
        <v>84.19</v>
      </c>
      <c r="K55" s="17" t="n">
        <f aca="false">Assumptions!$B$2*2*ASIN(SQRT(SIN(RADIANS(I55-G55)/2)^2+COS(RADIANS(G55))*COS(RADIANS(I55))*SIN(RADIANS(J55-H55)/2)^2))</f>
        <v>203.551708859099</v>
      </c>
      <c r="L55" s="18" t="n">
        <f aca="false">K55*Assumptions!$B$3</f>
        <v>264.617221516829</v>
      </c>
      <c r="M55" s="19" t="n">
        <f aca="false">L55/Assumptions!$B$4</f>
        <v>5.88038270037397</v>
      </c>
      <c r="N55" s="9" t="s">
        <v>1365</v>
      </c>
    </row>
    <row r="56" customFormat="false" ht="15" hidden="false" customHeight="false" outlineLevel="0" collapsed="false">
      <c r="A56" s="9" t="s">
        <v>1419</v>
      </c>
      <c r="B56" s="9" t="s">
        <v>119</v>
      </c>
      <c r="C56" s="9" t="str">
        <f aca="false">IFERROR(INDEX(Destination!$B$2:$B$501,MATCH(B56,Destination!$A$2:$A$501,0)),"")</f>
        <v>Sarnath</v>
      </c>
      <c r="D56" s="9" t="s">
        <v>992</v>
      </c>
      <c r="E56" s="9" t="str">
        <f aca="false">IFERROR(INDEX(Destination!$B$2:$B$501,MATCH(D56,Destination!$A$2:$A$501,0)),"")</f>
        <v>Ayodhya</v>
      </c>
      <c r="F56" s="9" t="s">
        <v>1364</v>
      </c>
      <c r="G56" s="12" t="n">
        <f aca="false">INDEX(Destination!$F$2:$F$501,MATCH(B56,Destination!$A$2:$A$501,0))</f>
        <v>25.38</v>
      </c>
      <c r="H56" s="12" t="n">
        <f aca="false">INDEX(Destination!$G$2:$G$501,MATCH(B56,Destination!$A$2:$A$501,0))</f>
        <v>83.02</v>
      </c>
      <c r="I56" s="12" t="n">
        <f aca="false">INDEX(Destination!$F$2:$F$501,MATCH(D56,Destination!$A$2:$A$501,0))</f>
        <v>26.8</v>
      </c>
      <c r="J56" s="12" t="n">
        <f aca="false">INDEX(Destination!$G$2:$G$501,MATCH(D56,Destination!$A$2:$A$501,0))</f>
        <v>82.2</v>
      </c>
      <c r="K56" s="17" t="n">
        <f aca="false">Assumptions!$B$2*2*ASIN(SQRT(SIN(RADIANS(I56-G56)/2)^2+COS(RADIANS(G56))*COS(RADIANS(I56))*SIN(RADIANS(J56-H56)/2)^2))</f>
        <v>177.866792436932</v>
      </c>
      <c r="L56" s="18" t="n">
        <f aca="false">K56*Assumptions!$B$3</f>
        <v>231.226830168011</v>
      </c>
      <c r="M56" s="19" t="n">
        <f aca="false">L56/Assumptions!$B$4</f>
        <v>5.13837400373359</v>
      </c>
      <c r="N56" s="9" t="s">
        <v>1365</v>
      </c>
    </row>
    <row r="57" customFormat="false" ht="15" hidden="false" customHeight="false" outlineLevel="0" collapsed="false">
      <c r="A57" s="9" t="s">
        <v>1420</v>
      </c>
      <c r="B57" s="9" t="s">
        <v>122</v>
      </c>
      <c r="C57" s="9" t="str">
        <f aca="false">IFERROR(INDEX(Destination!$B$2:$B$501,MATCH(B57,Destination!$A$2:$A$501,0)),"")</f>
        <v>Jhansi</v>
      </c>
      <c r="D57" s="9" t="s">
        <v>124</v>
      </c>
      <c r="E57" s="9" t="str">
        <f aca="false">IFERROR(INDEX(Destination!$B$2:$B$501,MATCH(D57,Destination!$A$2:$A$501,0)),"")</f>
        <v>Khajuraho</v>
      </c>
      <c r="F57" s="9" t="s">
        <v>1364</v>
      </c>
      <c r="G57" s="12" t="n">
        <f aca="false">INDEX(Destination!$F$2:$F$501,MATCH(B57,Destination!$A$2:$A$501,0))</f>
        <v>25.45</v>
      </c>
      <c r="H57" s="12" t="n">
        <f aca="false">INDEX(Destination!$G$2:$G$501,MATCH(B57,Destination!$A$2:$A$501,0))</f>
        <v>78.57</v>
      </c>
      <c r="I57" s="12" t="n">
        <f aca="false">INDEX(Destination!$F$2:$F$501,MATCH(D57,Destination!$A$2:$A$501,0))</f>
        <v>24.85</v>
      </c>
      <c r="J57" s="12" t="n">
        <f aca="false">INDEX(Destination!$G$2:$G$501,MATCH(D57,Destination!$A$2:$A$501,0))</f>
        <v>79.92</v>
      </c>
      <c r="K57" s="17" t="n">
        <f aca="false">Assumptions!$B$2*2*ASIN(SQRT(SIN(RADIANS(I57-G57)/2)^2+COS(RADIANS(G57))*COS(RADIANS(I57))*SIN(RADIANS(J57-H57)/2)^2))</f>
        <v>151.375956707247</v>
      </c>
      <c r="L57" s="18" t="n">
        <f aca="false">K57*Assumptions!$B$3</f>
        <v>196.788743719422</v>
      </c>
      <c r="M57" s="19" t="n">
        <f aca="false">L57/Assumptions!$B$4</f>
        <v>4.37308319376493</v>
      </c>
      <c r="N57" s="9" t="s">
        <v>1365</v>
      </c>
    </row>
    <row r="58" customFormat="false" ht="15" hidden="false" customHeight="false" outlineLevel="0" collapsed="false">
      <c r="A58" s="9" t="s">
        <v>1421</v>
      </c>
      <c r="B58" s="9" t="s">
        <v>122</v>
      </c>
      <c r="C58" s="9" t="str">
        <f aca="false">IFERROR(INDEX(Destination!$B$2:$B$501,MATCH(B58,Destination!$A$2:$A$501,0)),"")</f>
        <v>Jhansi</v>
      </c>
      <c r="D58" s="9" t="s">
        <v>128</v>
      </c>
      <c r="E58" s="9" t="str">
        <f aca="false">IFERROR(INDEX(Destination!$B$2:$B$501,MATCH(D58,Destination!$A$2:$A$501,0)),"")</f>
        <v>Orchha</v>
      </c>
      <c r="F58" s="9" t="s">
        <v>1364</v>
      </c>
      <c r="G58" s="12" t="n">
        <f aca="false">INDEX(Destination!$F$2:$F$501,MATCH(B58,Destination!$A$2:$A$501,0))</f>
        <v>25.45</v>
      </c>
      <c r="H58" s="12" t="n">
        <f aca="false">INDEX(Destination!$G$2:$G$501,MATCH(B58,Destination!$A$2:$A$501,0))</f>
        <v>78.57</v>
      </c>
      <c r="I58" s="12" t="n">
        <f aca="false">INDEX(Destination!$F$2:$F$501,MATCH(D58,Destination!$A$2:$A$501,0))</f>
        <v>25.35</v>
      </c>
      <c r="J58" s="12" t="n">
        <f aca="false">INDEX(Destination!$G$2:$G$501,MATCH(D58,Destination!$A$2:$A$501,0))</f>
        <v>78.64</v>
      </c>
      <c r="K58" s="17" t="n">
        <f aca="false">Assumptions!$B$2*2*ASIN(SQRT(SIN(RADIANS(I58-G58)/2)^2+COS(RADIANS(G58))*COS(RADIANS(I58))*SIN(RADIANS(J58-H58)/2)^2))</f>
        <v>13.156042206719</v>
      </c>
      <c r="L58" s="18" t="n">
        <f aca="false">K58*Assumptions!$B$3</f>
        <v>17.1028548687347</v>
      </c>
      <c r="M58" s="19" t="n">
        <f aca="false">L58/Assumptions!$B$4</f>
        <v>0.380063441527438</v>
      </c>
      <c r="N58" s="9" t="s">
        <v>1365</v>
      </c>
    </row>
    <row r="59" customFormat="false" ht="15" hidden="false" customHeight="false" outlineLevel="0" collapsed="false">
      <c r="A59" s="9" t="s">
        <v>1422</v>
      </c>
      <c r="B59" s="9" t="s">
        <v>122</v>
      </c>
      <c r="C59" s="9" t="str">
        <f aca="false">IFERROR(INDEX(Destination!$B$2:$B$501,MATCH(B59,Destination!$A$2:$A$501,0)),"")</f>
        <v>Jhansi</v>
      </c>
      <c r="D59" s="9" t="s">
        <v>130</v>
      </c>
      <c r="E59" s="9" t="str">
        <f aca="false">IFERROR(INDEX(Destination!$B$2:$B$501,MATCH(D59,Destination!$A$2:$A$501,0)),"")</f>
        <v>Gwalior</v>
      </c>
      <c r="F59" s="9" t="s">
        <v>1364</v>
      </c>
      <c r="G59" s="12" t="n">
        <f aca="false">INDEX(Destination!$F$2:$F$501,MATCH(B59,Destination!$A$2:$A$501,0))</f>
        <v>25.45</v>
      </c>
      <c r="H59" s="12" t="n">
        <f aca="false">INDEX(Destination!$G$2:$G$501,MATCH(B59,Destination!$A$2:$A$501,0))</f>
        <v>78.57</v>
      </c>
      <c r="I59" s="12" t="n">
        <f aca="false">INDEX(Destination!$F$2:$F$501,MATCH(D59,Destination!$A$2:$A$501,0))</f>
        <v>26.22</v>
      </c>
      <c r="J59" s="12" t="n">
        <f aca="false">INDEX(Destination!$G$2:$G$501,MATCH(D59,Destination!$A$2:$A$501,0))</f>
        <v>78.18</v>
      </c>
      <c r="K59" s="17" t="n">
        <f aca="false">Assumptions!$B$2*2*ASIN(SQRT(SIN(RADIANS(I59-G59)/2)^2+COS(RADIANS(G59))*COS(RADIANS(I59))*SIN(RADIANS(J59-H59)/2)^2))</f>
        <v>94.0969411317288</v>
      </c>
      <c r="L59" s="18" t="n">
        <f aca="false">K59*Assumptions!$B$3</f>
        <v>122.326023471247</v>
      </c>
      <c r="M59" s="19" t="n">
        <f aca="false">L59/Assumptions!$B$4</f>
        <v>2.71835607713883</v>
      </c>
      <c r="N59" s="9" t="s">
        <v>1365</v>
      </c>
    </row>
    <row r="60" customFormat="false" ht="15" hidden="false" customHeight="false" outlineLevel="0" collapsed="false">
      <c r="A60" s="9" t="s">
        <v>1423</v>
      </c>
      <c r="B60" s="9" t="s">
        <v>122</v>
      </c>
      <c r="C60" s="9" t="str">
        <f aca="false">IFERROR(INDEX(Destination!$B$2:$B$501,MATCH(B60,Destination!$A$2:$A$501,0)),"")</f>
        <v>Jhansi</v>
      </c>
      <c r="D60" s="9" t="s">
        <v>775</v>
      </c>
      <c r="E60" s="9" t="str">
        <f aca="false">IFERROR(INDEX(Destination!$B$2:$B$501,MATCH(D60,Destination!$A$2:$A$501,0)),"")</f>
        <v>Chanderi</v>
      </c>
      <c r="F60" s="9" t="s">
        <v>1364</v>
      </c>
      <c r="G60" s="12" t="n">
        <f aca="false">INDEX(Destination!$F$2:$F$501,MATCH(B60,Destination!$A$2:$A$501,0))</f>
        <v>25.45</v>
      </c>
      <c r="H60" s="12" t="n">
        <f aca="false">INDEX(Destination!$G$2:$G$501,MATCH(B60,Destination!$A$2:$A$501,0))</f>
        <v>78.57</v>
      </c>
      <c r="I60" s="12" t="n">
        <f aca="false">INDEX(Destination!$F$2:$F$501,MATCH(D60,Destination!$A$2:$A$501,0))</f>
        <v>24.71</v>
      </c>
      <c r="J60" s="12" t="n">
        <f aca="false">INDEX(Destination!$G$2:$G$501,MATCH(D60,Destination!$A$2:$A$501,0))</f>
        <v>78.13</v>
      </c>
      <c r="K60" s="17" t="n">
        <f aca="false">Assumptions!$B$2*2*ASIN(SQRT(SIN(RADIANS(I60-G60)/2)^2+COS(RADIANS(G60))*COS(RADIANS(I60))*SIN(RADIANS(J60-H60)/2)^2))</f>
        <v>93.4573828168812</v>
      </c>
      <c r="L60" s="18" t="n">
        <f aca="false">K60*Assumptions!$B$3</f>
        <v>121.494597661946</v>
      </c>
      <c r="M60" s="19" t="n">
        <f aca="false">L60/Assumptions!$B$4</f>
        <v>2.69987994804324</v>
      </c>
      <c r="N60" s="9" t="s">
        <v>1365</v>
      </c>
    </row>
    <row r="61" customFormat="false" ht="15" hidden="false" customHeight="false" outlineLevel="0" collapsed="false">
      <c r="A61" s="9" t="s">
        <v>1424</v>
      </c>
      <c r="B61" s="9" t="s">
        <v>122</v>
      </c>
      <c r="C61" s="9" t="str">
        <f aca="false">IFERROR(INDEX(Destination!$B$2:$B$501,MATCH(B61,Destination!$A$2:$A$501,0)),"")</f>
        <v>Jhansi</v>
      </c>
      <c r="D61" s="9" t="s">
        <v>779</v>
      </c>
      <c r="E61" s="9" t="str">
        <f aca="false">IFERROR(INDEX(Destination!$B$2:$B$501,MATCH(D61,Destination!$A$2:$A$501,0)),"")</f>
        <v>Shivpuri</v>
      </c>
      <c r="F61" s="9" t="s">
        <v>1364</v>
      </c>
      <c r="G61" s="12" t="n">
        <f aca="false">INDEX(Destination!$F$2:$F$501,MATCH(B61,Destination!$A$2:$A$501,0))</f>
        <v>25.45</v>
      </c>
      <c r="H61" s="12" t="n">
        <f aca="false">INDEX(Destination!$G$2:$G$501,MATCH(B61,Destination!$A$2:$A$501,0))</f>
        <v>78.57</v>
      </c>
      <c r="I61" s="12" t="n">
        <f aca="false">INDEX(Destination!$F$2:$F$501,MATCH(D61,Destination!$A$2:$A$501,0))</f>
        <v>25.42</v>
      </c>
      <c r="J61" s="12" t="n">
        <f aca="false">INDEX(Destination!$G$2:$G$501,MATCH(D61,Destination!$A$2:$A$501,0))</f>
        <v>77.66</v>
      </c>
      <c r="K61" s="17" t="n">
        <f aca="false">Assumptions!$B$2*2*ASIN(SQRT(SIN(RADIANS(I61-G61)/2)^2+COS(RADIANS(G61))*COS(RADIANS(I61))*SIN(RADIANS(J61-H61)/2)^2))</f>
        <v>91.4402932846943</v>
      </c>
      <c r="L61" s="18" t="n">
        <f aca="false">K61*Assumptions!$B$3</f>
        <v>118.872381270103</v>
      </c>
      <c r="M61" s="19" t="n">
        <f aca="false">L61/Assumptions!$B$4</f>
        <v>2.64160847266895</v>
      </c>
      <c r="N61" s="9" t="s">
        <v>1365</v>
      </c>
    </row>
    <row r="62" customFormat="false" ht="15" hidden="false" customHeight="false" outlineLevel="0" collapsed="false">
      <c r="A62" s="9" t="s">
        <v>1425</v>
      </c>
      <c r="B62" s="9" t="s">
        <v>124</v>
      </c>
      <c r="C62" s="9" t="str">
        <f aca="false">IFERROR(INDEX(Destination!$B$2:$B$501,MATCH(B62,Destination!$A$2:$A$501,0)),"")</f>
        <v>Khajuraho</v>
      </c>
      <c r="D62" s="9" t="s">
        <v>128</v>
      </c>
      <c r="E62" s="9" t="str">
        <f aca="false">IFERROR(INDEX(Destination!$B$2:$B$501,MATCH(D62,Destination!$A$2:$A$501,0)),"")</f>
        <v>Orchha</v>
      </c>
      <c r="F62" s="9" t="s">
        <v>1364</v>
      </c>
      <c r="G62" s="12" t="n">
        <f aca="false">INDEX(Destination!$F$2:$F$501,MATCH(B62,Destination!$A$2:$A$501,0))</f>
        <v>24.85</v>
      </c>
      <c r="H62" s="12" t="n">
        <f aca="false">INDEX(Destination!$G$2:$G$501,MATCH(B62,Destination!$A$2:$A$501,0))</f>
        <v>79.92</v>
      </c>
      <c r="I62" s="12" t="n">
        <f aca="false">INDEX(Destination!$F$2:$F$501,MATCH(D62,Destination!$A$2:$A$501,0))</f>
        <v>25.35</v>
      </c>
      <c r="J62" s="12" t="n">
        <f aca="false">INDEX(Destination!$G$2:$G$501,MATCH(D62,Destination!$A$2:$A$501,0))</f>
        <v>78.64</v>
      </c>
      <c r="K62" s="17" t="n">
        <f aca="false">Assumptions!$B$2*2*ASIN(SQRT(SIN(RADIANS(I62-G62)/2)^2+COS(RADIANS(G62))*COS(RADIANS(I62))*SIN(RADIANS(J62-H62)/2)^2))</f>
        <v>140.368067268441</v>
      </c>
      <c r="L62" s="18" t="n">
        <f aca="false">K62*Assumptions!$B$3</f>
        <v>182.478487448974</v>
      </c>
      <c r="M62" s="19" t="n">
        <f aca="false">L62/Assumptions!$B$4</f>
        <v>4.05507749886609</v>
      </c>
      <c r="N62" s="9" t="s">
        <v>1365</v>
      </c>
    </row>
    <row r="63" customFormat="false" ht="15" hidden="false" customHeight="false" outlineLevel="0" collapsed="false">
      <c r="A63" s="9" t="s">
        <v>1426</v>
      </c>
      <c r="B63" s="9" t="s">
        <v>124</v>
      </c>
      <c r="C63" s="9" t="str">
        <f aca="false">IFERROR(INDEX(Destination!$B$2:$B$501,MATCH(B63,Destination!$A$2:$A$501,0)),"")</f>
        <v>Khajuraho</v>
      </c>
      <c r="D63" s="9" t="s">
        <v>769</v>
      </c>
      <c r="E63" s="9" t="str">
        <f aca="false">IFERROR(INDEX(Destination!$B$2:$B$501,MATCH(D63,Destination!$A$2:$A$501,0)),"")</f>
        <v>Bandhavgarh</v>
      </c>
      <c r="F63" s="9" t="s">
        <v>1364</v>
      </c>
      <c r="G63" s="12" t="n">
        <f aca="false">INDEX(Destination!$F$2:$F$501,MATCH(B63,Destination!$A$2:$A$501,0))</f>
        <v>24.85</v>
      </c>
      <c r="H63" s="12" t="n">
        <f aca="false">INDEX(Destination!$G$2:$G$501,MATCH(B63,Destination!$A$2:$A$501,0))</f>
        <v>79.92</v>
      </c>
      <c r="I63" s="12" t="n">
        <f aca="false">INDEX(Destination!$F$2:$F$501,MATCH(D63,Destination!$A$2:$A$501,0))</f>
        <v>23.72</v>
      </c>
      <c r="J63" s="12" t="n">
        <f aca="false">INDEX(Destination!$G$2:$G$501,MATCH(D63,Destination!$A$2:$A$501,0))</f>
        <v>81.03</v>
      </c>
      <c r="K63" s="17" t="n">
        <f aca="false">Assumptions!$B$2*2*ASIN(SQRT(SIN(RADIANS(I63-G63)/2)^2+COS(RADIANS(G63))*COS(RADIANS(I63))*SIN(RADIANS(J63-H63)/2)^2))</f>
        <v>168.655038766561</v>
      </c>
      <c r="L63" s="18" t="n">
        <f aca="false">K63*Assumptions!$B$3</f>
        <v>219.251550396529</v>
      </c>
      <c r="M63" s="19" t="n">
        <f aca="false">L63/Assumptions!$B$4</f>
        <v>4.87225667547842</v>
      </c>
      <c r="N63" s="9" t="s">
        <v>1365</v>
      </c>
    </row>
    <row r="64" customFormat="false" ht="15" hidden="false" customHeight="false" outlineLevel="0" collapsed="false">
      <c r="A64" s="9" t="s">
        <v>1427</v>
      </c>
      <c r="B64" s="9" t="s">
        <v>128</v>
      </c>
      <c r="C64" s="9" t="str">
        <f aca="false">IFERROR(INDEX(Destination!$B$2:$B$501,MATCH(B64,Destination!$A$2:$A$501,0)),"")</f>
        <v>Orchha</v>
      </c>
      <c r="D64" s="9" t="s">
        <v>775</v>
      </c>
      <c r="E64" s="9" t="str">
        <f aca="false">IFERROR(INDEX(Destination!$B$2:$B$501,MATCH(D64,Destination!$A$2:$A$501,0)),"")</f>
        <v>Chanderi</v>
      </c>
      <c r="F64" s="9" t="s">
        <v>1364</v>
      </c>
      <c r="G64" s="12" t="n">
        <f aca="false">INDEX(Destination!$F$2:$F$501,MATCH(B64,Destination!$A$2:$A$501,0))</f>
        <v>25.35</v>
      </c>
      <c r="H64" s="12" t="n">
        <f aca="false">INDEX(Destination!$G$2:$G$501,MATCH(B64,Destination!$A$2:$A$501,0))</f>
        <v>78.64</v>
      </c>
      <c r="I64" s="12" t="n">
        <f aca="false">INDEX(Destination!$F$2:$F$501,MATCH(D64,Destination!$A$2:$A$501,0))</f>
        <v>24.71</v>
      </c>
      <c r="J64" s="12" t="n">
        <f aca="false">INDEX(Destination!$G$2:$G$501,MATCH(D64,Destination!$A$2:$A$501,0))</f>
        <v>78.13</v>
      </c>
      <c r="K64" s="17" t="n">
        <f aca="false">Assumptions!$B$2*2*ASIN(SQRT(SIN(RADIANS(I64-G64)/2)^2+COS(RADIANS(G64))*COS(RADIANS(I64))*SIN(RADIANS(J64-H64)/2)^2))</f>
        <v>87.776139167708</v>
      </c>
      <c r="L64" s="18" t="n">
        <f aca="false">K64*Assumptions!$B$3</f>
        <v>114.10898091802</v>
      </c>
      <c r="M64" s="19" t="n">
        <f aca="false">L64/Assumptions!$B$4</f>
        <v>2.53575513151156</v>
      </c>
      <c r="N64" s="9" t="s">
        <v>1365</v>
      </c>
    </row>
    <row r="65" customFormat="false" ht="15" hidden="false" customHeight="false" outlineLevel="0" collapsed="false">
      <c r="A65" s="9" t="s">
        <v>1428</v>
      </c>
      <c r="B65" s="9" t="s">
        <v>128</v>
      </c>
      <c r="C65" s="9" t="str">
        <f aca="false">IFERROR(INDEX(Destination!$B$2:$B$501,MATCH(B65,Destination!$A$2:$A$501,0)),"")</f>
        <v>Orchha</v>
      </c>
      <c r="D65" s="9" t="s">
        <v>779</v>
      </c>
      <c r="E65" s="9" t="str">
        <f aca="false">IFERROR(INDEX(Destination!$B$2:$B$501,MATCH(D65,Destination!$A$2:$A$501,0)),"")</f>
        <v>Shivpuri</v>
      </c>
      <c r="F65" s="9" t="s">
        <v>1364</v>
      </c>
      <c r="G65" s="12" t="n">
        <f aca="false">INDEX(Destination!$F$2:$F$501,MATCH(B65,Destination!$A$2:$A$501,0))</f>
        <v>25.35</v>
      </c>
      <c r="H65" s="12" t="n">
        <f aca="false">INDEX(Destination!$G$2:$G$501,MATCH(B65,Destination!$A$2:$A$501,0))</f>
        <v>78.64</v>
      </c>
      <c r="I65" s="12" t="n">
        <f aca="false">INDEX(Destination!$F$2:$F$501,MATCH(D65,Destination!$A$2:$A$501,0))</f>
        <v>25.42</v>
      </c>
      <c r="J65" s="12" t="n">
        <f aca="false">INDEX(Destination!$G$2:$G$501,MATCH(D65,Destination!$A$2:$A$501,0))</f>
        <v>77.66</v>
      </c>
      <c r="K65" s="17" t="n">
        <f aca="false">Assumptions!$B$2*2*ASIN(SQRT(SIN(RADIANS(I65-G65)/2)^2+COS(RADIANS(G65))*COS(RADIANS(I65))*SIN(RADIANS(J65-H65)/2)^2))</f>
        <v>98.7565958039119</v>
      </c>
      <c r="L65" s="18" t="n">
        <f aca="false">K65*Assumptions!$B$3</f>
        <v>128.383574545085</v>
      </c>
      <c r="M65" s="19" t="n">
        <f aca="false">L65/Assumptions!$B$4</f>
        <v>2.85296832322412</v>
      </c>
      <c r="N65" s="9" t="s">
        <v>1365</v>
      </c>
    </row>
    <row r="66" customFormat="false" ht="15" hidden="false" customHeight="false" outlineLevel="0" collapsed="false">
      <c r="A66" s="9" t="s">
        <v>1429</v>
      </c>
      <c r="B66" s="9" t="s">
        <v>130</v>
      </c>
      <c r="C66" s="9" t="str">
        <f aca="false">IFERROR(INDEX(Destination!$B$2:$B$501,MATCH(B66,Destination!$A$2:$A$501,0)),"")</f>
        <v>Gwalior</v>
      </c>
      <c r="D66" s="9" t="s">
        <v>239</v>
      </c>
      <c r="E66" s="9" t="str">
        <f aca="false">IFERROR(INDEX(Destination!$B$2:$B$501,MATCH(D66,Destination!$A$2:$A$501,0)),"")</f>
        <v>Dholpur</v>
      </c>
      <c r="F66" s="9" t="s">
        <v>1364</v>
      </c>
      <c r="G66" s="12" t="n">
        <f aca="false">INDEX(Destination!$F$2:$F$501,MATCH(B66,Destination!$A$2:$A$501,0))</f>
        <v>26.22</v>
      </c>
      <c r="H66" s="12" t="n">
        <f aca="false">INDEX(Destination!$G$2:$G$501,MATCH(B66,Destination!$A$2:$A$501,0))</f>
        <v>78.18</v>
      </c>
      <c r="I66" s="12" t="n">
        <f aca="false">INDEX(Destination!$F$2:$F$501,MATCH(D66,Destination!$A$2:$A$501,0))</f>
        <v>26.7</v>
      </c>
      <c r="J66" s="12" t="n">
        <f aca="false">INDEX(Destination!$G$2:$G$501,MATCH(D66,Destination!$A$2:$A$501,0))</f>
        <v>77.89</v>
      </c>
      <c r="K66" s="17" t="n">
        <f aca="false">Assumptions!$B$2*2*ASIN(SQRT(SIN(RADIANS(I66-G66)/2)^2+COS(RADIANS(G66))*COS(RADIANS(I66))*SIN(RADIANS(J66-H66)/2)^2))</f>
        <v>60.6804959257708</v>
      </c>
      <c r="L66" s="18" t="n">
        <f aca="false">K66*Assumptions!$B$3</f>
        <v>78.8846447035021</v>
      </c>
      <c r="M66" s="19" t="n">
        <f aca="false">L66/Assumptions!$B$4</f>
        <v>1.75299210452227</v>
      </c>
      <c r="N66" s="9" t="s">
        <v>1365</v>
      </c>
    </row>
    <row r="67" customFormat="false" ht="15" hidden="false" customHeight="false" outlineLevel="0" collapsed="false">
      <c r="A67" s="9" t="s">
        <v>1430</v>
      </c>
      <c r="B67" s="9" t="s">
        <v>130</v>
      </c>
      <c r="C67" s="9" t="str">
        <f aca="false">IFERROR(INDEX(Destination!$B$2:$B$501,MATCH(B67,Destination!$A$2:$A$501,0)),"")</f>
        <v>Gwalior</v>
      </c>
      <c r="D67" s="9" t="s">
        <v>779</v>
      </c>
      <c r="E67" s="9" t="str">
        <f aca="false">IFERROR(INDEX(Destination!$B$2:$B$501,MATCH(D67,Destination!$A$2:$A$501,0)),"")</f>
        <v>Shivpuri</v>
      </c>
      <c r="F67" s="9" t="s">
        <v>1364</v>
      </c>
      <c r="G67" s="12" t="n">
        <f aca="false">INDEX(Destination!$F$2:$F$501,MATCH(B67,Destination!$A$2:$A$501,0))</f>
        <v>26.22</v>
      </c>
      <c r="H67" s="12" t="n">
        <f aca="false">INDEX(Destination!$G$2:$G$501,MATCH(B67,Destination!$A$2:$A$501,0))</f>
        <v>78.18</v>
      </c>
      <c r="I67" s="12" t="n">
        <f aca="false">INDEX(Destination!$F$2:$F$501,MATCH(D67,Destination!$A$2:$A$501,0))</f>
        <v>25.42</v>
      </c>
      <c r="J67" s="12" t="n">
        <f aca="false">INDEX(Destination!$G$2:$G$501,MATCH(D67,Destination!$A$2:$A$501,0))</f>
        <v>77.66</v>
      </c>
      <c r="K67" s="17" t="n">
        <f aca="false">Assumptions!$B$2*2*ASIN(SQRT(SIN(RADIANS(I67-G67)/2)^2+COS(RADIANS(G67))*COS(RADIANS(I67))*SIN(RADIANS(J67-H67)/2)^2))</f>
        <v>103.063892286063</v>
      </c>
      <c r="L67" s="18" t="n">
        <f aca="false">K67*Assumptions!$B$3</f>
        <v>133.983059971882</v>
      </c>
      <c r="M67" s="19" t="n">
        <f aca="false">L67/Assumptions!$B$4</f>
        <v>2.97740133270848</v>
      </c>
      <c r="N67" s="9" t="s">
        <v>1365</v>
      </c>
    </row>
    <row r="68" customFormat="false" ht="15" hidden="false" customHeight="false" outlineLevel="0" collapsed="false">
      <c r="A68" s="9" t="s">
        <v>1431</v>
      </c>
      <c r="B68" s="9" t="s">
        <v>132</v>
      </c>
      <c r="C68" s="9" t="str">
        <f aca="false">IFERROR(INDEX(Destination!$B$2:$B$501,MATCH(B68,Destination!$A$2:$A$501,0)),"")</f>
        <v>Amritsar</v>
      </c>
      <c r="D68" s="9" t="s">
        <v>144</v>
      </c>
      <c r="E68" s="9" t="str">
        <f aca="false">IFERROR(INDEX(Destination!$B$2:$B$501,MATCH(D68,Destination!$A$2:$A$501,0)),"")</f>
        <v>Dalhousie</v>
      </c>
      <c r="F68" s="9" t="s">
        <v>1364</v>
      </c>
      <c r="G68" s="12" t="n">
        <f aca="false">INDEX(Destination!$F$2:$F$501,MATCH(B68,Destination!$A$2:$A$501,0))</f>
        <v>31.63</v>
      </c>
      <c r="H68" s="12" t="n">
        <f aca="false">INDEX(Destination!$G$2:$G$501,MATCH(B68,Destination!$A$2:$A$501,0))</f>
        <v>74.87</v>
      </c>
      <c r="I68" s="12" t="n">
        <f aca="false">INDEX(Destination!$F$2:$F$501,MATCH(D68,Destination!$A$2:$A$501,0))</f>
        <v>32.54</v>
      </c>
      <c r="J68" s="12" t="n">
        <f aca="false">INDEX(Destination!$G$2:$G$501,MATCH(D68,Destination!$A$2:$A$501,0))</f>
        <v>75.97</v>
      </c>
      <c r="K68" s="17" t="n">
        <f aca="false">Assumptions!$B$2*2*ASIN(SQRT(SIN(RADIANS(I68-G68)/2)^2+COS(RADIANS(G68))*COS(RADIANS(I68))*SIN(RADIANS(J68-H68)/2)^2))</f>
        <v>144.837641452301</v>
      </c>
      <c r="L68" s="18" t="n">
        <f aca="false">K68*Assumptions!$B$3</f>
        <v>188.288933887991</v>
      </c>
      <c r="M68" s="19" t="n">
        <f aca="false">L68/Assumptions!$B$4</f>
        <v>4.18419853084425</v>
      </c>
      <c r="N68" s="9" t="s">
        <v>1365</v>
      </c>
    </row>
    <row r="69" customFormat="false" ht="15" hidden="false" customHeight="false" outlineLevel="0" collapsed="false">
      <c r="A69" s="9" t="s">
        <v>1432</v>
      </c>
      <c r="B69" s="9" t="s">
        <v>132</v>
      </c>
      <c r="C69" s="9" t="str">
        <f aca="false">IFERROR(INDEX(Destination!$B$2:$B$501,MATCH(B69,Destination!$A$2:$A$501,0)),"")</f>
        <v>Amritsar</v>
      </c>
      <c r="D69" s="9" t="s">
        <v>172</v>
      </c>
      <c r="E69" s="9" t="str">
        <f aca="false">IFERROR(INDEX(Destination!$B$2:$B$501,MATCH(D69,Destination!$A$2:$A$501,0)),"")</f>
        <v>Jammu</v>
      </c>
      <c r="F69" s="9" t="s">
        <v>1364</v>
      </c>
      <c r="G69" s="12" t="n">
        <f aca="false">INDEX(Destination!$F$2:$F$501,MATCH(B69,Destination!$A$2:$A$501,0))</f>
        <v>31.63</v>
      </c>
      <c r="H69" s="12" t="n">
        <f aca="false">INDEX(Destination!$G$2:$G$501,MATCH(B69,Destination!$A$2:$A$501,0))</f>
        <v>74.87</v>
      </c>
      <c r="I69" s="12" t="n">
        <f aca="false">INDEX(Destination!$F$2:$F$501,MATCH(D69,Destination!$A$2:$A$501,0))</f>
        <v>32.73</v>
      </c>
      <c r="J69" s="12" t="n">
        <f aca="false">INDEX(Destination!$G$2:$G$501,MATCH(D69,Destination!$A$2:$A$501,0))</f>
        <v>74.86</v>
      </c>
      <c r="K69" s="17" t="n">
        <f aca="false">Assumptions!$B$2*2*ASIN(SQRT(SIN(RADIANS(I69-G69)/2)^2+COS(RADIANS(G69))*COS(RADIANS(I69))*SIN(RADIANS(J69-H69)/2)^2))</f>
        <v>122.31803970907</v>
      </c>
      <c r="L69" s="18" t="n">
        <f aca="false">K69*Assumptions!$B$3</f>
        <v>159.013451621791</v>
      </c>
      <c r="M69" s="19" t="n">
        <f aca="false">L69/Assumptions!$B$4</f>
        <v>3.53363225826202</v>
      </c>
      <c r="N69" s="9" t="s">
        <v>1365</v>
      </c>
    </row>
    <row r="70" customFormat="false" ht="15" hidden="false" customHeight="false" outlineLevel="0" collapsed="false">
      <c r="A70" s="9" t="s">
        <v>1433</v>
      </c>
      <c r="B70" s="9" t="s">
        <v>132</v>
      </c>
      <c r="C70" s="9" t="str">
        <f aca="false">IFERROR(INDEX(Destination!$B$2:$B$501,MATCH(B70,Destination!$A$2:$A$501,0)),"")</f>
        <v>Amritsar</v>
      </c>
      <c r="D70" s="9" t="s">
        <v>176</v>
      </c>
      <c r="E70" s="9" t="str">
        <f aca="false">IFERROR(INDEX(Destination!$B$2:$B$501,MATCH(D70,Destination!$A$2:$A$501,0)),"")</f>
        <v>Katra</v>
      </c>
      <c r="F70" s="9" t="s">
        <v>1364</v>
      </c>
      <c r="G70" s="12" t="n">
        <f aca="false">INDEX(Destination!$F$2:$F$501,MATCH(B70,Destination!$A$2:$A$501,0))</f>
        <v>31.63</v>
      </c>
      <c r="H70" s="12" t="n">
        <f aca="false">INDEX(Destination!$G$2:$G$501,MATCH(B70,Destination!$A$2:$A$501,0))</f>
        <v>74.87</v>
      </c>
      <c r="I70" s="12" t="n">
        <f aca="false">INDEX(Destination!$F$2:$F$501,MATCH(D70,Destination!$A$2:$A$501,0))</f>
        <v>32.99</v>
      </c>
      <c r="J70" s="12" t="n">
        <f aca="false">INDEX(Destination!$G$2:$G$501,MATCH(D70,Destination!$A$2:$A$501,0))</f>
        <v>74.93</v>
      </c>
      <c r="K70" s="17" t="n">
        <f aca="false">Assumptions!$B$2*2*ASIN(SQRT(SIN(RADIANS(I70-G70)/2)^2+COS(RADIANS(G70))*COS(RADIANS(I70))*SIN(RADIANS(J70-H70)/2)^2))</f>
        <v>151.330177681816</v>
      </c>
      <c r="L70" s="18" t="n">
        <f aca="false">K70*Assumptions!$B$3</f>
        <v>196.729230986361</v>
      </c>
      <c r="M70" s="19" t="n">
        <f aca="false">L70/Assumptions!$B$4</f>
        <v>4.3717606885858</v>
      </c>
      <c r="N70" s="9" t="s">
        <v>1365</v>
      </c>
    </row>
    <row r="71" customFormat="false" ht="15" hidden="false" customHeight="false" outlineLevel="0" collapsed="false">
      <c r="A71" s="9" t="s">
        <v>1434</v>
      </c>
      <c r="B71" s="9" t="s">
        <v>135</v>
      </c>
      <c r="C71" s="9" t="str">
        <f aca="false">IFERROR(INDEX(Destination!$B$2:$B$501,MATCH(B71,Destination!$A$2:$A$501,0)),"")</f>
        <v>Chandigarh</v>
      </c>
      <c r="D71" s="9" t="s">
        <v>137</v>
      </c>
      <c r="E71" s="9" t="str">
        <f aca="false">IFERROR(INDEX(Destination!$B$2:$B$501,MATCH(D71,Destination!$A$2:$A$501,0)),"")</f>
        <v>Shimla</v>
      </c>
      <c r="F71" s="9" t="s">
        <v>1364</v>
      </c>
      <c r="G71" s="12" t="n">
        <f aca="false">INDEX(Destination!$F$2:$F$501,MATCH(B71,Destination!$A$2:$A$501,0))</f>
        <v>30.73</v>
      </c>
      <c r="H71" s="12" t="n">
        <f aca="false">INDEX(Destination!$G$2:$G$501,MATCH(B71,Destination!$A$2:$A$501,0))</f>
        <v>76.78</v>
      </c>
      <c r="I71" s="12" t="n">
        <f aca="false">INDEX(Destination!$F$2:$F$501,MATCH(D71,Destination!$A$2:$A$501,0))</f>
        <v>31.1</v>
      </c>
      <c r="J71" s="12" t="n">
        <f aca="false">INDEX(Destination!$G$2:$G$501,MATCH(D71,Destination!$A$2:$A$501,0))</f>
        <v>77.17</v>
      </c>
      <c r="K71" s="17" t="n">
        <f aca="false">Assumptions!$B$2*2*ASIN(SQRT(SIN(RADIANS(I71-G71)/2)^2+COS(RADIANS(G71))*COS(RADIANS(I71))*SIN(RADIANS(J71-H71)/2)^2))</f>
        <v>55.4696051280425</v>
      </c>
      <c r="L71" s="18" t="n">
        <f aca="false">K71*Assumptions!$B$3</f>
        <v>72.1104866664552</v>
      </c>
      <c r="M71" s="19" t="n">
        <f aca="false">L71/Assumptions!$B$4</f>
        <v>1.60245525925456</v>
      </c>
      <c r="N71" s="9" t="s">
        <v>1365</v>
      </c>
    </row>
    <row r="72" customFormat="false" ht="15" hidden="false" customHeight="false" outlineLevel="0" collapsed="false">
      <c r="A72" s="9" t="s">
        <v>1435</v>
      </c>
      <c r="B72" s="9" t="s">
        <v>135</v>
      </c>
      <c r="C72" s="9" t="str">
        <f aca="false">IFERROR(INDEX(Destination!$B$2:$B$501,MATCH(B72,Destination!$A$2:$A$501,0)),"")</f>
        <v>Chandigarh</v>
      </c>
      <c r="D72" s="9" t="s">
        <v>903</v>
      </c>
      <c r="E72" s="9" t="str">
        <f aca="false">IFERROR(INDEX(Destination!$B$2:$B$501,MATCH(D72,Destination!$A$2:$A$501,0)),"")</f>
        <v>Narkanda</v>
      </c>
      <c r="F72" s="9" t="s">
        <v>1364</v>
      </c>
      <c r="G72" s="12" t="n">
        <f aca="false">INDEX(Destination!$F$2:$F$501,MATCH(B72,Destination!$A$2:$A$501,0))</f>
        <v>30.73</v>
      </c>
      <c r="H72" s="12" t="n">
        <f aca="false">INDEX(Destination!$G$2:$G$501,MATCH(B72,Destination!$A$2:$A$501,0))</f>
        <v>76.78</v>
      </c>
      <c r="I72" s="12" t="n">
        <f aca="false">INDEX(Destination!$F$2:$F$501,MATCH(D72,Destination!$A$2:$A$501,0))</f>
        <v>31.26</v>
      </c>
      <c r="J72" s="12" t="n">
        <f aca="false">INDEX(Destination!$G$2:$G$501,MATCH(D72,Destination!$A$2:$A$501,0))</f>
        <v>77.45</v>
      </c>
      <c r="K72" s="17" t="n">
        <f aca="false">Assumptions!$B$2*2*ASIN(SQRT(SIN(RADIANS(I72-G72)/2)^2+COS(RADIANS(G72))*COS(RADIANS(I72))*SIN(RADIANS(J72-H72)/2)^2))</f>
        <v>86.8994991912438</v>
      </c>
      <c r="L72" s="18" t="n">
        <f aca="false">K72*Assumptions!$B$3</f>
        <v>112.969348948617</v>
      </c>
      <c r="M72" s="19" t="n">
        <f aca="false">L72/Assumptions!$B$4</f>
        <v>2.51042997663593</v>
      </c>
      <c r="N72" s="9" t="s">
        <v>1365</v>
      </c>
    </row>
    <row r="73" customFormat="false" ht="15" hidden="false" customHeight="false" outlineLevel="0" collapsed="false">
      <c r="A73" s="9" t="s">
        <v>1436</v>
      </c>
      <c r="B73" s="9" t="s">
        <v>135</v>
      </c>
      <c r="C73" s="9" t="str">
        <f aca="false">IFERROR(INDEX(Destination!$B$2:$B$501,MATCH(B73,Destination!$A$2:$A$501,0)),"")</f>
        <v>Chandigarh</v>
      </c>
      <c r="D73" s="9" t="s">
        <v>905</v>
      </c>
      <c r="E73" s="9" t="str">
        <f aca="false">IFERROR(INDEX(Destination!$B$2:$B$501,MATCH(D73,Destination!$A$2:$A$501,0)),"")</f>
        <v>Kasauli</v>
      </c>
      <c r="F73" s="9" t="s">
        <v>1364</v>
      </c>
      <c r="G73" s="12" t="n">
        <f aca="false">INDEX(Destination!$F$2:$F$501,MATCH(B73,Destination!$A$2:$A$501,0))</f>
        <v>30.73</v>
      </c>
      <c r="H73" s="12" t="n">
        <f aca="false">INDEX(Destination!$G$2:$G$501,MATCH(B73,Destination!$A$2:$A$501,0))</f>
        <v>76.78</v>
      </c>
      <c r="I73" s="12" t="n">
        <f aca="false">INDEX(Destination!$F$2:$F$501,MATCH(D73,Destination!$A$2:$A$501,0))</f>
        <v>30.9</v>
      </c>
      <c r="J73" s="12" t="n">
        <f aca="false">INDEX(Destination!$G$2:$G$501,MATCH(D73,Destination!$A$2:$A$501,0))</f>
        <v>76.96</v>
      </c>
      <c r="K73" s="17" t="n">
        <f aca="false">Assumptions!$B$2*2*ASIN(SQRT(SIN(RADIANS(I73-G73)/2)^2+COS(RADIANS(G73))*COS(RADIANS(I73))*SIN(RADIANS(J73-H73)/2)^2))</f>
        <v>25.5500701851353</v>
      </c>
      <c r="L73" s="18" t="n">
        <f aca="false">K73*Assumptions!$B$3</f>
        <v>33.2150912406759</v>
      </c>
      <c r="M73" s="19" t="n">
        <f aca="false">L73/Assumptions!$B$4</f>
        <v>0.738113138681686</v>
      </c>
      <c r="N73" s="9" t="s">
        <v>1365</v>
      </c>
    </row>
    <row r="74" customFormat="false" ht="15" hidden="false" customHeight="false" outlineLevel="0" collapsed="false">
      <c r="A74" s="9" t="s">
        <v>1437</v>
      </c>
      <c r="B74" s="9" t="s">
        <v>137</v>
      </c>
      <c r="C74" s="9" t="str">
        <f aca="false">IFERROR(INDEX(Destination!$B$2:$B$501,MATCH(B74,Destination!$A$2:$A$501,0)),"")</f>
        <v>Shimla</v>
      </c>
      <c r="D74" s="9" t="s">
        <v>903</v>
      </c>
      <c r="E74" s="9" t="str">
        <f aca="false">IFERROR(INDEX(Destination!$B$2:$B$501,MATCH(D74,Destination!$A$2:$A$501,0)),"")</f>
        <v>Narkanda</v>
      </c>
      <c r="F74" s="9" t="s">
        <v>1364</v>
      </c>
      <c r="G74" s="12" t="n">
        <f aca="false">INDEX(Destination!$F$2:$F$501,MATCH(B74,Destination!$A$2:$A$501,0))</f>
        <v>31.1</v>
      </c>
      <c r="H74" s="12" t="n">
        <f aca="false">INDEX(Destination!$G$2:$G$501,MATCH(B74,Destination!$A$2:$A$501,0))</f>
        <v>77.17</v>
      </c>
      <c r="I74" s="12" t="n">
        <f aca="false">INDEX(Destination!$F$2:$F$501,MATCH(D74,Destination!$A$2:$A$501,0))</f>
        <v>31.26</v>
      </c>
      <c r="J74" s="12" t="n">
        <f aca="false">INDEX(Destination!$G$2:$G$501,MATCH(D74,Destination!$A$2:$A$501,0))</f>
        <v>77.45</v>
      </c>
      <c r="K74" s="17" t="n">
        <f aca="false">Assumptions!$B$2*2*ASIN(SQRT(SIN(RADIANS(I74-G74)/2)^2+COS(RADIANS(G74))*COS(RADIANS(I74))*SIN(RADIANS(J74-H74)/2)^2))</f>
        <v>32.0321191651813</v>
      </c>
      <c r="L74" s="18" t="n">
        <f aca="false">K74*Assumptions!$B$3</f>
        <v>41.6417549147356</v>
      </c>
      <c r="M74" s="19" t="n">
        <f aca="false">L74/Assumptions!$B$4</f>
        <v>0.92537233143857</v>
      </c>
      <c r="N74" s="9" t="s">
        <v>1365</v>
      </c>
    </row>
    <row r="75" customFormat="false" ht="15" hidden="false" customHeight="false" outlineLevel="0" collapsed="false">
      <c r="A75" s="9" t="s">
        <v>1438</v>
      </c>
      <c r="B75" s="9" t="s">
        <v>137</v>
      </c>
      <c r="C75" s="9" t="str">
        <f aca="false">IFERROR(INDEX(Destination!$B$2:$B$501,MATCH(B75,Destination!$A$2:$A$501,0)),"")</f>
        <v>Shimla</v>
      </c>
      <c r="D75" s="9" t="s">
        <v>905</v>
      </c>
      <c r="E75" s="9" t="str">
        <f aca="false">IFERROR(INDEX(Destination!$B$2:$B$501,MATCH(D75,Destination!$A$2:$A$501,0)),"")</f>
        <v>Kasauli</v>
      </c>
      <c r="F75" s="9" t="s">
        <v>1364</v>
      </c>
      <c r="G75" s="12" t="n">
        <f aca="false">INDEX(Destination!$F$2:$F$501,MATCH(B75,Destination!$A$2:$A$501,0))</f>
        <v>31.1</v>
      </c>
      <c r="H75" s="12" t="n">
        <f aca="false">INDEX(Destination!$G$2:$G$501,MATCH(B75,Destination!$A$2:$A$501,0))</f>
        <v>77.17</v>
      </c>
      <c r="I75" s="12" t="n">
        <f aca="false">INDEX(Destination!$F$2:$F$501,MATCH(D75,Destination!$A$2:$A$501,0))</f>
        <v>30.9</v>
      </c>
      <c r="J75" s="12" t="n">
        <f aca="false">INDEX(Destination!$G$2:$G$501,MATCH(D75,Destination!$A$2:$A$501,0))</f>
        <v>76.96</v>
      </c>
      <c r="K75" s="17" t="n">
        <f aca="false">Assumptions!$B$2*2*ASIN(SQRT(SIN(RADIANS(I75-G75)/2)^2+COS(RADIANS(G75))*COS(RADIANS(I75))*SIN(RADIANS(J75-H75)/2)^2))</f>
        <v>29.9198604659043</v>
      </c>
      <c r="L75" s="18" t="n">
        <f aca="false">K75*Assumptions!$B$3</f>
        <v>38.8958186056756</v>
      </c>
      <c r="M75" s="19" t="n">
        <f aca="false">L75/Assumptions!$B$4</f>
        <v>0.864351524570568</v>
      </c>
      <c r="N75" s="9" t="s">
        <v>1365</v>
      </c>
    </row>
    <row r="76" customFormat="false" ht="15" hidden="false" customHeight="false" outlineLevel="0" collapsed="false">
      <c r="A76" s="9" t="s">
        <v>1439</v>
      </c>
      <c r="B76" s="9" t="s">
        <v>140</v>
      </c>
      <c r="C76" s="9" t="str">
        <f aca="false">IFERROR(INDEX(Destination!$B$2:$B$501,MATCH(B76,Destination!$A$2:$A$501,0)),"")</f>
        <v>Manali</v>
      </c>
      <c r="D76" s="9" t="s">
        <v>881</v>
      </c>
      <c r="E76" s="9" t="str">
        <f aca="false">IFERROR(INDEX(Destination!$B$2:$B$501,MATCH(D76,Destination!$A$2:$A$501,0)),"")</f>
        <v>Kasol</v>
      </c>
      <c r="F76" s="9" t="s">
        <v>1364</v>
      </c>
      <c r="G76" s="12" t="n">
        <f aca="false">INDEX(Destination!$F$2:$F$501,MATCH(B76,Destination!$A$2:$A$501,0))</f>
        <v>32.24</v>
      </c>
      <c r="H76" s="12" t="n">
        <f aca="false">INDEX(Destination!$G$2:$G$501,MATCH(B76,Destination!$A$2:$A$501,0))</f>
        <v>77.19</v>
      </c>
      <c r="I76" s="12" t="n">
        <f aca="false">INDEX(Destination!$F$2:$F$501,MATCH(D76,Destination!$A$2:$A$501,0))</f>
        <v>32.01</v>
      </c>
      <c r="J76" s="12" t="n">
        <f aca="false">INDEX(Destination!$G$2:$G$501,MATCH(D76,Destination!$A$2:$A$501,0))</f>
        <v>77.31</v>
      </c>
      <c r="K76" s="17" t="n">
        <f aca="false">Assumptions!$B$2*2*ASIN(SQRT(SIN(RADIANS(I76-G76)/2)^2+COS(RADIANS(G76))*COS(RADIANS(I76))*SIN(RADIANS(J76-H76)/2)^2))</f>
        <v>27.9601571125313</v>
      </c>
      <c r="L76" s="18" t="n">
        <f aca="false">K76*Assumptions!$B$3</f>
        <v>36.3482042462907</v>
      </c>
      <c r="M76" s="19" t="n">
        <f aca="false">L76/Assumptions!$B$4</f>
        <v>0.807737872139794</v>
      </c>
      <c r="N76" s="9" t="s">
        <v>1365</v>
      </c>
    </row>
    <row r="77" customFormat="false" ht="15" hidden="false" customHeight="false" outlineLevel="0" collapsed="false">
      <c r="A77" s="9" t="s">
        <v>1440</v>
      </c>
      <c r="B77" s="9" t="s">
        <v>140</v>
      </c>
      <c r="C77" s="9" t="str">
        <f aca="false">IFERROR(INDEX(Destination!$B$2:$B$501,MATCH(B77,Destination!$A$2:$A$501,0)),"")</f>
        <v>Manali</v>
      </c>
      <c r="D77" s="9" t="s">
        <v>889</v>
      </c>
      <c r="E77" s="9" t="str">
        <f aca="false">IFERROR(INDEX(Destination!$B$2:$B$501,MATCH(D77,Destination!$A$2:$A$501,0)),"")</f>
        <v>Kullu</v>
      </c>
      <c r="F77" s="9" t="s">
        <v>1364</v>
      </c>
      <c r="G77" s="12" t="n">
        <f aca="false">INDEX(Destination!$F$2:$F$501,MATCH(B77,Destination!$A$2:$A$501,0))</f>
        <v>32.24</v>
      </c>
      <c r="H77" s="12" t="n">
        <f aca="false">INDEX(Destination!$G$2:$G$501,MATCH(B77,Destination!$A$2:$A$501,0))</f>
        <v>77.19</v>
      </c>
      <c r="I77" s="12" t="n">
        <f aca="false">INDEX(Destination!$F$2:$F$501,MATCH(D77,Destination!$A$2:$A$501,0))</f>
        <v>31.96</v>
      </c>
      <c r="J77" s="12" t="n">
        <f aca="false">INDEX(Destination!$G$2:$G$501,MATCH(D77,Destination!$A$2:$A$501,0))</f>
        <v>77.11</v>
      </c>
      <c r="K77" s="17" t="n">
        <f aca="false">Assumptions!$B$2*2*ASIN(SQRT(SIN(RADIANS(I77-G77)/2)^2+COS(RADIANS(G77))*COS(RADIANS(I77))*SIN(RADIANS(J77-H77)/2)^2))</f>
        <v>32.0335426101699</v>
      </c>
      <c r="L77" s="18" t="n">
        <f aca="false">K77*Assumptions!$B$3</f>
        <v>41.6436053932209</v>
      </c>
      <c r="M77" s="19" t="n">
        <f aca="false">L77/Assumptions!$B$4</f>
        <v>0.925413453182687</v>
      </c>
      <c r="N77" s="9" t="s">
        <v>1365</v>
      </c>
    </row>
    <row r="78" customFormat="false" ht="15" hidden="false" customHeight="false" outlineLevel="0" collapsed="false">
      <c r="A78" s="9" t="s">
        <v>1441</v>
      </c>
      <c r="B78" s="9" t="s">
        <v>140</v>
      </c>
      <c r="C78" s="9" t="str">
        <f aca="false">IFERROR(INDEX(Destination!$B$2:$B$501,MATCH(B78,Destination!$A$2:$A$501,0)),"")</f>
        <v>Manali</v>
      </c>
      <c r="D78" s="9" t="s">
        <v>899</v>
      </c>
      <c r="E78" s="9" t="str">
        <f aca="false">IFERROR(INDEX(Destination!$B$2:$B$501,MATCH(D78,Destination!$A$2:$A$501,0)),"")</f>
        <v>Manikaran</v>
      </c>
      <c r="F78" s="9" t="s">
        <v>1364</v>
      </c>
      <c r="G78" s="12" t="n">
        <f aca="false">INDEX(Destination!$F$2:$F$501,MATCH(B78,Destination!$A$2:$A$501,0))</f>
        <v>32.24</v>
      </c>
      <c r="H78" s="12" t="n">
        <f aca="false">INDEX(Destination!$G$2:$G$501,MATCH(B78,Destination!$A$2:$A$501,0))</f>
        <v>77.19</v>
      </c>
      <c r="I78" s="12" t="n">
        <f aca="false">INDEX(Destination!$F$2:$F$501,MATCH(D78,Destination!$A$2:$A$501,0))</f>
        <v>32.03</v>
      </c>
      <c r="J78" s="12" t="n">
        <f aca="false">INDEX(Destination!$G$2:$G$501,MATCH(D78,Destination!$A$2:$A$501,0))</f>
        <v>77.35</v>
      </c>
      <c r="K78" s="17" t="n">
        <f aca="false">Assumptions!$B$2*2*ASIN(SQRT(SIN(RADIANS(I78-G78)/2)^2+COS(RADIANS(G78))*COS(RADIANS(I78))*SIN(RADIANS(J78-H78)/2)^2))</f>
        <v>27.7891286201397</v>
      </c>
      <c r="L78" s="18" t="n">
        <f aca="false">K78*Assumptions!$B$3</f>
        <v>36.1258672061816</v>
      </c>
      <c r="M78" s="19" t="n">
        <f aca="false">L78/Assumptions!$B$4</f>
        <v>0.802797049026257</v>
      </c>
      <c r="N78" s="9" t="s">
        <v>1365</v>
      </c>
    </row>
    <row r="79" customFormat="false" ht="15" hidden="false" customHeight="false" outlineLevel="0" collapsed="false">
      <c r="A79" s="9" t="s">
        <v>1442</v>
      </c>
      <c r="B79" s="9" t="s">
        <v>140</v>
      </c>
      <c r="C79" s="9" t="str">
        <f aca="false">IFERROR(INDEX(Destination!$B$2:$B$501,MATCH(B79,Destination!$A$2:$A$501,0)),"")</f>
        <v>Manali</v>
      </c>
      <c r="D79" s="9" t="s">
        <v>909</v>
      </c>
      <c r="E79" s="9" t="str">
        <f aca="false">IFERROR(INDEX(Destination!$B$2:$B$501,MATCH(D79,Destination!$A$2:$A$501,0)),"")</f>
        <v>Rohtang Pass</v>
      </c>
      <c r="F79" s="9" t="s">
        <v>1364</v>
      </c>
      <c r="G79" s="12" t="n">
        <f aca="false">INDEX(Destination!$F$2:$F$501,MATCH(B79,Destination!$A$2:$A$501,0))</f>
        <v>32.24</v>
      </c>
      <c r="H79" s="12" t="n">
        <f aca="false">INDEX(Destination!$G$2:$G$501,MATCH(B79,Destination!$A$2:$A$501,0))</f>
        <v>77.19</v>
      </c>
      <c r="I79" s="12" t="n">
        <f aca="false">INDEX(Destination!$F$2:$F$501,MATCH(D79,Destination!$A$2:$A$501,0))</f>
        <v>32.37</v>
      </c>
      <c r="J79" s="12" t="n">
        <f aca="false">INDEX(Destination!$G$2:$G$501,MATCH(D79,Destination!$A$2:$A$501,0))</f>
        <v>77.25</v>
      </c>
      <c r="K79" s="17" t="n">
        <f aca="false">Assumptions!$B$2*2*ASIN(SQRT(SIN(RADIANS(I79-G79)/2)^2+COS(RADIANS(G79))*COS(RADIANS(I79))*SIN(RADIANS(J79-H79)/2)^2))</f>
        <v>15.5162935971176</v>
      </c>
      <c r="L79" s="18" t="n">
        <f aca="false">K79*Assumptions!$B$3</f>
        <v>20.1711816762529</v>
      </c>
      <c r="M79" s="19" t="n">
        <f aca="false">L79/Assumptions!$B$4</f>
        <v>0.448248481694508</v>
      </c>
      <c r="N79" s="9" t="s">
        <v>1365</v>
      </c>
    </row>
    <row r="80" customFormat="false" ht="15" hidden="false" customHeight="false" outlineLevel="0" collapsed="false">
      <c r="A80" s="9" t="s">
        <v>1443</v>
      </c>
      <c r="B80" s="9" t="s">
        <v>142</v>
      </c>
      <c r="C80" s="9" t="str">
        <f aca="false">IFERROR(INDEX(Destination!$B$2:$B$501,MATCH(B80,Destination!$A$2:$A$501,0)),"")</f>
        <v>Dharamshala</v>
      </c>
      <c r="D80" s="9" t="s">
        <v>144</v>
      </c>
      <c r="E80" s="9" t="str">
        <f aca="false">IFERROR(INDEX(Destination!$B$2:$B$501,MATCH(D80,Destination!$A$2:$A$501,0)),"")</f>
        <v>Dalhousie</v>
      </c>
      <c r="F80" s="9" t="s">
        <v>1364</v>
      </c>
      <c r="G80" s="12" t="n">
        <f aca="false">INDEX(Destination!$F$2:$F$501,MATCH(B80,Destination!$A$2:$A$501,0))</f>
        <v>32.22</v>
      </c>
      <c r="H80" s="12" t="n">
        <f aca="false">INDEX(Destination!$G$2:$G$501,MATCH(B80,Destination!$A$2:$A$501,0))</f>
        <v>76.32</v>
      </c>
      <c r="I80" s="12" t="n">
        <f aca="false">INDEX(Destination!$F$2:$F$501,MATCH(D80,Destination!$A$2:$A$501,0))</f>
        <v>32.54</v>
      </c>
      <c r="J80" s="12" t="n">
        <f aca="false">INDEX(Destination!$G$2:$G$501,MATCH(D80,Destination!$A$2:$A$501,0))</f>
        <v>75.97</v>
      </c>
      <c r="K80" s="17" t="n">
        <f aca="false">Assumptions!$B$2*2*ASIN(SQRT(SIN(RADIANS(I80-G80)/2)^2+COS(RADIANS(G80))*COS(RADIANS(I80))*SIN(RADIANS(J80-H80)/2)^2))</f>
        <v>48.4390278435815</v>
      </c>
      <c r="L80" s="18" t="n">
        <f aca="false">K80*Assumptions!$B$3</f>
        <v>62.9707361966559</v>
      </c>
      <c r="M80" s="19" t="n">
        <f aca="false">L80/Assumptions!$B$4</f>
        <v>1.39934969325902</v>
      </c>
      <c r="N80" s="9" t="s">
        <v>1365</v>
      </c>
    </row>
    <row r="81" customFormat="false" ht="15" hidden="false" customHeight="false" outlineLevel="0" collapsed="false">
      <c r="A81" s="9" t="s">
        <v>1444</v>
      </c>
      <c r="B81" s="9" t="s">
        <v>142</v>
      </c>
      <c r="C81" s="9" t="str">
        <f aca="false">IFERROR(INDEX(Destination!$B$2:$B$501,MATCH(B81,Destination!$A$2:$A$501,0)),"")</f>
        <v>Dharamshala</v>
      </c>
      <c r="D81" s="9" t="s">
        <v>891</v>
      </c>
      <c r="E81" s="9" t="str">
        <f aca="false">IFERROR(INDEX(Destination!$B$2:$B$501,MATCH(D81,Destination!$A$2:$A$501,0)),"")</f>
        <v>Chamba</v>
      </c>
      <c r="F81" s="9" t="s">
        <v>1364</v>
      </c>
      <c r="G81" s="12" t="n">
        <f aca="false">INDEX(Destination!$F$2:$F$501,MATCH(B81,Destination!$A$2:$A$501,0))</f>
        <v>32.22</v>
      </c>
      <c r="H81" s="12" t="n">
        <f aca="false">INDEX(Destination!$G$2:$G$501,MATCH(B81,Destination!$A$2:$A$501,0))</f>
        <v>76.32</v>
      </c>
      <c r="I81" s="12" t="n">
        <f aca="false">INDEX(Destination!$F$2:$F$501,MATCH(D81,Destination!$A$2:$A$501,0))</f>
        <v>32.55</v>
      </c>
      <c r="J81" s="12" t="n">
        <f aca="false">INDEX(Destination!$G$2:$G$501,MATCH(D81,Destination!$A$2:$A$501,0))</f>
        <v>76.13</v>
      </c>
      <c r="K81" s="17" t="n">
        <f aca="false">Assumptions!$B$2*2*ASIN(SQRT(SIN(RADIANS(I81-G81)/2)^2+COS(RADIANS(G81))*COS(RADIANS(I81))*SIN(RADIANS(J81-H81)/2)^2))</f>
        <v>40.8016753537172</v>
      </c>
      <c r="L81" s="18" t="n">
        <f aca="false">K81*Assumptions!$B$3</f>
        <v>53.0421779598323</v>
      </c>
      <c r="M81" s="19" t="n">
        <f aca="false">L81/Assumptions!$B$4</f>
        <v>1.17871506577405</v>
      </c>
      <c r="N81" s="9" t="s">
        <v>1365</v>
      </c>
    </row>
    <row r="82" customFormat="false" ht="15" hidden="false" customHeight="false" outlineLevel="0" collapsed="false">
      <c r="A82" s="9" t="s">
        <v>1445</v>
      </c>
      <c r="B82" s="9" t="s">
        <v>142</v>
      </c>
      <c r="C82" s="9" t="str">
        <f aca="false">IFERROR(INDEX(Destination!$B$2:$B$501,MATCH(B82,Destination!$A$2:$A$501,0)),"")</f>
        <v>Dharamshala</v>
      </c>
      <c r="D82" s="9" t="s">
        <v>893</v>
      </c>
      <c r="E82" s="9" t="str">
        <f aca="false">IFERROR(INDEX(Destination!$B$2:$B$501,MATCH(D82,Destination!$A$2:$A$501,0)),"")</f>
        <v>Khajjiar</v>
      </c>
      <c r="F82" s="9" t="s">
        <v>1364</v>
      </c>
      <c r="G82" s="12" t="n">
        <f aca="false">INDEX(Destination!$F$2:$F$501,MATCH(B82,Destination!$A$2:$A$501,0))</f>
        <v>32.22</v>
      </c>
      <c r="H82" s="12" t="n">
        <f aca="false">INDEX(Destination!$G$2:$G$501,MATCH(B82,Destination!$A$2:$A$501,0))</f>
        <v>76.32</v>
      </c>
      <c r="I82" s="12" t="n">
        <f aca="false">INDEX(Destination!$F$2:$F$501,MATCH(D82,Destination!$A$2:$A$501,0))</f>
        <v>32.55</v>
      </c>
      <c r="J82" s="12" t="n">
        <f aca="false">INDEX(Destination!$G$2:$G$501,MATCH(D82,Destination!$A$2:$A$501,0))</f>
        <v>76.06</v>
      </c>
      <c r="K82" s="17" t="n">
        <f aca="false">Assumptions!$B$2*2*ASIN(SQRT(SIN(RADIANS(I82-G82)/2)^2+COS(RADIANS(G82))*COS(RADIANS(I82))*SIN(RADIANS(J82-H82)/2)^2))</f>
        <v>44.0740324340712</v>
      </c>
      <c r="L82" s="18" t="n">
        <f aca="false">K82*Assumptions!$B$3</f>
        <v>57.2962421642925</v>
      </c>
      <c r="M82" s="19" t="n">
        <f aca="false">L82/Assumptions!$B$4</f>
        <v>1.27324982587317</v>
      </c>
      <c r="N82" s="9" t="s">
        <v>1365</v>
      </c>
    </row>
    <row r="83" customFormat="false" ht="15" hidden="false" customHeight="false" outlineLevel="0" collapsed="false">
      <c r="A83" s="9" t="s">
        <v>1446</v>
      </c>
      <c r="B83" s="9" t="s">
        <v>142</v>
      </c>
      <c r="C83" s="9" t="str">
        <f aca="false">IFERROR(INDEX(Destination!$B$2:$B$501,MATCH(B83,Destination!$A$2:$A$501,0)),"")</f>
        <v>Dharamshala</v>
      </c>
      <c r="D83" s="9" t="s">
        <v>895</v>
      </c>
      <c r="E83" s="9" t="str">
        <f aca="false">IFERROR(INDEX(Destination!$B$2:$B$501,MATCH(D83,Destination!$A$2:$A$501,0)),"")</f>
        <v>Bir Billing</v>
      </c>
      <c r="F83" s="9" t="s">
        <v>1364</v>
      </c>
      <c r="G83" s="12" t="n">
        <f aca="false">INDEX(Destination!$F$2:$F$501,MATCH(B83,Destination!$A$2:$A$501,0))</f>
        <v>32.22</v>
      </c>
      <c r="H83" s="12" t="n">
        <f aca="false">INDEX(Destination!$G$2:$G$501,MATCH(B83,Destination!$A$2:$A$501,0))</f>
        <v>76.32</v>
      </c>
      <c r="I83" s="12" t="n">
        <f aca="false">INDEX(Destination!$F$2:$F$501,MATCH(D83,Destination!$A$2:$A$501,0))</f>
        <v>32.04</v>
      </c>
      <c r="J83" s="12" t="n">
        <f aca="false">INDEX(Destination!$G$2:$G$501,MATCH(D83,Destination!$A$2:$A$501,0))</f>
        <v>76.72</v>
      </c>
      <c r="K83" s="17" t="n">
        <f aca="false">Assumptions!$B$2*2*ASIN(SQRT(SIN(RADIANS(I83-G83)/2)^2+COS(RADIANS(G83))*COS(RADIANS(I83))*SIN(RADIANS(J83-H83)/2)^2))</f>
        <v>42.6534674331274</v>
      </c>
      <c r="L83" s="18" t="n">
        <f aca="false">K83*Assumptions!$B$3</f>
        <v>55.4495076630656</v>
      </c>
      <c r="M83" s="19" t="n">
        <f aca="false">L83/Assumptions!$B$4</f>
        <v>1.23221128140146</v>
      </c>
      <c r="N83" s="9" t="s">
        <v>1365</v>
      </c>
    </row>
    <row r="84" customFormat="false" ht="15" hidden="false" customHeight="false" outlineLevel="0" collapsed="false">
      <c r="A84" s="9" t="s">
        <v>1447</v>
      </c>
      <c r="B84" s="9" t="s">
        <v>144</v>
      </c>
      <c r="C84" s="9" t="str">
        <f aca="false">IFERROR(INDEX(Destination!$B$2:$B$501,MATCH(B84,Destination!$A$2:$A$501,0)),"")</f>
        <v>Dalhousie</v>
      </c>
      <c r="D84" s="9" t="s">
        <v>172</v>
      </c>
      <c r="E84" s="9" t="str">
        <f aca="false">IFERROR(INDEX(Destination!$B$2:$B$501,MATCH(D84,Destination!$A$2:$A$501,0)),"")</f>
        <v>Jammu</v>
      </c>
      <c r="F84" s="9" t="s">
        <v>1364</v>
      </c>
      <c r="G84" s="12" t="n">
        <f aca="false">INDEX(Destination!$F$2:$F$501,MATCH(B84,Destination!$A$2:$A$501,0))</f>
        <v>32.54</v>
      </c>
      <c r="H84" s="12" t="n">
        <f aca="false">INDEX(Destination!$G$2:$G$501,MATCH(B84,Destination!$A$2:$A$501,0))</f>
        <v>75.97</v>
      </c>
      <c r="I84" s="12" t="n">
        <f aca="false">INDEX(Destination!$F$2:$F$501,MATCH(D84,Destination!$A$2:$A$501,0))</f>
        <v>32.73</v>
      </c>
      <c r="J84" s="12" t="n">
        <f aca="false">INDEX(Destination!$G$2:$G$501,MATCH(D84,Destination!$A$2:$A$501,0))</f>
        <v>74.86</v>
      </c>
      <c r="K84" s="17" t="n">
        <f aca="false">Assumptions!$B$2*2*ASIN(SQRT(SIN(RADIANS(I84-G84)/2)^2+COS(RADIANS(G84))*COS(RADIANS(I84))*SIN(RADIANS(J84-H84)/2)^2))</f>
        <v>106.065056795643</v>
      </c>
      <c r="L84" s="18" t="n">
        <f aca="false">K84*Assumptions!$B$3</f>
        <v>137.884573834335</v>
      </c>
      <c r="M84" s="19" t="n">
        <f aca="false">L84/Assumptions!$B$4</f>
        <v>3.06410164076301</v>
      </c>
      <c r="N84" s="9" t="s">
        <v>1365</v>
      </c>
    </row>
    <row r="85" customFormat="false" ht="15" hidden="false" customHeight="false" outlineLevel="0" collapsed="false">
      <c r="A85" s="9" t="s">
        <v>1448</v>
      </c>
      <c r="B85" s="9" t="s">
        <v>144</v>
      </c>
      <c r="C85" s="9" t="str">
        <f aca="false">IFERROR(INDEX(Destination!$B$2:$B$501,MATCH(B85,Destination!$A$2:$A$501,0)),"")</f>
        <v>Dalhousie</v>
      </c>
      <c r="D85" s="9" t="s">
        <v>174</v>
      </c>
      <c r="E85" s="9" t="str">
        <f aca="false">IFERROR(INDEX(Destination!$B$2:$B$501,MATCH(D85,Destination!$A$2:$A$501,0)),"")</f>
        <v>Patnitop</v>
      </c>
      <c r="F85" s="9" t="s">
        <v>1364</v>
      </c>
      <c r="G85" s="12" t="n">
        <f aca="false">INDEX(Destination!$F$2:$F$501,MATCH(B85,Destination!$A$2:$A$501,0))</f>
        <v>32.54</v>
      </c>
      <c r="H85" s="12" t="n">
        <f aca="false">INDEX(Destination!$G$2:$G$501,MATCH(B85,Destination!$A$2:$A$501,0))</f>
        <v>75.97</v>
      </c>
      <c r="I85" s="12" t="n">
        <f aca="false">INDEX(Destination!$F$2:$F$501,MATCH(D85,Destination!$A$2:$A$501,0))</f>
        <v>33.09</v>
      </c>
      <c r="J85" s="12" t="n">
        <f aca="false">INDEX(Destination!$G$2:$G$501,MATCH(D85,Destination!$A$2:$A$501,0))</f>
        <v>75.33</v>
      </c>
      <c r="K85" s="17" t="n">
        <f aca="false">Assumptions!$B$2*2*ASIN(SQRT(SIN(RADIANS(I85-G85)/2)^2+COS(RADIANS(G85))*COS(RADIANS(I85))*SIN(RADIANS(J85-H85)/2)^2))</f>
        <v>85.5406493346126</v>
      </c>
      <c r="L85" s="18" t="n">
        <f aca="false">K85*Assumptions!$B$3</f>
        <v>111.202844134996</v>
      </c>
      <c r="M85" s="19" t="n">
        <f aca="false">L85/Assumptions!$B$4</f>
        <v>2.47117431411103</v>
      </c>
      <c r="N85" s="9" t="s">
        <v>1365</v>
      </c>
    </row>
    <row r="86" customFormat="false" ht="15" hidden="false" customHeight="false" outlineLevel="0" collapsed="false">
      <c r="A86" s="9" t="s">
        <v>1449</v>
      </c>
      <c r="B86" s="9" t="s">
        <v>144</v>
      </c>
      <c r="C86" s="9" t="str">
        <f aca="false">IFERROR(INDEX(Destination!$B$2:$B$501,MATCH(B86,Destination!$A$2:$A$501,0)),"")</f>
        <v>Dalhousie</v>
      </c>
      <c r="D86" s="9" t="s">
        <v>176</v>
      </c>
      <c r="E86" s="9" t="str">
        <f aca="false">IFERROR(INDEX(Destination!$B$2:$B$501,MATCH(D86,Destination!$A$2:$A$501,0)),"")</f>
        <v>Katra</v>
      </c>
      <c r="F86" s="9" t="s">
        <v>1364</v>
      </c>
      <c r="G86" s="12" t="n">
        <f aca="false">INDEX(Destination!$F$2:$F$501,MATCH(B86,Destination!$A$2:$A$501,0))</f>
        <v>32.54</v>
      </c>
      <c r="H86" s="12" t="n">
        <f aca="false">INDEX(Destination!$G$2:$G$501,MATCH(B86,Destination!$A$2:$A$501,0))</f>
        <v>75.97</v>
      </c>
      <c r="I86" s="12" t="n">
        <f aca="false">INDEX(Destination!$F$2:$F$501,MATCH(D86,Destination!$A$2:$A$501,0))</f>
        <v>32.99</v>
      </c>
      <c r="J86" s="12" t="n">
        <f aca="false">INDEX(Destination!$G$2:$G$501,MATCH(D86,Destination!$A$2:$A$501,0))</f>
        <v>74.93</v>
      </c>
      <c r="K86" s="17" t="n">
        <f aca="false">Assumptions!$B$2*2*ASIN(SQRT(SIN(RADIANS(I86-G86)/2)^2+COS(RADIANS(G86))*COS(RADIANS(I86))*SIN(RADIANS(J86-H86)/2)^2))</f>
        <v>109.361408276989</v>
      </c>
      <c r="L86" s="18" t="n">
        <f aca="false">K86*Assumptions!$B$3</f>
        <v>142.169830760086</v>
      </c>
      <c r="M86" s="19" t="n">
        <f aca="false">L86/Assumptions!$B$4</f>
        <v>3.15932957244635</v>
      </c>
      <c r="N86" s="9" t="s">
        <v>1365</v>
      </c>
    </row>
    <row r="87" customFormat="false" ht="15" hidden="false" customHeight="false" outlineLevel="0" collapsed="false">
      <c r="A87" s="9" t="s">
        <v>1450</v>
      </c>
      <c r="B87" s="9" t="s">
        <v>144</v>
      </c>
      <c r="C87" s="9" t="str">
        <f aca="false">IFERROR(INDEX(Destination!$B$2:$B$501,MATCH(B87,Destination!$A$2:$A$501,0)),"")</f>
        <v>Dalhousie</v>
      </c>
      <c r="D87" s="9" t="s">
        <v>879</v>
      </c>
      <c r="E87" s="9" t="str">
        <f aca="false">IFERROR(INDEX(Destination!$B$2:$B$501,MATCH(D87,Destination!$A$2:$A$501,0)),"")</f>
        <v>McLeod Ganj</v>
      </c>
      <c r="F87" s="9" t="s">
        <v>1364</v>
      </c>
      <c r="G87" s="12" t="n">
        <f aca="false">INDEX(Destination!$F$2:$F$501,MATCH(B87,Destination!$A$2:$A$501,0))</f>
        <v>32.54</v>
      </c>
      <c r="H87" s="12" t="n">
        <f aca="false">INDEX(Destination!$G$2:$G$501,MATCH(B87,Destination!$A$2:$A$501,0))</f>
        <v>75.97</v>
      </c>
      <c r="I87" s="12" t="n">
        <f aca="false">INDEX(Destination!$F$2:$F$501,MATCH(D87,Destination!$A$2:$A$501,0))</f>
        <v>32.24</v>
      </c>
      <c r="J87" s="12" t="n">
        <f aca="false">INDEX(Destination!$G$2:$G$501,MATCH(D87,Destination!$A$2:$A$501,0))</f>
        <v>76.32</v>
      </c>
      <c r="K87" s="17" t="n">
        <f aca="false">Assumptions!$B$2*2*ASIN(SQRT(SIN(RADIANS(I87-G87)/2)^2+COS(RADIANS(G87))*COS(RADIANS(I87))*SIN(RADIANS(J87-H87)/2)^2))</f>
        <v>46.8271669836485</v>
      </c>
      <c r="L87" s="18" t="n">
        <f aca="false">K87*Assumptions!$B$3</f>
        <v>60.875317078743</v>
      </c>
      <c r="M87" s="19" t="n">
        <f aca="false">L87/Assumptions!$B$4</f>
        <v>1.35278482397207</v>
      </c>
      <c r="N87" s="9" t="s">
        <v>1365</v>
      </c>
    </row>
    <row r="88" customFormat="false" ht="15" hidden="false" customHeight="false" outlineLevel="0" collapsed="false">
      <c r="A88" s="9" t="s">
        <v>1451</v>
      </c>
      <c r="B88" s="9" t="s">
        <v>144</v>
      </c>
      <c r="C88" s="9" t="str">
        <f aca="false">IFERROR(INDEX(Destination!$B$2:$B$501,MATCH(B88,Destination!$A$2:$A$501,0)),"")</f>
        <v>Dalhousie</v>
      </c>
      <c r="D88" s="9" t="s">
        <v>891</v>
      </c>
      <c r="E88" s="9" t="str">
        <f aca="false">IFERROR(INDEX(Destination!$B$2:$B$501,MATCH(D88,Destination!$A$2:$A$501,0)),"")</f>
        <v>Chamba</v>
      </c>
      <c r="F88" s="9" t="s">
        <v>1364</v>
      </c>
      <c r="G88" s="12" t="n">
        <f aca="false">INDEX(Destination!$F$2:$F$501,MATCH(B88,Destination!$A$2:$A$501,0))</f>
        <v>32.54</v>
      </c>
      <c r="H88" s="12" t="n">
        <f aca="false">INDEX(Destination!$G$2:$G$501,MATCH(B88,Destination!$A$2:$A$501,0))</f>
        <v>75.97</v>
      </c>
      <c r="I88" s="12" t="n">
        <f aca="false">INDEX(Destination!$F$2:$F$501,MATCH(D88,Destination!$A$2:$A$501,0))</f>
        <v>32.55</v>
      </c>
      <c r="J88" s="12" t="n">
        <f aca="false">INDEX(Destination!$G$2:$G$501,MATCH(D88,Destination!$A$2:$A$501,0))</f>
        <v>76.13</v>
      </c>
      <c r="K88" s="17" t="n">
        <f aca="false">Assumptions!$B$2*2*ASIN(SQRT(SIN(RADIANS(I88-G88)/2)^2+COS(RADIANS(G88))*COS(RADIANS(I88))*SIN(RADIANS(J88-H88)/2)^2))</f>
        <v>15.038587097091</v>
      </c>
      <c r="L88" s="18" t="n">
        <f aca="false">K88*Assumptions!$B$3</f>
        <v>19.5501632262184</v>
      </c>
      <c r="M88" s="19" t="n">
        <f aca="false">L88/Assumptions!$B$4</f>
        <v>0.434448071693741</v>
      </c>
      <c r="N88" s="9" t="s">
        <v>1365</v>
      </c>
    </row>
    <row r="89" customFormat="false" ht="15" hidden="false" customHeight="false" outlineLevel="0" collapsed="false">
      <c r="A89" s="9" t="s">
        <v>1452</v>
      </c>
      <c r="B89" s="9" t="s">
        <v>146</v>
      </c>
      <c r="C89" s="9" t="str">
        <f aca="false">IFERROR(INDEX(Destination!$B$2:$B$501,MATCH(B89,Destination!$A$2:$A$501,0)),"")</f>
        <v>Rishikesh</v>
      </c>
      <c r="D89" s="9" t="s">
        <v>149</v>
      </c>
      <c r="E89" s="9" t="str">
        <f aca="false">IFERROR(INDEX(Destination!$B$2:$B$501,MATCH(D89,Destination!$A$2:$A$501,0)),"")</f>
        <v>Haridwar</v>
      </c>
      <c r="F89" s="9" t="s">
        <v>1364</v>
      </c>
      <c r="G89" s="12" t="n">
        <f aca="false">INDEX(Destination!$F$2:$F$501,MATCH(B89,Destination!$A$2:$A$501,0))</f>
        <v>30.09</v>
      </c>
      <c r="H89" s="12" t="n">
        <f aca="false">INDEX(Destination!$G$2:$G$501,MATCH(B89,Destination!$A$2:$A$501,0))</f>
        <v>78.27</v>
      </c>
      <c r="I89" s="12" t="n">
        <f aca="false">INDEX(Destination!$F$2:$F$501,MATCH(D89,Destination!$A$2:$A$501,0))</f>
        <v>29.95</v>
      </c>
      <c r="J89" s="12" t="n">
        <f aca="false">INDEX(Destination!$G$2:$G$501,MATCH(D89,Destination!$A$2:$A$501,0))</f>
        <v>78.16</v>
      </c>
      <c r="K89" s="17" t="n">
        <f aca="false">Assumptions!$B$2*2*ASIN(SQRT(SIN(RADIANS(I89-G89)/2)^2+COS(RADIANS(G89))*COS(RADIANS(I89))*SIN(RADIANS(J89-H89)/2)^2))</f>
        <v>18.8282044379926</v>
      </c>
      <c r="L89" s="18" t="n">
        <f aca="false">K89*Assumptions!$B$3</f>
        <v>24.4766657693903</v>
      </c>
      <c r="M89" s="19" t="n">
        <f aca="false">L89/Assumptions!$B$4</f>
        <v>0.543925905986452</v>
      </c>
      <c r="N89" s="9" t="s">
        <v>1365</v>
      </c>
    </row>
    <row r="90" customFormat="false" ht="15" hidden="false" customHeight="false" outlineLevel="0" collapsed="false">
      <c r="A90" s="9" t="s">
        <v>1453</v>
      </c>
      <c r="B90" s="9" t="s">
        <v>146</v>
      </c>
      <c r="C90" s="9" t="str">
        <f aca="false">IFERROR(INDEX(Destination!$B$2:$B$501,MATCH(B90,Destination!$A$2:$A$501,0)),"")</f>
        <v>Rishikesh</v>
      </c>
      <c r="D90" s="9" t="s">
        <v>157</v>
      </c>
      <c r="E90" s="9" t="str">
        <f aca="false">IFERROR(INDEX(Destination!$B$2:$B$501,MATCH(D90,Destination!$A$2:$A$501,0)),"")</f>
        <v>Dehradun</v>
      </c>
      <c r="F90" s="9" t="s">
        <v>1364</v>
      </c>
      <c r="G90" s="12" t="n">
        <f aca="false">INDEX(Destination!$F$2:$F$501,MATCH(B90,Destination!$A$2:$A$501,0))</f>
        <v>30.09</v>
      </c>
      <c r="H90" s="12" t="n">
        <f aca="false">INDEX(Destination!$G$2:$G$501,MATCH(B90,Destination!$A$2:$A$501,0))</f>
        <v>78.27</v>
      </c>
      <c r="I90" s="12" t="n">
        <f aca="false">INDEX(Destination!$F$2:$F$501,MATCH(D90,Destination!$A$2:$A$501,0))</f>
        <v>30.32</v>
      </c>
      <c r="J90" s="12" t="n">
        <f aca="false">INDEX(Destination!$G$2:$G$501,MATCH(D90,Destination!$A$2:$A$501,0))</f>
        <v>78.03</v>
      </c>
      <c r="K90" s="17" t="n">
        <f aca="false">Assumptions!$B$2*2*ASIN(SQRT(SIN(RADIANS(I90-G90)/2)^2+COS(RADIANS(G90))*COS(RADIANS(I90))*SIN(RADIANS(J90-H90)/2)^2))</f>
        <v>34.4383132948703</v>
      </c>
      <c r="L90" s="18" t="n">
        <f aca="false">K90*Assumptions!$B$3</f>
        <v>44.7698072833314</v>
      </c>
      <c r="M90" s="19" t="n">
        <f aca="false">L90/Assumptions!$B$4</f>
        <v>0.994884606296254</v>
      </c>
      <c r="N90" s="9" t="s">
        <v>1365</v>
      </c>
    </row>
    <row r="91" customFormat="false" ht="15" hidden="false" customHeight="false" outlineLevel="0" collapsed="false">
      <c r="A91" s="9" t="s">
        <v>1454</v>
      </c>
      <c r="B91" s="9" t="s">
        <v>146</v>
      </c>
      <c r="C91" s="9" t="str">
        <f aca="false">IFERROR(INDEX(Destination!$B$2:$B$501,MATCH(B91,Destination!$A$2:$A$501,0)),"")</f>
        <v>Rishikesh</v>
      </c>
      <c r="D91" s="9" t="s">
        <v>865</v>
      </c>
      <c r="E91" s="9" t="str">
        <f aca="false">IFERROR(INDEX(Destination!$B$2:$B$501,MATCH(D91,Destination!$A$2:$A$501,0)),"")</f>
        <v>Lansdowne</v>
      </c>
      <c r="F91" s="9" t="s">
        <v>1364</v>
      </c>
      <c r="G91" s="12" t="n">
        <f aca="false">INDEX(Destination!$F$2:$F$501,MATCH(B91,Destination!$A$2:$A$501,0))</f>
        <v>30.09</v>
      </c>
      <c r="H91" s="12" t="n">
        <f aca="false">INDEX(Destination!$G$2:$G$501,MATCH(B91,Destination!$A$2:$A$501,0))</f>
        <v>78.27</v>
      </c>
      <c r="I91" s="12" t="n">
        <f aca="false">INDEX(Destination!$F$2:$F$501,MATCH(D91,Destination!$A$2:$A$501,0))</f>
        <v>29.84</v>
      </c>
      <c r="J91" s="12" t="n">
        <f aca="false">INDEX(Destination!$G$2:$G$501,MATCH(D91,Destination!$A$2:$A$501,0))</f>
        <v>78.68</v>
      </c>
      <c r="K91" s="17" t="n">
        <f aca="false">Assumptions!$B$2*2*ASIN(SQRT(SIN(RADIANS(I91-G91)/2)^2+COS(RADIANS(G91))*COS(RADIANS(I91))*SIN(RADIANS(J91-H91)/2)^2))</f>
        <v>48.2979568535953</v>
      </c>
      <c r="L91" s="18" t="n">
        <f aca="false">K91*Assumptions!$B$3</f>
        <v>62.7873439096739</v>
      </c>
      <c r="M91" s="19" t="n">
        <f aca="false">L91/Assumptions!$B$4</f>
        <v>1.39527430910387</v>
      </c>
      <c r="N91" s="9" t="s">
        <v>1365</v>
      </c>
    </row>
    <row r="92" customFormat="false" ht="15" hidden="false" customHeight="false" outlineLevel="0" collapsed="false">
      <c r="A92" s="9" t="s">
        <v>1455</v>
      </c>
      <c r="B92" s="9" t="s">
        <v>146</v>
      </c>
      <c r="C92" s="9" t="str">
        <f aca="false">IFERROR(INDEX(Destination!$B$2:$B$501,MATCH(B92,Destination!$A$2:$A$501,0)),"")</f>
        <v>Rishikesh</v>
      </c>
      <c r="D92" s="9" t="s">
        <v>875</v>
      </c>
      <c r="E92" s="9" t="str">
        <f aca="false">IFERROR(INDEX(Destination!$B$2:$B$501,MATCH(D92,Destination!$A$2:$A$501,0)),"")</f>
        <v>Dhanaulti</v>
      </c>
      <c r="F92" s="9" t="s">
        <v>1364</v>
      </c>
      <c r="G92" s="12" t="n">
        <f aca="false">INDEX(Destination!$F$2:$F$501,MATCH(B92,Destination!$A$2:$A$501,0))</f>
        <v>30.09</v>
      </c>
      <c r="H92" s="12" t="n">
        <f aca="false">INDEX(Destination!$G$2:$G$501,MATCH(B92,Destination!$A$2:$A$501,0))</f>
        <v>78.27</v>
      </c>
      <c r="I92" s="12" t="n">
        <f aca="false">INDEX(Destination!$F$2:$F$501,MATCH(D92,Destination!$A$2:$A$501,0))</f>
        <v>30.42</v>
      </c>
      <c r="J92" s="12" t="n">
        <f aca="false">INDEX(Destination!$G$2:$G$501,MATCH(D92,Destination!$A$2:$A$501,0))</f>
        <v>78.26</v>
      </c>
      <c r="K92" s="17" t="n">
        <f aca="false">Assumptions!$B$2*2*ASIN(SQRT(SIN(RADIANS(I92-G92)/2)^2+COS(RADIANS(G92))*COS(RADIANS(I92))*SIN(RADIANS(J92-H92)/2)^2))</f>
        <v>36.7068942545831</v>
      </c>
      <c r="L92" s="18" t="n">
        <f aca="false">K92*Assumptions!$B$3</f>
        <v>47.718962530958</v>
      </c>
      <c r="M92" s="19" t="n">
        <f aca="false">L92/Assumptions!$B$4</f>
        <v>1.06042138957684</v>
      </c>
      <c r="N92" s="9" t="s">
        <v>1365</v>
      </c>
    </row>
    <row r="93" customFormat="false" ht="15" hidden="false" customHeight="false" outlineLevel="0" collapsed="false">
      <c r="A93" s="9" t="s">
        <v>1456</v>
      </c>
      <c r="B93" s="9" t="s">
        <v>149</v>
      </c>
      <c r="C93" s="9" t="str">
        <f aca="false">IFERROR(INDEX(Destination!$B$2:$B$501,MATCH(B93,Destination!$A$2:$A$501,0)),"")</f>
        <v>Haridwar</v>
      </c>
      <c r="D93" s="9" t="s">
        <v>157</v>
      </c>
      <c r="E93" s="9" t="str">
        <f aca="false">IFERROR(INDEX(Destination!$B$2:$B$501,MATCH(D93,Destination!$A$2:$A$501,0)),"")</f>
        <v>Dehradun</v>
      </c>
      <c r="F93" s="9" t="s">
        <v>1364</v>
      </c>
      <c r="G93" s="12" t="n">
        <f aca="false">INDEX(Destination!$F$2:$F$501,MATCH(B93,Destination!$A$2:$A$501,0))</f>
        <v>29.95</v>
      </c>
      <c r="H93" s="12" t="n">
        <f aca="false">INDEX(Destination!$G$2:$G$501,MATCH(B93,Destination!$A$2:$A$501,0))</f>
        <v>78.16</v>
      </c>
      <c r="I93" s="12" t="n">
        <f aca="false">INDEX(Destination!$F$2:$F$501,MATCH(D93,Destination!$A$2:$A$501,0))</f>
        <v>30.32</v>
      </c>
      <c r="J93" s="12" t="n">
        <f aca="false">INDEX(Destination!$G$2:$G$501,MATCH(D93,Destination!$A$2:$A$501,0))</f>
        <v>78.03</v>
      </c>
      <c r="K93" s="17" t="n">
        <f aca="false">Assumptions!$B$2*2*ASIN(SQRT(SIN(RADIANS(I93-G93)/2)^2+COS(RADIANS(G93))*COS(RADIANS(I93))*SIN(RADIANS(J93-H93)/2)^2))</f>
        <v>42.9995797086587</v>
      </c>
      <c r="L93" s="18" t="n">
        <f aca="false">K93*Assumptions!$B$3</f>
        <v>55.8994536212563</v>
      </c>
      <c r="M93" s="19" t="n">
        <f aca="false">L93/Assumptions!$B$4</f>
        <v>1.24221008047236</v>
      </c>
      <c r="N93" s="9" t="s">
        <v>1365</v>
      </c>
    </row>
    <row r="94" customFormat="false" ht="15" hidden="false" customHeight="false" outlineLevel="0" collapsed="false">
      <c r="A94" s="9" t="s">
        <v>1457</v>
      </c>
      <c r="B94" s="9" t="s">
        <v>149</v>
      </c>
      <c r="C94" s="9" t="str">
        <f aca="false">IFERROR(INDEX(Destination!$B$2:$B$501,MATCH(B94,Destination!$A$2:$A$501,0)),"")</f>
        <v>Haridwar</v>
      </c>
      <c r="D94" s="9" t="s">
        <v>865</v>
      </c>
      <c r="E94" s="9" t="str">
        <f aca="false">IFERROR(INDEX(Destination!$B$2:$B$501,MATCH(D94,Destination!$A$2:$A$501,0)),"")</f>
        <v>Lansdowne</v>
      </c>
      <c r="F94" s="9" t="s">
        <v>1364</v>
      </c>
      <c r="G94" s="12" t="n">
        <f aca="false">INDEX(Destination!$F$2:$F$501,MATCH(B94,Destination!$A$2:$A$501,0))</f>
        <v>29.95</v>
      </c>
      <c r="H94" s="12" t="n">
        <f aca="false">INDEX(Destination!$G$2:$G$501,MATCH(B94,Destination!$A$2:$A$501,0))</f>
        <v>78.16</v>
      </c>
      <c r="I94" s="12" t="n">
        <f aca="false">INDEX(Destination!$F$2:$F$501,MATCH(D94,Destination!$A$2:$A$501,0))</f>
        <v>29.84</v>
      </c>
      <c r="J94" s="12" t="n">
        <f aca="false">INDEX(Destination!$G$2:$G$501,MATCH(D94,Destination!$A$2:$A$501,0))</f>
        <v>78.68</v>
      </c>
      <c r="K94" s="17" t="n">
        <f aca="false">Assumptions!$B$2*2*ASIN(SQRT(SIN(RADIANS(I94-G94)/2)^2+COS(RADIANS(G94))*COS(RADIANS(I94))*SIN(RADIANS(J94-H94)/2)^2))</f>
        <v>51.5983063747328</v>
      </c>
      <c r="L94" s="18" t="n">
        <f aca="false">K94*Assumptions!$B$3</f>
        <v>67.0777982871526</v>
      </c>
      <c r="M94" s="19" t="n">
        <f aca="false">L94/Assumptions!$B$4</f>
        <v>1.4906177397145</v>
      </c>
      <c r="N94" s="9" t="s">
        <v>1365</v>
      </c>
    </row>
    <row r="95" customFormat="false" ht="15" hidden="false" customHeight="false" outlineLevel="0" collapsed="false">
      <c r="A95" s="9" t="s">
        <v>1458</v>
      </c>
      <c r="B95" s="9" t="s">
        <v>151</v>
      </c>
      <c r="C95" s="9" t="str">
        <f aca="false">IFERROR(INDEX(Destination!$B$2:$B$501,MATCH(B95,Destination!$A$2:$A$501,0)),"")</f>
        <v>Mussoorie</v>
      </c>
      <c r="D95" s="9" t="s">
        <v>157</v>
      </c>
      <c r="E95" s="9" t="str">
        <f aca="false">IFERROR(INDEX(Destination!$B$2:$B$501,MATCH(D95,Destination!$A$2:$A$501,0)),"")</f>
        <v>Dehradun</v>
      </c>
      <c r="F95" s="9" t="s">
        <v>1364</v>
      </c>
      <c r="G95" s="12" t="n">
        <f aca="false">INDEX(Destination!$F$2:$F$501,MATCH(B95,Destination!$A$2:$A$501,0))</f>
        <v>30.46</v>
      </c>
      <c r="H95" s="12" t="n">
        <f aca="false">INDEX(Destination!$G$2:$G$501,MATCH(B95,Destination!$A$2:$A$501,0))</f>
        <v>78.06</v>
      </c>
      <c r="I95" s="12" t="n">
        <f aca="false">INDEX(Destination!$F$2:$F$501,MATCH(D95,Destination!$A$2:$A$501,0))</f>
        <v>30.32</v>
      </c>
      <c r="J95" s="12" t="n">
        <f aca="false">INDEX(Destination!$G$2:$G$501,MATCH(D95,Destination!$A$2:$A$501,0))</f>
        <v>78.03</v>
      </c>
      <c r="K95" s="17" t="n">
        <f aca="false">Assumptions!$B$2*2*ASIN(SQRT(SIN(RADIANS(I95-G95)/2)^2+COS(RADIANS(G95))*COS(RADIANS(I95))*SIN(RADIANS(J95-H95)/2)^2))</f>
        <v>15.8309999244503</v>
      </c>
      <c r="L95" s="18" t="n">
        <f aca="false">K95*Assumptions!$B$3</f>
        <v>20.5802999017853</v>
      </c>
      <c r="M95" s="19" t="n">
        <f aca="false">L95/Assumptions!$B$4</f>
        <v>0.457339997817452</v>
      </c>
      <c r="N95" s="9" t="s">
        <v>1365</v>
      </c>
    </row>
    <row r="96" customFormat="false" ht="15" hidden="false" customHeight="false" outlineLevel="0" collapsed="false">
      <c r="A96" s="9" t="s">
        <v>1459</v>
      </c>
      <c r="B96" s="9" t="s">
        <v>151</v>
      </c>
      <c r="C96" s="9" t="str">
        <f aca="false">IFERROR(INDEX(Destination!$B$2:$B$501,MATCH(B96,Destination!$A$2:$A$501,0)),"")</f>
        <v>Mussoorie</v>
      </c>
      <c r="D96" s="9" t="s">
        <v>875</v>
      </c>
      <c r="E96" s="9" t="str">
        <f aca="false">IFERROR(INDEX(Destination!$B$2:$B$501,MATCH(D96,Destination!$A$2:$A$501,0)),"")</f>
        <v>Dhanaulti</v>
      </c>
      <c r="F96" s="9" t="s">
        <v>1364</v>
      </c>
      <c r="G96" s="12" t="n">
        <f aca="false">INDEX(Destination!$F$2:$F$501,MATCH(B96,Destination!$A$2:$A$501,0))</f>
        <v>30.46</v>
      </c>
      <c r="H96" s="12" t="n">
        <f aca="false">INDEX(Destination!$G$2:$G$501,MATCH(B96,Destination!$A$2:$A$501,0))</f>
        <v>78.06</v>
      </c>
      <c r="I96" s="12" t="n">
        <f aca="false">INDEX(Destination!$F$2:$F$501,MATCH(D96,Destination!$A$2:$A$501,0))</f>
        <v>30.42</v>
      </c>
      <c r="J96" s="12" t="n">
        <f aca="false">INDEX(Destination!$G$2:$G$501,MATCH(D96,Destination!$A$2:$A$501,0))</f>
        <v>78.26</v>
      </c>
      <c r="K96" s="17" t="n">
        <f aca="false">Assumptions!$B$2*2*ASIN(SQRT(SIN(RADIANS(I96-G96)/2)^2+COS(RADIANS(G96))*COS(RADIANS(I96))*SIN(RADIANS(J96-H96)/2)^2))</f>
        <v>19.6826946205255</v>
      </c>
      <c r="L96" s="18" t="n">
        <f aca="false">K96*Assumptions!$B$3</f>
        <v>25.5875030066832</v>
      </c>
      <c r="M96" s="19" t="n">
        <f aca="false">L96/Assumptions!$B$4</f>
        <v>0.568611177926293</v>
      </c>
      <c r="N96" s="9" t="s">
        <v>1365</v>
      </c>
    </row>
    <row r="97" customFormat="false" ht="15" hidden="false" customHeight="false" outlineLevel="0" collapsed="false">
      <c r="A97" s="9" t="s">
        <v>1460</v>
      </c>
      <c r="B97" s="9" t="s">
        <v>151</v>
      </c>
      <c r="C97" s="9" t="str">
        <f aca="false">IFERROR(INDEX(Destination!$B$2:$B$501,MATCH(B97,Destination!$A$2:$A$501,0)),"")</f>
        <v>Mussoorie</v>
      </c>
      <c r="D97" s="9" t="s">
        <v>877</v>
      </c>
      <c r="E97" s="9" t="str">
        <f aca="false">IFERROR(INDEX(Destination!$B$2:$B$501,MATCH(D97,Destination!$A$2:$A$501,0)),"")</f>
        <v>Chakrata</v>
      </c>
      <c r="F97" s="9" t="s">
        <v>1364</v>
      </c>
      <c r="G97" s="12" t="n">
        <f aca="false">INDEX(Destination!$F$2:$F$501,MATCH(B97,Destination!$A$2:$A$501,0))</f>
        <v>30.46</v>
      </c>
      <c r="H97" s="12" t="n">
        <f aca="false">INDEX(Destination!$G$2:$G$501,MATCH(B97,Destination!$A$2:$A$501,0))</f>
        <v>78.06</v>
      </c>
      <c r="I97" s="12" t="n">
        <f aca="false">INDEX(Destination!$F$2:$F$501,MATCH(D97,Destination!$A$2:$A$501,0))</f>
        <v>30.7</v>
      </c>
      <c r="J97" s="12" t="n">
        <f aca="false">INDEX(Destination!$G$2:$G$501,MATCH(D97,Destination!$A$2:$A$501,0))</f>
        <v>77.87</v>
      </c>
      <c r="K97" s="17" t="n">
        <f aca="false">Assumptions!$B$2*2*ASIN(SQRT(SIN(RADIANS(I97-G97)/2)^2+COS(RADIANS(G97))*COS(RADIANS(I97))*SIN(RADIANS(J97-H97)/2)^2))</f>
        <v>32.2956869273034</v>
      </c>
      <c r="L97" s="18" t="n">
        <f aca="false">K97*Assumptions!$B$3</f>
        <v>41.9843930054944</v>
      </c>
      <c r="M97" s="19" t="n">
        <f aca="false">L97/Assumptions!$B$4</f>
        <v>0.932986511233209</v>
      </c>
      <c r="N97" s="9" t="s">
        <v>1365</v>
      </c>
    </row>
    <row r="98" customFormat="false" ht="15" hidden="false" customHeight="false" outlineLevel="0" collapsed="false">
      <c r="A98" s="9" t="s">
        <v>1461</v>
      </c>
      <c r="B98" s="9" t="s">
        <v>153</v>
      </c>
      <c r="C98" s="9" t="str">
        <f aca="false">IFERROR(INDEX(Destination!$B$2:$B$501,MATCH(B98,Destination!$A$2:$A$501,0)),"")</f>
        <v>Nainital</v>
      </c>
      <c r="D98" s="9" t="s">
        <v>155</v>
      </c>
      <c r="E98" s="9" t="str">
        <f aca="false">IFERROR(INDEX(Destination!$B$2:$B$501,MATCH(D98,Destination!$A$2:$A$501,0)),"")</f>
        <v>Jim Corbett</v>
      </c>
      <c r="F98" s="9" t="s">
        <v>1364</v>
      </c>
      <c r="G98" s="12" t="n">
        <f aca="false">INDEX(Destination!$F$2:$F$501,MATCH(B98,Destination!$A$2:$A$501,0))</f>
        <v>29.39</v>
      </c>
      <c r="H98" s="12" t="n">
        <f aca="false">INDEX(Destination!$G$2:$G$501,MATCH(B98,Destination!$A$2:$A$501,0))</f>
        <v>79.45</v>
      </c>
      <c r="I98" s="12" t="n">
        <f aca="false">INDEX(Destination!$F$2:$F$501,MATCH(D98,Destination!$A$2:$A$501,0))</f>
        <v>29.53</v>
      </c>
      <c r="J98" s="12" t="n">
        <f aca="false">INDEX(Destination!$G$2:$G$501,MATCH(D98,Destination!$A$2:$A$501,0))</f>
        <v>78.77</v>
      </c>
      <c r="K98" s="17" t="n">
        <f aca="false">Assumptions!$B$2*2*ASIN(SQRT(SIN(RADIANS(I98-G98)/2)^2+COS(RADIANS(G98))*COS(RADIANS(I98))*SIN(RADIANS(J98-H98)/2)^2))</f>
        <v>67.6511302163382</v>
      </c>
      <c r="L98" s="18" t="n">
        <f aca="false">K98*Assumptions!$B$3</f>
        <v>87.9464692812396</v>
      </c>
      <c r="M98" s="19" t="n">
        <f aca="false">L98/Assumptions!$B$4</f>
        <v>1.95436598402755</v>
      </c>
      <c r="N98" s="9" t="s">
        <v>1365</v>
      </c>
    </row>
    <row r="99" customFormat="false" ht="15" hidden="false" customHeight="false" outlineLevel="0" collapsed="false">
      <c r="A99" s="9" t="s">
        <v>1462</v>
      </c>
      <c r="B99" s="9" t="s">
        <v>153</v>
      </c>
      <c r="C99" s="9" t="str">
        <f aca="false">IFERROR(INDEX(Destination!$B$2:$B$501,MATCH(B99,Destination!$A$2:$A$501,0)),"")</f>
        <v>Nainital</v>
      </c>
      <c r="D99" s="9" t="s">
        <v>867</v>
      </c>
      <c r="E99" s="9" t="str">
        <f aca="false">IFERROR(INDEX(Destination!$B$2:$B$501,MATCH(D99,Destination!$A$2:$A$501,0)),"")</f>
        <v>Ranikhet</v>
      </c>
      <c r="F99" s="9" t="s">
        <v>1364</v>
      </c>
      <c r="G99" s="12" t="n">
        <f aca="false">INDEX(Destination!$F$2:$F$501,MATCH(B99,Destination!$A$2:$A$501,0))</f>
        <v>29.39</v>
      </c>
      <c r="H99" s="12" t="n">
        <f aca="false">INDEX(Destination!$G$2:$G$501,MATCH(B99,Destination!$A$2:$A$501,0))</f>
        <v>79.45</v>
      </c>
      <c r="I99" s="12" t="n">
        <f aca="false">INDEX(Destination!$F$2:$F$501,MATCH(D99,Destination!$A$2:$A$501,0))</f>
        <v>29.64</v>
      </c>
      <c r="J99" s="12" t="n">
        <f aca="false">INDEX(Destination!$G$2:$G$501,MATCH(D99,Destination!$A$2:$A$501,0))</f>
        <v>79.43</v>
      </c>
      <c r="K99" s="17" t="n">
        <f aca="false">Assumptions!$B$2*2*ASIN(SQRT(SIN(RADIANS(I99-G99)/2)^2+COS(RADIANS(G99))*COS(RADIANS(I99))*SIN(RADIANS(J99-H99)/2)^2))</f>
        <v>27.8660158774396</v>
      </c>
      <c r="L99" s="18" t="n">
        <f aca="false">K99*Assumptions!$B$3</f>
        <v>36.2258206406715</v>
      </c>
      <c r="M99" s="19" t="n">
        <f aca="false">L99/Assumptions!$B$4</f>
        <v>0.805018236459366</v>
      </c>
      <c r="N99" s="9" t="s">
        <v>1365</v>
      </c>
    </row>
    <row r="100" customFormat="false" ht="15" hidden="false" customHeight="false" outlineLevel="0" collapsed="false">
      <c r="A100" s="9" t="s">
        <v>1463</v>
      </c>
      <c r="B100" s="9" t="s">
        <v>153</v>
      </c>
      <c r="C100" s="9" t="str">
        <f aca="false">IFERROR(INDEX(Destination!$B$2:$B$501,MATCH(B100,Destination!$A$2:$A$501,0)),"")</f>
        <v>Nainital</v>
      </c>
      <c r="D100" s="9" t="s">
        <v>869</v>
      </c>
      <c r="E100" s="9" t="str">
        <f aca="false">IFERROR(INDEX(Destination!$B$2:$B$501,MATCH(D100,Destination!$A$2:$A$501,0)),"")</f>
        <v>Almora</v>
      </c>
      <c r="F100" s="9" t="s">
        <v>1364</v>
      </c>
      <c r="G100" s="12" t="n">
        <f aca="false">INDEX(Destination!$F$2:$F$501,MATCH(B100,Destination!$A$2:$A$501,0))</f>
        <v>29.39</v>
      </c>
      <c r="H100" s="12" t="n">
        <f aca="false">INDEX(Destination!$G$2:$G$501,MATCH(B100,Destination!$A$2:$A$501,0))</f>
        <v>79.45</v>
      </c>
      <c r="I100" s="12" t="n">
        <f aca="false">INDEX(Destination!$F$2:$F$501,MATCH(D100,Destination!$A$2:$A$501,0))</f>
        <v>29.6</v>
      </c>
      <c r="J100" s="12" t="n">
        <f aca="false">INDEX(Destination!$G$2:$G$501,MATCH(D100,Destination!$A$2:$A$501,0))</f>
        <v>79.66</v>
      </c>
      <c r="K100" s="17" t="n">
        <f aca="false">Assumptions!$B$2*2*ASIN(SQRT(SIN(RADIANS(I100-G100)/2)^2+COS(RADIANS(G100))*COS(RADIANS(I100))*SIN(RADIANS(J100-H100)/2)^2))</f>
        <v>30.9573157639235</v>
      </c>
      <c r="L100" s="18" t="n">
        <f aca="false">K100*Assumptions!$B$3</f>
        <v>40.2445104931006</v>
      </c>
      <c r="M100" s="19" t="n">
        <f aca="false">L100/Assumptions!$B$4</f>
        <v>0.894322455402234</v>
      </c>
      <c r="N100" s="9" t="s">
        <v>1365</v>
      </c>
    </row>
    <row r="101" customFormat="false" ht="15" hidden="false" customHeight="false" outlineLevel="0" collapsed="false">
      <c r="A101" s="9" t="s">
        <v>1464</v>
      </c>
      <c r="B101" s="9" t="s">
        <v>153</v>
      </c>
      <c r="C101" s="9" t="str">
        <f aca="false">IFERROR(INDEX(Destination!$B$2:$B$501,MATCH(B101,Destination!$A$2:$A$501,0)),"")</f>
        <v>Nainital</v>
      </c>
      <c r="D101" s="9" t="s">
        <v>871</v>
      </c>
      <c r="E101" s="9" t="str">
        <f aca="false">IFERROR(INDEX(Destination!$B$2:$B$501,MATCH(D101,Destination!$A$2:$A$501,0)),"")</f>
        <v>Mukteshwar</v>
      </c>
      <c r="F101" s="9" t="s">
        <v>1364</v>
      </c>
      <c r="G101" s="12" t="n">
        <f aca="false">INDEX(Destination!$F$2:$F$501,MATCH(B101,Destination!$A$2:$A$501,0))</f>
        <v>29.39</v>
      </c>
      <c r="H101" s="12" t="n">
        <f aca="false">INDEX(Destination!$G$2:$G$501,MATCH(B101,Destination!$A$2:$A$501,0))</f>
        <v>79.45</v>
      </c>
      <c r="I101" s="12" t="n">
        <f aca="false">INDEX(Destination!$F$2:$F$501,MATCH(D101,Destination!$A$2:$A$501,0))</f>
        <v>29.47</v>
      </c>
      <c r="J101" s="12" t="n">
        <f aca="false">INDEX(Destination!$G$2:$G$501,MATCH(D101,Destination!$A$2:$A$501,0))</f>
        <v>79.65</v>
      </c>
      <c r="K101" s="17" t="n">
        <f aca="false">Assumptions!$B$2*2*ASIN(SQRT(SIN(RADIANS(I101-G101)/2)^2+COS(RADIANS(G101))*COS(RADIANS(I101))*SIN(RADIANS(J101-H101)/2)^2))</f>
        <v>21.3142439044431</v>
      </c>
      <c r="L101" s="18" t="n">
        <f aca="false">K101*Assumptions!$B$3</f>
        <v>27.7085170757761</v>
      </c>
      <c r="M101" s="19" t="n">
        <f aca="false">L101/Assumptions!$B$4</f>
        <v>0.615744823906135</v>
      </c>
      <c r="N101" s="9" t="s">
        <v>1365</v>
      </c>
    </row>
    <row r="102" customFormat="false" ht="15" hidden="false" customHeight="false" outlineLevel="0" collapsed="false">
      <c r="A102" s="9" t="s">
        <v>1465</v>
      </c>
      <c r="B102" s="9" t="s">
        <v>155</v>
      </c>
      <c r="C102" s="9" t="str">
        <f aca="false">IFERROR(INDEX(Destination!$B$2:$B$501,MATCH(B102,Destination!$A$2:$A$501,0)),"")</f>
        <v>Jim Corbett</v>
      </c>
      <c r="D102" s="9" t="s">
        <v>865</v>
      </c>
      <c r="E102" s="9" t="str">
        <f aca="false">IFERROR(INDEX(Destination!$B$2:$B$501,MATCH(D102,Destination!$A$2:$A$501,0)),"")</f>
        <v>Lansdowne</v>
      </c>
      <c r="F102" s="9" t="s">
        <v>1364</v>
      </c>
      <c r="G102" s="12" t="n">
        <f aca="false">INDEX(Destination!$F$2:$F$501,MATCH(B102,Destination!$A$2:$A$501,0))</f>
        <v>29.53</v>
      </c>
      <c r="H102" s="12" t="n">
        <f aca="false">INDEX(Destination!$G$2:$G$501,MATCH(B102,Destination!$A$2:$A$501,0))</f>
        <v>78.77</v>
      </c>
      <c r="I102" s="12" t="n">
        <f aca="false">INDEX(Destination!$F$2:$F$501,MATCH(D102,Destination!$A$2:$A$501,0))</f>
        <v>29.84</v>
      </c>
      <c r="J102" s="12" t="n">
        <f aca="false">INDEX(Destination!$G$2:$G$501,MATCH(D102,Destination!$A$2:$A$501,0))</f>
        <v>78.68</v>
      </c>
      <c r="K102" s="17" t="n">
        <f aca="false">Assumptions!$B$2*2*ASIN(SQRT(SIN(RADIANS(I102-G102)/2)^2+COS(RADIANS(G102))*COS(RADIANS(I102))*SIN(RADIANS(J102-H102)/2)^2))</f>
        <v>35.5499437259312</v>
      </c>
      <c r="L102" s="18" t="n">
        <f aca="false">K102*Assumptions!$B$3</f>
        <v>46.2149268437105</v>
      </c>
      <c r="M102" s="19" t="n">
        <f aca="false">L102/Assumptions!$B$4</f>
        <v>1.02699837430468</v>
      </c>
      <c r="N102" s="9" t="s">
        <v>1365</v>
      </c>
    </row>
    <row r="103" customFormat="false" ht="15" hidden="false" customHeight="false" outlineLevel="0" collapsed="false">
      <c r="A103" s="9" t="s">
        <v>1466</v>
      </c>
      <c r="B103" s="9" t="s">
        <v>155</v>
      </c>
      <c r="C103" s="9" t="str">
        <f aca="false">IFERROR(INDEX(Destination!$B$2:$B$501,MATCH(B103,Destination!$A$2:$A$501,0)),"")</f>
        <v>Jim Corbett</v>
      </c>
      <c r="D103" s="9" t="s">
        <v>867</v>
      </c>
      <c r="E103" s="9" t="str">
        <f aca="false">IFERROR(INDEX(Destination!$B$2:$B$501,MATCH(D103,Destination!$A$2:$A$501,0)),"")</f>
        <v>Ranikhet</v>
      </c>
      <c r="F103" s="9" t="s">
        <v>1364</v>
      </c>
      <c r="G103" s="12" t="n">
        <f aca="false">INDEX(Destination!$F$2:$F$501,MATCH(B103,Destination!$A$2:$A$501,0))</f>
        <v>29.53</v>
      </c>
      <c r="H103" s="12" t="n">
        <f aca="false">INDEX(Destination!$G$2:$G$501,MATCH(B103,Destination!$A$2:$A$501,0))</f>
        <v>78.77</v>
      </c>
      <c r="I103" s="12" t="n">
        <f aca="false">INDEX(Destination!$F$2:$F$501,MATCH(D103,Destination!$A$2:$A$501,0))</f>
        <v>29.64</v>
      </c>
      <c r="J103" s="12" t="n">
        <f aca="false">INDEX(Destination!$G$2:$G$501,MATCH(D103,Destination!$A$2:$A$501,0))</f>
        <v>79.43</v>
      </c>
      <c r="K103" s="17" t="n">
        <f aca="false">Assumptions!$B$2*2*ASIN(SQRT(SIN(RADIANS(I103-G103)/2)^2+COS(RADIANS(G103))*COS(RADIANS(I103))*SIN(RADIANS(J103-H103)/2)^2))</f>
        <v>64.9819754349546</v>
      </c>
      <c r="L103" s="18" t="n">
        <f aca="false">K103*Assumptions!$B$3</f>
        <v>84.4765680654409</v>
      </c>
      <c r="M103" s="19" t="n">
        <f aca="false">L103/Assumptions!$B$4</f>
        <v>1.87725706812091</v>
      </c>
      <c r="N103" s="9" t="s">
        <v>1365</v>
      </c>
    </row>
    <row r="104" customFormat="false" ht="15" hidden="false" customHeight="false" outlineLevel="0" collapsed="false">
      <c r="A104" s="9" t="s">
        <v>1467</v>
      </c>
      <c r="B104" s="9" t="s">
        <v>157</v>
      </c>
      <c r="C104" s="9" t="str">
        <f aca="false">IFERROR(INDEX(Destination!$B$2:$B$501,MATCH(B104,Destination!$A$2:$A$501,0)),"")</f>
        <v>Dehradun</v>
      </c>
      <c r="D104" s="9" t="s">
        <v>875</v>
      </c>
      <c r="E104" s="9" t="str">
        <f aca="false">IFERROR(INDEX(Destination!$B$2:$B$501,MATCH(D104,Destination!$A$2:$A$501,0)),"")</f>
        <v>Dhanaulti</v>
      </c>
      <c r="F104" s="9" t="s">
        <v>1364</v>
      </c>
      <c r="G104" s="12" t="n">
        <f aca="false">INDEX(Destination!$F$2:$F$501,MATCH(B104,Destination!$A$2:$A$501,0))</f>
        <v>30.32</v>
      </c>
      <c r="H104" s="12" t="n">
        <f aca="false">INDEX(Destination!$G$2:$G$501,MATCH(B104,Destination!$A$2:$A$501,0))</f>
        <v>78.03</v>
      </c>
      <c r="I104" s="12" t="n">
        <f aca="false">INDEX(Destination!$F$2:$F$501,MATCH(D104,Destination!$A$2:$A$501,0))</f>
        <v>30.42</v>
      </c>
      <c r="J104" s="12" t="n">
        <f aca="false">INDEX(Destination!$G$2:$G$501,MATCH(D104,Destination!$A$2:$A$501,0))</f>
        <v>78.26</v>
      </c>
      <c r="K104" s="17" t="n">
        <f aca="false">Assumptions!$B$2*2*ASIN(SQRT(SIN(RADIANS(I104-G104)/2)^2+COS(RADIANS(G104))*COS(RADIANS(I104))*SIN(RADIANS(J104-H104)/2)^2))</f>
        <v>24.7088101784118</v>
      </c>
      <c r="L104" s="18" t="n">
        <f aca="false">K104*Assumptions!$B$3</f>
        <v>32.1214532319354</v>
      </c>
      <c r="M104" s="19" t="n">
        <f aca="false">L104/Assumptions!$B$4</f>
        <v>0.713810071820786</v>
      </c>
      <c r="N104" s="9" t="s">
        <v>1365</v>
      </c>
    </row>
    <row r="105" customFormat="false" ht="15" hidden="false" customHeight="false" outlineLevel="0" collapsed="false">
      <c r="A105" s="9" t="s">
        <v>1468</v>
      </c>
      <c r="B105" s="9" t="s">
        <v>157</v>
      </c>
      <c r="C105" s="9" t="str">
        <f aca="false">IFERROR(INDEX(Destination!$B$2:$B$501,MATCH(B105,Destination!$A$2:$A$501,0)),"")</f>
        <v>Dehradun</v>
      </c>
      <c r="D105" s="9" t="s">
        <v>877</v>
      </c>
      <c r="E105" s="9" t="str">
        <f aca="false">IFERROR(INDEX(Destination!$B$2:$B$501,MATCH(D105,Destination!$A$2:$A$501,0)),"")</f>
        <v>Chakrata</v>
      </c>
      <c r="F105" s="9" t="s">
        <v>1364</v>
      </c>
      <c r="G105" s="12" t="n">
        <f aca="false">INDEX(Destination!$F$2:$F$501,MATCH(B105,Destination!$A$2:$A$501,0))</f>
        <v>30.32</v>
      </c>
      <c r="H105" s="12" t="n">
        <f aca="false">INDEX(Destination!$G$2:$G$501,MATCH(B105,Destination!$A$2:$A$501,0))</f>
        <v>78.03</v>
      </c>
      <c r="I105" s="12" t="n">
        <f aca="false">INDEX(Destination!$F$2:$F$501,MATCH(D105,Destination!$A$2:$A$501,0))</f>
        <v>30.7</v>
      </c>
      <c r="J105" s="12" t="n">
        <f aca="false">INDEX(Destination!$G$2:$G$501,MATCH(D105,Destination!$A$2:$A$501,0))</f>
        <v>77.87</v>
      </c>
      <c r="K105" s="17" t="n">
        <f aca="false">Assumptions!$B$2*2*ASIN(SQRT(SIN(RADIANS(I105-G105)/2)^2+COS(RADIANS(G105))*COS(RADIANS(I105))*SIN(RADIANS(J105-H105)/2)^2))</f>
        <v>44.948272468832</v>
      </c>
      <c r="L105" s="18" t="n">
        <f aca="false">K105*Assumptions!$B$3</f>
        <v>58.4327542094816</v>
      </c>
      <c r="M105" s="19" t="n">
        <f aca="false">L105/Assumptions!$B$4</f>
        <v>1.29850564909959</v>
      </c>
      <c r="N105" s="9" t="s">
        <v>1365</v>
      </c>
    </row>
    <row r="106" customFormat="false" ht="15" hidden="false" customHeight="false" outlineLevel="0" collapsed="false">
      <c r="A106" s="9" t="s">
        <v>1469</v>
      </c>
      <c r="B106" s="9" t="s">
        <v>159</v>
      </c>
      <c r="C106" s="9" t="str">
        <f aca="false">IFERROR(INDEX(Destination!$B$2:$B$501,MATCH(B106,Destination!$A$2:$A$501,0)),"")</f>
        <v>Nubra Valley</v>
      </c>
      <c r="D106" s="9" t="s">
        <v>925</v>
      </c>
      <c r="E106" s="9" t="str">
        <f aca="false">IFERROR(INDEX(Destination!$B$2:$B$501,MATCH(D106,Destination!$A$2:$A$501,0)),"")</f>
        <v>Khardung La</v>
      </c>
      <c r="F106" s="9" t="s">
        <v>1364</v>
      </c>
      <c r="G106" s="12" t="n">
        <f aca="false">INDEX(Destination!$F$2:$F$501,MATCH(B106,Destination!$A$2:$A$501,0))</f>
        <v>34.68</v>
      </c>
      <c r="H106" s="12" t="n">
        <f aca="false">INDEX(Destination!$G$2:$G$501,MATCH(B106,Destination!$A$2:$A$501,0))</f>
        <v>77.56</v>
      </c>
      <c r="I106" s="12" t="n">
        <f aca="false">INDEX(Destination!$F$2:$F$501,MATCH(D106,Destination!$A$2:$A$501,0))</f>
        <v>34.28</v>
      </c>
      <c r="J106" s="12" t="n">
        <f aca="false">INDEX(Destination!$G$2:$G$501,MATCH(D106,Destination!$A$2:$A$501,0))</f>
        <v>77.6</v>
      </c>
      <c r="K106" s="17" t="n">
        <f aca="false">Assumptions!$B$2*2*ASIN(SQRT(SIN(RADIANS(I106-G106)/2)^2+COS(RADIANS(G106))*COS(RADIANS(I106))*SIN(RADIANS(J106-H106)/2)^2))</f>
        <v>44.6288294224243</v>
      </c>
      <c r="L106" s="18" t="n">
        <f aca="false">K106*Assumptions!$B$3</f>
        <v>58.0174782491516</v>
      </c>
      <c r="M106" s="19" t="n">
        <f aca="false">L106/Assumptions!$B$4</f>
        <v>1.28927729442559</v>
      </c>
      <c r="N106" s="9" t="s">
        <v>1365</v>
      </c>
    </row>
    <row r="107" customFormat="false" ht="15" hidden="false" customHeight="false" outlineLevel="0" collapsed="false">
      <c r="A107" s="9" t="s">
        <v>1470</v>
      </c>
      <c r="B107" s="9" t="s">
        <v>159</v>
      </c>
      <c r="C107" s="9" t="str">
        <f aca="false">IFERROR(INDEX(Destination!$B$2:$B$501,MATCH(B107,Destination!$A$2:$A$501,0)),"")</f>
        <v>Nubra Valley</v>
      </c>
      <c r="D107" s="9" t="s">
        <v>927</v>
      </c>
      <c r="E107" s="9" t="str">
        <f aca="false">IFERROR(INDEX(Destination!$B$2:$B$501,MATCH(D107,Destination!$A$2:$A$501,0)),"")</f>
        <v>Magnetic Hill</v>
      </c>
      <c r="F107" s="9" t="s">
        <v>1364</v>
      </c>
      <c r="G107" s="12" t="n">
        <f aca="false">INDEX(Destination!$F$2:$F$501,MATCH(B107,Destination!$A$2:$A$501,0))</f>
        <v>34.68</v>
      </c>
      <c r="H107" s="12" t="n">
        <f aca="false">INDEX(Destination!$G$2:$G$501,MATCH(B107,Destination!$A$2:$A$501,0))</f>
        <v>77.56</v>
      </c>
      <c r="I107" s="12" t="n">
        <f aca="false">INDEX(Destination!$F$2:$F$501,MATCH(D107,Destination!$A$2:$A$501,0))</f>
        <v>34.16</v>
      </c>
      <c r="J107" s="12" t="n">
        <f aca="false">INDEX(Destination!$G$2:$G$501,MATCH(D107,Destination!$A$2:$A$501,0))</f>
        <v>77.35</v>
      </c>
      <c r="K107" s="17" t="n">
        <f aca="false">Assumptions!$B$2*2*ASIN(SQRT(SIN(RADIANS(I107-G107)/2)^2+COS(RADIANS(G107))*COS(RADIANS(I107))*SIN(RADIANS(J107-H107)/2)^2))</f>
        <v>60.9454677068485</v>
      </c>
      <c r="L107" s="18" t="n">
        <f aca="false">K107*Assumptions!$B$3</f>
        <v>79.229108018903</v>
      </c>
      <c r="M107" s="19" t="n">
        <f aca="false">L107/Assumptions!$B$4</f>
        <v>1.76064684486451</v>
      </c>
      <c r="N107" s="9" t="s">
        <v>1365</v>
      </c>
    </row>
    <row r="108" customFormat="false" ht="15" hidden="false" customHeight="false" outlineLevel="0" collapsed="false">
      <c r="A108" s="9" t="s">
        <v>1471</v>
      </c>
      <c r="B108" s="9" t="s">
        <v>161</v>
      </c>
      <c r="C108" s="9" t="str">
        <f aca="false">IFERROR(INDEX(Destination!$B$2:$B$501,MATCH(B108,Destination!$A$2:$A$501,0)),"")</f>
        <v>Pangong Lake</v>
      </c>
      <c r="D108" s="9" t="s">
        <v>913</v>
      </c>
      <c r="E108" s="9" t="str">
        <f aca="false">IFERROR(INDEX(Destination!$B$2:$B$501,MATCH(D108,Destination!$A$2:$A$501,0)),"")</f>
        <v>Tso Moriri</v>
      </c>
      <c r="F108" s="9" t="s">
        <v>1364</v>
      </c>
      <c r="G108" s="12" t="n">
        <f aca="false">INDEX(Destination!$F$2:$F$501,MATCH(B108,Destination!$A$2:$A$501,0))</f>
        <v>33.75</v>
      </c>
      <c r="H108" s="12" t="n">
        <f aca="false">INDEX(Destination!$G$2:$G$501,MATCH(B108,Destination!$A$2:$A$501,0))</f>
        <v>78.66</v>
      </c>
      <c r="I108" s="12" t="n">
        <f aca="false">INDEX(Destination!$F$2:$F$501,MATCH(D108,Destination!$A$2:$A$501,0))</f>
        <v>32.9</v>
      </c>
      <c r="J108" s="12" t="n">
        <f aca="false">INDEX(Destination!$G$2:$G$501,MATCH(D108,Destination!$A$2:$A$501,0))</f>
        <v>78.3</v>
      </c>
      <c r="K108" s="17" t="n">
        <f aca="false">Assumptions!$B$2*2*ASIN(SQRT(SIN(RADIANS(I108-G108)/2)^2+COS(RADIANS(G108))*COS(RADIANS(I108))*SIN(RADIANS(J108-H108)/2)^2))</f>
        <v>100.25931575573</v>
      </c>
      <c r="L108" s="18" t="n">
        <f aca="false">K108*Assumptions!$B$3</f>
        <v>130.337110482449</v>
      </c>
      <c r="M108" s="19" t="n">
        <f aca="false">L108/Assumptions!$B$4</f>
        <v>2.8963802329433</v>
      </c>
      <c r="N108" s="9" t="s">
        <v>1365</v>
      </c>
    </row>
    <row r="109" customFormat="false" ht="15" hidden="false" customHeight="false" outlineLevel="0" collapsed="false">
      <c r="A109" s="9" t="s">
        <v>1472</v>
      </c>
      <c r="B109" s="9" t="s">
        <v>161</v>
      </c>
      <c r="C109" s="9" t="str">
        <f aca="false">IFERROR(INDEX(Destination!$B$2:$B$501,MATCH(B109,Destination!$A$2:$A$501,0)),"")</f>
        <v>Pangong Lake</v>
      </c>
      <c r="D109" s="9" t="s">
        <v>923</v>
      </c>
      <c r="E109" s="9" t="str">
        <f aca="false">IFERROR(INDEX(Destination!$B$2:$B$501,MATCH(D109,Destination!$A$2:$A$501,0)),"")</f>
        <v>Hemis</v>
      </c>
      <c r="F109" s="9" t="s">
        <v>1364</v>
      </c>
      <c r="G109" s="12" t="n">
        <f aca="false">INDEX(Destination!$F$2:$F$501,MATCH(B109,Destination!$A$2:$A$501,0))</f>
        <v>33.75</v>
      </c>
      <c r="H109" s="12" t="n">
        <f aca="false">INDEX(Destination!$G$2:$G$501,MATCH(B109,Destination!$A$2:$A$501,0))</f>
        <v>78.66</v>
      </c>
      <c r="I109" s="12" t="n">
        <f aca="false">INDEX(Destination!$F$2:$F$501,MATCH(D109,Destination!$A$2:$A$501,0))</f>
        <v>33.91</v>
      </c>
      <c r="J109" s="12" t="n">
        <f aca="false">INDEX(Destination!$G$2:$G$501,MATCH(D109,Destination!$A$2:$A$501,0))</f>
        <v>77.7</v>
      </c>
      <c r="K109" s="17" t="n">
        <f aca="false">Assumptions!$B$2*2*ASIN(SQRT(SIN(RADIANS(I109-G109)/2)^2+COS(RADIANS(G109))*COS(RADIANS(I109))*SIN(RADIANS(J109-H109)/2)^2))</f>
        <v>90.4408851127639</v>
      </c>
      <c r="L109" s="18" t="n">
        <f aca="false">K109*Assumptions!$B$3</f>
        <v>117.573150646593</v>
      </c>
      <c r="M109" s="19" t="n">
        <f aca="false">L109/Assumptions!$B$4</f>
        <v>2.6127366810354</v>
      </c>
      <c r="N109" s="9" t="s">
        <v>1365</v>
      </c>
    </row>
    <row r="110" customFormat="false" ht="15" hidden="false" customHeight="false" outlineLevel="0" collapsed="false">
      <c r="A110" s="9" t="s">
        <v>1473</v>
      </c>
      <c r="B110" s="9" t="s">
        <v>163</v>
      </c>
      <c r="C110" s="9" t="str">
        <f aca="false">IFERROR(INDEX(Destination!$B$2:$B$501,MATCH(B110,Destination!$A$2:$A$501,0)),"")</f>
        <v>Srinagar</v>
      </c>
      <c r="D110" s="9" t="s">
        <v>166</v>
      </c>
      <c r="E110" s="9" t="str">
        <f aca="false">IFERROR(INDEX(Destination!$B$2:$B$501,MATCH(D110,Destination!$A$2:$A$501,0)),"")</f>
        <v>Gulmarg</v>
      </c>
      <c r="F110" s="9" t="s">
        <v>1364</v>
      </c>
      <c r="G110" s="12" t="n">
        <f aca="false">INDEX(Destination!$F$2:$F$501,MATCH(B110,Destination!$A$2:$A$501,0))</f>
        <v>34.08</v>
      </c>
      <c r="H110" s="12" t="n">
        <f aca="false">INDEX(Destination!$G$2:$G$501,MATCH(B110,Destination!$A$2:$A$501,0))</f>
        <v>74.8</v>
      </c>
      <c r="I110" s="12" t="n">
        <f aca="false">INDEX(Destination!$F$2:$F$501,MATCH(D110,Destination!$A$2:$A$501,0))</f>
        <v>34.05</v>
      </c>
      <c r="J110" s="12" t="n">
        <f aca="false">INDEX(Destination!$G$2:$G$501,MATCH(D110,Destination!$A$2:$A$501,0))</f>
        <v>74.38</v>
      </c>
      <c r="K110" s="17" t="n">
        <f aca="false">Assumptions!$B$2*2*ASIN(SQRT(SIN(RADIANS(I110-G110)/2)^2+COS(RADIANS(G110))*COS(RADIANS(I110))*SIN(RADIANS(J110-H110)/2)^2))</f>
        <v>38.8314738301176</v>
      </c>
      <c r="L110" s="18" t="n">
        <f aca="false">K110*Assumptions!$B$3</f>
        <v>50.4809159791528</v>
      </c>
      <c r="M110" s="19" t="n">
        <f aca="false">L110/Assumptions!$B$4</f>
        <v>1.12179813287006</v>
      </c>
      <c r="N110" s="9" t="s">
        <v>1365</v>
      </c>
    </row>
    <row r="111" customFormat="false" ht="15" hidden="false" customHeight="false" outlineLevel="0" collapsed="false">
      <c r="A111" s="9" t="s">
        <v>1474</v>
      </c>
      <c r="B111" s="9" t="s">
        <v>163</v>
      </c>
      <c r="C111" s="9" t="str">
        <f aca="false">IFERROR(INDEX(Destination!$B$2:$B$501,MATCH(B111,Destination!$A$2:$A$501,0)),"")</f>
        <v>Srinagar</v>
      </c>
      <c r="D111" s="9" t="s">
        <v>168</v>
      </c>
      <c r="E111" s="9" t="str">
        <f aca="false">IFERROR(INDEX(Destination!$B$2:$B$501,MATCH(D111,Destination!$A$2:$A$501,0)),"")</f>
        <v>Pahalgam</v>
      </c>
      <c r="F111" s="9" t="s">
        <v>1364</v>
      </c>
      <c r="G111" s="12" t="n">
        <f aca="false">INDEX(Destination!$F$2:$F$501,MATCH(B111,Destination!$A$2:$A$501,0))</f>
        <v>34.08</v>
      </c>
      <c r="H111" s="12" t="n">
        <f aca="false">INDEX(Destination!$G$2:$G$501,MATCH(B111,Destination!$A$2:$A$501,0))</f>
        <v>74.8</v>
      </c>
      <c r="I111" s="12" t="n">
        <f aca="false">INDEX(Destination!$F$2:$F$501,MATCH(D111,Destination!$A$2:$A$501,0))</f>
        <v>34.02</v>
      </c>
      <c r="J111" s="12" t="n">
        <f aca="false">INDEX(Destination!$G$2:$G$501,MATCH(D111,Destination!$A$2:$A$501,0))</f>
        <v>75.32</v>
      </c>
      <c r="K111" s="17" t="n">
        <f aca="false">Assumptions!$B$2*2*ASIN(SQRT(SIN(RADIANS(I111-G111)/2)^2+COS(RADIANS(G111))*COS(RADIANS(I111))*SIN(RADIANS(J111-H111)/2)^2))</f>
        <v>48.3701137066435</v>
      </c>
      <c r="L111" s="18" t="n">
        <f aca="false">K111*Assumptions!$B$3</f>
        <v>62.8811478186366</v>
      </c>
      <c r="M111" s="19" t="n">
        <f aca="false">L111/Assumptions!$B$4</f>
        <v>1.39735884041415</v>
      </c>
      <c r="N111" s="9" t="s">
        <v>1365</v>
      </c>
    </row>
    <row r="112" customFormat="false" ht="15" hidden="false" customHeight="false" outlineLevel="0" collapsed="false">
      <c r="A112" s="9" t="s">
        <v>1475</v>
      </c>
      <c r="B112" s="9" t="s">
        <v>163</v>
      </c>
      <c r="C112" s="9" t="str">
        <f aca="false">IFERROR(INDEX(Destination!$B$2:$B$501,MATCH(B112,Destination!$A$2:$A$501,0)),"")</f>
        <v>Srinagar</v>
      </c>
      <c r="D112" s="9" t="s">
        <v>170</v>
      </c>
      <c r="E112" s="9" t="str">
        <f aca="false">IFERROR(INDEX(Destination!$B$2:$B$501,MATCH(D112,Destination!$A$2:$A$501,0)),"")</f>
        <v>Sonamarg</v>
      </c>
      <c r="F112" s="9" t="s">
        <v>1364</v>
      </c>
      <c r="G112" s="12" t="n">
        <f aca="false">INDEX(Destination!$F$2:$F$501,MATCH(B112,Destination!$A$2:$A$501,0))</f>
        <v>34.08</v>
      </c>
      <c r="H112" s="12" t="n">
        <f aca="false">INDEX(Destination!$G$2:$G$501,MATCH(B112,Destination!$A$2:$A$501,0))</f>
        <v>74.8</v>
      </c>
      <c r="I112" s="12" t="n">
        <f aca="false">INDEX(Destination!$F$2:$F$501,MATCH(D112,Destination!$A$2:$A$501,0))</f>
        <v>34.3</v>
      </c>
      <c r="J112" s="12" t="n">
        <f aca="false">INDEX(Destination!$G$2:$G$501,MATCH(D112,Destination!$A$2:$A$501,0))</f>
        <v>75.29</v>
      </c>
      <c r="K112" s="17" t="n">
        <f aca="false">Assumptions!$B$2*2*ASIN(SQRT(SIN(RADIANS(I112-G112)/2)^2+COS(RADIANS(G112))*COS(RADIANS(I112))*SIN(RADIANS(J112-H112)/2)^2))</f>
        <v>51.2802159379542</v>
      </c>
      <c r="L112" s="18" t="n">
        <f aca="false">K112*Assumptions!$B$3</f>
        <v>66.6642807193404</v>
      </c>
      <c r="M112" s="19" t="n">
        <f aca="false">L112/Assumptions!$B$4</f>
        <v>1.48142846042979</v>
      </c>
      <c r="N112" s="9" t="s">
        <v>1365</v>
      </c>
    </row>
    <row r="113" customFormat="false" ht="15" hidden="false" customHeight="false" outlineLevel="0" collapsed="false">
      <c r="A113" s="9" t="s">
        <v>1476</v>
      </c>
      <c r="B113" s="9" t="s">
        <v>166</v>
      </c>
      <c r="C113" s="9" t="str">
        <f aca="false">IFERROR(INDEX(Destination!$B$2:$B$501,MATCH(B113,Destination!$A$2:$A$501,0)),"")</f>
        <v>Gulmarg</v>
      </c>
      <c r="D113" s="9" t="s">
        <v>168</v>
      </c>
      <c r="E113" s="9" t="str">
        <f aca="false">IFERROR(INDEX(Destination!$B$2:$B$501,MATCH(D113,Destination!$A$2:$A$501,0)),"")</f>
        <v>Pahalgam</v>
      </c>
      <c r="F113" s="9" t="s">
        <v>1364</v>
      </c>
      <c r="G113" s="12" t="n">
        <f aca="false">INDEX(Destination!$F$2:$F$501,MATCH(B113,Destination!$A$2:$A$501,0))</f>
        <v>34.05</v>
      </c>
      <c r="H113" s="12" t="n">
        <f aca="false">INDEX(Destination!$G$2:$G$501,MATCH(B113,Destination!$A$2:$A$501,0))</f>
        <v>74.38</v>
      </c>
      <c r="I113" s="12" t="n">
        <f aca="false">INDEX(Destination!$F$2:$F$501,MATCH(D113,Destination!$A$2:$A$501,0))</f>
        <v>34.02</v>
      </c>
      <c r="J113" s="12" t="n">
        <f aca="false">INDEX(Destination!$G$2:$G$501,MATCH(D113,Destination!$A$2:$A$501,0))</f>
        <v>75.32</v>
      </c>
      <c r="K113" s="17" t="n">
        <f aca="false">Assumptions!$B$2*2*ASIN(SQRT(SIN(RADIANS(I113-G113)/2)^2+COS(RADIANS(G113))*COS(RADIANS(I113))*SIN(RADIANS(J113-H113)/2)^2))</f>
        <v>86.6818705030802</v>
      </c>
      <c r="L113" s="18" t="n">
        <f aca="false">K113*Assumptions!$B$3</f>
        <v>112.686431654004</v>
      </c>
      <c r="M113" s="19" t="n">
        <f aca="false">L113/Assumptions!$B$4</f>
        <v>2.50414292564454</v>
      </c>
      <c r="N113" s="9" t="s">
        <v>1365</v>
      </c>
    </row>
    <row r="114" customFormat="false" ht="15" hidden="false" customHeight="false" outlineLevel="0" collapsed="false">
      <c r="A114" s="9" t="s">
        <v>1477</v>
      </c>
      <c r="B114" s="9" t="s">
        <v>166</v>
      </c>
      <c r="C114" s="9" t="str">
        <f aca="false">IFERROR(INDEX(Destination!$B$2:$B$501,MATCH(B114,Destination!$A$2:$A$501,0)),"")</f>
        <v>Gulmarg</v>
      </c>
      <c r="D114" s="9" t="s">
        <v>170</v>
      </c>
      <c r="E114" s="9" t="str">
        <f aca="false">IFERROR(INDEX(Destination!$B$2:$B$501,MATCH(D114,Destination!$A$2:$A$501,0)),"")</f>
        <v>Sonamarg</v>
      </c>
      <c r="F114" s="9" t="s">
        <v>1364</v>
      </c>
      <c r="G114" s="12" t="n">
        <f aca="false">INDEX(Destination!$F$2:$F$501,MATCH(B114,Destination!$A$2:$A$501,0))</f>
        <v>34.05</v>
      </c>
      <c r="H114" s="12" t="n">
        <f aca="false">INDEX(Destination!$G$2:$G$501,MATCH(B114,Destination!$A$2:$A$501,0))</f>
        <v>74.38</v>
      </c>
      <c r="I114" s="12" t="n">
        <f aca="false">INDEX(Destination!$F$2:$F$501,MATCH(D114,Destination!$A$2:$A$501,0))</f>
        <v>34.3</v>
      </c>
      <c r="J114" s="12" t="n">
        <f aca="false">INDEX(Destination!$G$2:$G$501,MATCH(D114,Destination!$A$2:$A$501,0))</f>
        <v>75.29</v>
      </c>
      <c r="K114" s="17" t="n">
        <f aca="false">Assumptions!$B$2*2*ASIN(SQRT(SIN(RADIANS(I114-G114)/2)^2+COS(RADIANS(G114))*COS(RADIANS(I114))*SIN(RADIANS(J114-H114)/2)^2))</f>
        <v>88.2093285216847</v>
      </c>
      <c r="L114" s="18" t="n">
        <f aca="false">K114*Assumptions!$B$3</f>
        <v>114.67212707819</v>
      </c>
      <c r="M114" s="19" t="n">
        <f aca="false">L114/Assumptions!$B$4</f>
        <v>2.54826949062645</v>
      </c>
      <c r="N114" s="9" t="s">
        <v>1365</v>
      </c>
    </row>
    <row r="115" customFormat="false" ht="15" hidden="false" customHeight="false" outlineLevel="0" collapsed="false">
      <c r="A115" s="9" t="s">
        <v>1478</v>
      </c>
      <c r="B115" s="9" t="s">
        <v>168</v>
      </c>
      <c r="C115" s="9" t="str">
        <f aca="false">IFERROR(INDEX(Destination!$B$2:$B$501,MATCH(B115,Destination!$A$2:$A$501,0)),"")</f>
        <v>Pahalgam</v>
      </c>
      <c r="D115" s="9" t="s">
        <v>170</v>
      </c>
      <c r="E115" s="9" t="str">
        <f aca="false">IFERROR(INDEX(Destination!$B$2:$B$501,MATCH(D115,Destination!$A$2:$A$501,0)),"")</f>
        <v>Sonamarg</v>
      </c>
      <c r="F115" s="9" t="s">
        <v>1364</v>
      </c>
      <c r="G115" s="12" t="n">
        <f aca="false">INDEX(Destination!$F$2:$F$501,MATCH(B115,Destination!$A$2:$A$501,0))</f>
        <v>34.02</v>
      </c>
      <c r="H115" s="12" t="n">
        <f aca="false">INDEX(Destination!$G$2:$G$501,MATCH(B115,Destination!$A$2:$A$501,0))</f>
        <v>75.32</v>
      </c>
      <c r="I115" s="12" t="n">
        <f aca="false">INDEX(Destination!$F$2:$F$501,MATCH(D115,Destination!$A$2:$A$501,0))</f>
        <v>34.3</v>
      </c>
      <c r="J115" s="12" t="n">
        <f aca="false">INDEX(Destination!$G$2:$G$501,MATCH(D115,Destination!$A$2:$A$501,0))</f>
        <v>75.29</v>
      </c>
      <c r="K115" s="17" t="n">
        <f aca="false">Assumptions!$B$2*2*ASIN(SQRT(SIN(RADIANS(I115-G115)/2)^2+COS(RADIANS(G115))*COS(RADIANS(I115))*SIN(RADIANS(J115-H115)/2)^2))</f>
        <v>31.2567014652493</v>
      </c>
      <c r="L115" s="18" t="n">
        <f aca="false">K115*Assumptions!$B$3</f>
        <v>40.633711904824</v>
      </c>
      <c r="M115" s="19" t="n">
        <f aca="false">L115/Assumptions!$B$4</f>
        <v>0.902971375662756</v>
      </c>
      <c r="N115" s="9" t="s">
        <v>1365</v>
      </c>
    </row>
    <row r="116" customFormat="false" ht="15" hidden="false" customHeight="false" outlineLevel="0" collapsed="false">
      <c r="A116" s="9" t="s">
        <v>1479</v>
      </c>
      <c r="B116" s="9" t="s">
        <v>168</v>
      </c>
      <c r="C116" s="9" t="str">
        <f aca="false">IFERROR(INDEX(Destination!$B$2:$B$501,MATCH(B116,Destination!$A$2:$A$501,0)),"")</f>
        <v>Pahalgam</v>
      </c>
      <c r="D116" s="9" t="s">
        <v>917</v>
      </c>
      <c r="E116" s="9" t="str">
        <f aca="false">IFERROR(INDEX(Destination!$B$2:$B$501,MATCH(D116,Destination!$A$2:$A$501,0)),"")</f>
        <v>Kargil</v>
      </c>
      <c r="F116" s="9" t="s">
        <v>1364</v>
      </c>
      <c r="G116" s="12" t="n">
        <f aca="false">INDEX(Destination!$F$2:$F$501,MATCH(B116,Destination!$A$2:$A$501,0))</f>
        <v>34.02</v>
      </c>
      <c r="H116" s="12" t="n">
        <f aca="false">INDEX(Destination!$G$2:$G$501,MATCH(B116,Destination!$A$2:$A$501,0))</f>
        <v>75.32</v>
      </c>
      <c r="I116" s="12" t="n">
        <f aca="false">INDEX(Destination!$F$2:$F$501,MATCH(D116,Destination!$A$2:$A$501,0))</f>
        <v>34.56</v>
      </c>
      <c r="J116" s="12" t="n">
        <f aca="false">INDEX(Destination!$G$2:$G$501,MATCH(D116,Destination!$A$2:$A$501,0))</f>
        <v>76.13</v>
      </c>
      <c r="K116" s="17" t="n">
        <f aca="false">Assumptions!$B$2*2*ASIN(SQRT(SIN(RADIANS(I116-G116)/2)^2+COS(RADIANS(G116))*COS(RADIANS(I116))*SIN(RADIANS(J116-H116)/2)^2))</f>
        <v>95.6175597237424</v>
      </c>
      <c r="L116" s="18" t="n">
        <f aca="false">K116*Assumptions!$B$3</f>
        <v>124.302827640865</v>
      </c>
      <c r="M116" s="19" t="n">
        <f aca="false">L116/Assumptions!$B$4</f>
        <v>2.76228505868589</v>
      </c>
      <c r="N116" s="9" t="s">
        <v>1365</v>
      </c>
    </row>
    <row r="117" customFormat="false" ht="15" hidden="false" customHeight="false" outlineLevel="0" collapsed="false">
      <c r="A117" s="9" t="s">
        <v>1480</v>
      </c>
      <c r="B117" s="9" t="s">
        <v>170</v>
      </c>
      <c r="C117" s="9" t="str">
        <f aca="false">IFERROR(INDEX(Destination!$B$2:$B$501,MATCH(B117,Destination!$A$2:$A$501,0)),"")</f>
        <v>Sonamarg</v>
      </c>
      <c r="D117" s="9" t="s">
        <v>917</v>
      </c>
      <c r="E117" s="9" t="str">
        <f aca="false">IFERROR(INDEX(Destination!$B$2:$B$501,MATCH(D117,Destination!$A$2:$A$501,0)),"")</f>
        <v>Kargil</v>
      </c>
      <c r="F117" s="9" t="s">
        <v>1364</v>
      </c>
      <c r="G117" s="12" t="n">
        <f aca="false">INDEX(Destination!$F$2:$F$501,MATCH(B117,Destination!$A$2:$A$501,0))</f>
        <v>34.3</v>
      </c>
      <c r="H117" s="12" t="n">
        <f aca="false">INDEX(Destination!$G$2:$G$501,MATCH(B117,Destination!$A$2:$A$501,0))</f>
        <v>75.29</v>
      </c>
      <c r="I117" s="12" t="n">
        <f aca="false">INDEX(Destination!$F$2:$F$501,MATCH(D117,Destination!$A$2:$A$501,0))</f>
        <v>34.56</v>
      </c>
      <c r="J117" s="12" t="n">
        <f aca="false">INDEX(Destination!$G$2:$G$501,MATCH(D117,Destination!$A$2:$A$501,0))</f>
        <v>76.13</v>
      </c>
      <c r="K117" s="17" t="n">
        <f aca="false">Assumptions!$B$2*2*ASIN(SQRT(SIN(RADIANS(I117-G117)/2)^2+COS(RADIANS(G117))*COS(RADIANS(I117))*SIN(RADIANS(J117-H117)/2)^2))</f>
        <v>82.286642125737</v>
      </c>
      <c r="L117" s="18" t="n">
        <f aca="false">K117*Assumptions!$B$3</f>
        <v>106.972634763458</v>
      </c>
      <c r="M117" s="19" t="n">
        <f aca="false">L117/Assumptions!$B$4</f>
        <v>2.37716966141018</v>
      </c>
      <c r="N117" s="9" t="s">
        <v>1365</v>
      </c>
    </row>
    <row r="118" customFormat="false" ht="15" hidden="false" customHeight="false" outlineLevel="0" collapsed="false">
      <c r="A118" s="9" t="s">
        <v>1481</v>
      </c>
      <c r="B118" s="9" t="s">
        <v>172</v>
      </c>
      <c r="C118" s="9" t="str">
        <f aca="false">IFERROR(INDEX(Destination!$B$2:$B$501,MATCH(B118,Destination!$A$2:$A$501,0)),"")</f>
        <v>Jammu</v>
      </c>
      <c r="D118" s="9" t="s">
        <v>174</v>
      </c>
      <c r="E118" s="9" t="str">
        <f aca="false">IFERROR(INDEX(Destination!$B$2:$B$501,MATCH(D118,Destination!$A$2:$A$501,0)),"")</f>
        <v>Patnitop</v>
      </c>
      <c r="F118" s="9" t="s">
        <v>1364</v>
      </c>
      <c r="G118" s="12" t="n">
        <f aca="false">INDEX(Destination!$F$2:$F$501,MATCH(B118,Destination!$A$2:$A$501,0))</f>
        <v>32.73</v>
      </c>
      <c r="H118" s="12" t="n">
        <f aca="false">INDEX(Destination!$G$2:$G$501,MATCH(B118,Destination!$A$2:$A$501,0))</f>
        <v>74.86</v>
      </c>
      <c r="I118" s="12" t="n">
        <f aca="false">INDEX(Destination!$F$2:$F$501,MATCH(D118,Destination!$A$2:$A$501,0))</f>
        <v>33.09</v>
      </c>
      <c r="J118" s="12" t="n">
        <f aca="false">INDEX(Destination!$G$2:$G$501,MATCH(D118,Destination!$A$2:$A$501,0))</f>
        <v>75.33</v>
      </c>
      <c r="K118" s="17" t="n">
        <f aca="false">Assumptions!$B$2*2*ASIN(SQRT(SIN(RADIANS(I118-G118)/2)^2+COS(RADIANS(G118))*COS(RADIANS(I118))*SIN(RADIANS(J118-H118)/2)^2))</f>
        <v>59.3919798908733</v>
      </c>
      <c r="L118" s="18" t="n">
        <f aca="false">K118*Assumptions!$B$3</f>
        <v>77.2095738581353</v>
      </c>
      <c r="M118" s="19" t="n">
        <f aca="false">L118/Assumptions!$B$4</f>
        <v>1.71576830795856</v>
      </c>
      <c r="N118" s="9" t="s">
        <v>1365</v>
      </c>
    </row>
    <row r="119" customFormat="false" ht="15" hidden="false" customHeight="false" outlineLevel="0" collapsed="false">
      <c r="A119" s="9" t="s">
        <v>1482</v>
      </c>
      <c r="B119" s="9" t="s">
        <v>172</v>
      </c>
      <c r="C119" s="9" t="str">
        <f aca="false">IFERROR(INDEX(Destination!$B$2:$B$501,MATCH(B119,Destination!$A$2:$A$501,0)),"")</f>
        <v>Jammu</v>
      </c>
      <c r="D119" s="9" t="s">
        <v>176</v>
      </c>
      <c r="E119" s="9" t="str">
        <f aca="false">IFERROR(INDEX(Destination!$B$2:$B$501,MATCH(D119,Destination!$A$2:$A$501,0)),"")</f>
        <v>Katra</v>
      </c>
      <c r="F119" s="9" t="s">
        <v>1364</v>
      </c>
      <c r="G119" s="12" t="n">
        <f aca="false">INDEX(Destination!$F$2:$F$501,MATCH(B119,Destination!$A$2:$A$501,0))</f>
        <v>32.73</v>
      </c>
      <c r="H119" s="12" t="n">
        <f aca="false">INDEX(Destination!$G$2:$G$501,MATCH(B119,Destination!$A$2:$A$501,0))</f>
        <v>74.86</v>
      </c>
      <c r="I119" s="12" t="n">
        <f aca="false">INDEX(Destination!$F$2:$F$501,MATCH(D119,Destination!$A$2:$A$501,0))</f>
        <v>32.99</v>
      </c>
      <c r="J119" s="12" t="n">
        <f aca="false">INDEX(Destination!$G$2:$G$501,MATCH(D119,Destination!$A$2:$A$501,0))</f>
        <v>74.93</v>
      </c>
      <c r="K119" s="17" t="n">
        <f aca="false">Assumptions!$B$2*2*ASIN(SQRT(SIN(RADIANS(I119-G119)/2)^2+COS(RADIANS(G119))*COS(RADIANS(I119))*SIN(RADIANS(J119-H119)/2)^2))</f>
        <v>29.6407836525129</v>
      </c>
      <c r="L119" s="18" t="n">
        <f aca="false">K119*Assumptions!$B$3</f>
        <v>38.5330187482668</v>
      </c>
      <c r="M119" s="19" t="n">
        <f aca="false">L119/Assumptions!$B$4</f>
        <v>0.856289305517039</v>
      </c>
      <c r="N119" s="9" t="s">
        <v>1365</v>
      </c>
    </row>
    <row r="120" customFormat="false" ht="15" hidden="false" customHeight="false" outlineLevel="0" collapsed="false">
      <c r="A120" s="9" t="s">
        <v>1483</v>
      </c>
      <c r="B120" s="9" t="s">
        <v>174</v>
      </c>
      <c r="C120" s="9" t="str">
        <f aca="false">IFERROR(INDEX(Destination!$B$2:$B$501,MATCH(B120,Destination!$A$2:$A$501,0)),"")</f>
        <v>Patnitop</v>
      </c>
      <c r="D120" s="9" t="s">
        <v>176</v>
      </c>
      <c r="E120" s="9" t="str">
        <f aca="false">IFERROR(INDEX(Destination!$B$2:$B$501,MATCH(D120,Destination!$A$2:$A$501,0)),"")</f>
        <v>Katra</v>
      </c>
      <c r="F120" s="9" t="s">
        <v>1364</v>
      </c>
      <c r="G120" s="12" t="n">
        <f aca="false">INDEX(Destination!$F$2:$F$501,MATCH(B120,Destination!$A$2:$A$501,0))</f>
        <v>33.09</v>
      </c>
      <c r="H120" s="12" t="n">
        <f aca="false">INDEX(Destination!$G$2:$G$501,MATCH(B120,Destination!$A$2:$A$501,0))</f>
        <v>75.33</v>
      </c>
      <c r="I120" s="12" t="n">
        <f aca="false">INDEX(Destination!$F$2:$F$501,MATCH(D120,Destination!$A$2:$A$501,0))</f>
        <v>32.99</v>
      </c>
      <c r="J120" s="12" t="n">
        <f aca="false">INDEX(Destination!$G$2:$G$501,MATCH(D120,Destination!$A$2:$A$501,0))</f>
        <v>74.93</v>
      </c>
      <c r="K120" s="17" t="n">
        <f aca="false">Assumptions!$B$2*2*ASIN(SQRT(SIN(RADIANS(I120-G120)/2)^2+COS(RADIANS(G120))*COS(RADIANS(I120))*SIN(RADIANS(J120-H120)/2)^2))</f>
        <v>38.908160715372</v>
      </c>
      <c r="L120" s="18" t="n">
        <f aca="false">K120*Assumptions!$B$3</f>
        <v>50.5806089299836</v>
      </c>
      <c r="M120" s="19" t="n">
        <f aca="false">L120/Assumptions!$B$4</f>
        <v>1.12401353177741</v>
      </c>
      <c r="N120" s="9" t="s">
        <v>1365</v>
      </c>
    </row>
    <row r="121" customFormat="false" ht="15" hidden="false" customHeight="false" outlineLevel="0" collapsed="false">
      <c r="A121" s="9" t="s">
        <v>1484</v>
      </c>
      <c r="B121" s="9" t="s">
        <v>178</v>
      </c>
      <c r="C121" s="9" t="str">
        <f aca="false">IFERROR(INDEX(Destination!$B$2:$B$501,MATCH(B121,Destination!$A$2:$A$501,0)),"")</f>
        <v>Badrinath</v>
      </c>
      <c r="D121" s="9" t="s">
        <v>180</v>
      </c>
      <c r="E121" s="9" t="str">
        <f aca="false">IFERROR(INDEX(Destination!$B$2:$B$501,MATCH(D121,Destination!$A$2:$A$501,0)),"")</f>
        <v>Kedarnath</v>
      </c>
      <c r="F121" s="9" t="s">
        <v>1364</v>
      </c>
      <c r="G121" s="12" t="n">
        <f aca="false">INDEX(Destination!$F$2:$F$501,MATCH(B121,Destination!$A$2:$A$501,0))</f>
        <v>30.74</v>
      </c>
      <c r="H121" s="12" t="n">
        <f aca="false">INDEX(Destination!$G$2:$G$501,MATCH(B121,Destination!$A$2:$A$501,0))</f>
        <v>79.49</v>
      </c>
      <c r="I121" s="12" t="n">
        <f aca="false">INDEX(Destination!$F$2:$F$501,MATCH(D121,Destination!$A$2:$A$501,0))</f>
        <v>30.74</v>
      </c>
      <c r="J121" s="12" t="n">
        <f aca="false">INDEX(Destination!$G$2:$G$501,MATCH(D121,Destination!$A$2:$A$501,0))</f>
        <v>79.07</v>
      </c>
      <c r="K121" s="17" t="n">
        <f aca="false">Assumptions!$B$2*2*ASIN(SQRT(SIN(RADIANS(I121-G121)/2)^2+COS(RADIANS(G121))*COS(RADIANS(I121))*SIN(RADIANS(J121-H121)/2)^2))</f>
        <v>40.1400292768368</v>
      </c>
      <c r="L121" s="18" t="n">
        <f aca="false">K121*Assumptions!$B$3</f>
        <v>52.1820380598879</v>
      </c>
      <c r="M121" s="19" t="n">
        <f aca="false">L121/Assumptions!$B$4</f>
        <v>1.15960084577529</v>
      </c>
      <c r="N121" s="9" t="s">
        <v>1365</v>
      </c>
    </row>
    <row r="122" customFormat="false" ht="15" hidden="false" customHeight="false" outlineLevel="0" collapsed="false">
      <c r="A122" s="9" t="s">
        <v>1485</v>
      </c>
      <c r="B122" s="9" t="s">
        <v>178</v>
      </c>
      <c r="C122" s="9" t="str">
        <f aca="false">IFERROR(INDEX(Destination!$B$2:$B$501,MATCH(B122,Destination!$A$2:$A$501,0)),"")</f>
        <v>Badrinath</v>
      </c>
      <c r="D122" s="9" t="s">
        <v>186</v>
      </c>
      <c r="E122" s="9" t="str">
        <f aca="false">IFERROR(INDEX(Destination!$B$2:$B$501,MATCH(D122,Destination!$A$2:$A$501,0)),"")</f>
        <v>Valley of Flowers</v>
      </c>
      <c r="F122" s="9" t="s">
        <v>1364</v>
      </c>
      <c r="G122" s="12" t="n">
        <f aca="false">INDEX(Destination!$F$2:$F$501,MATCH(B122,Destination!$A$2:$A$501,0))</f>
        <v>30.74</v>
      </c>
      <c r="H122" s="12" t="n">
        <f aca="false">INDEX(Destination!$G$2:$G$501,MATCH(B122,Destination!$A$2:$A$501,0))</f>
        <v>79.49</v>
      </c>
      <c r="I122" s="12" t="n">
        <f aca="false">INDEX(Destination!$F$2:$F$501,MATCH(D122,Destination!$A$2:$A$501,0))</f>
        <v>30.73</v>
      </c>
      <c r="J122" s="12" t="n">
        <f aca="false">INDEX(Destination!$G$2:$G$501,MATCH(D122,Destination!$A$2:$A$501,0))</f>
        <v>79.6</v>
      </c>
      <c r="K122" s="17" t="n">
        <f aca="false">Assumptions!$B$2*2*ASIN(SQRT(SIN(RADIANS(I122-G122)/2)^2+COS(RADIANS(G122))*COS(RADIANS(I122))*SIN(RADIANS(J122-H122)/2)^2))</f>
        <v>10.5720550732657</v>
      </c>
      <c r="L122" s="18" t="n">
        <f aca="false">K122*Assumptions!$B$3</f>
        <v>13.7436715952454</v>
      </c>
      <c r="M122" s="19" t="n">
        <f aca="false">L122/Assumptions!$B$4</f>
        <v>0.305414924338786</v>
      </c>
      <c r="N122" s="9" t="s">
        <v>1365</v>
      </c>
    </row>
    <row r="123" customFormat="false" ht="15" hidden="false" customHeight="false" outlineLevel="0" collapsed="false">
      <c r="A123" s="9" t="s">
        <v>1486</v>
      </c>
      <c r="B123" s="9" t="s">
        <v>178</v>
      </c>
      <c r="C123" s="9" t="str">
        <f aca="false">IFERROR(INDEX(Destination!$B$2:$B$501,MATCH(B123,Destination!$A$2:$A$501,0)),"")</f>
        <v>Badrinath</v>
      </c>
      <c r="D123" s="9" t="s">
        <v>861</v>
      </c>
      <c r="E123" s="9" t="str">
        <f aca="false">IFERROR(INDEX(Destination!$B$2:$B$501,MATCH(D123,Destination!$A$2:$A$501,0)),"")</f>
        <v>Auli</v>
      </c>
      <c r="F123" s="9" t="s">
        <v>1364</v>
      </c>
      <c r="G123" s="12" t="n">
        <f aca="false">INDEX(Destination!$F$2:$F$501,MATCH(B123,Destination!$A$2:$A$501,0))</f>
        <v>30.74</v>
      </c>
      <c r="H123" s="12" t="n">
        <f aca="false">INDEX(Destination!$G$2:$G$501,MATCH(B123,Destination!$A$2:$A$501,0))</f>
        <v>79.49</v>
      </c>
      <c r="I123" s="12" t="n">
        <f aca="false">INDEX(Destination!$F$2:$F$501,MATCH(D123,Destination!$A$2:$A$501,0))</f>
        <v>30.53</v>
      </c>
      <c r="J123" s="12" t="n">
        <f aca="false">INDEX(Destination!$G$2:$G$501,MATCH(D123,Destination!$A$2:$A$501,0))</f>
        <v>79.57</v>
      </c>
      <c r="K123" s="17" t="n">
        <f aca="false">Assumptions!$B$2*2*ASIN(SQRT(SIN(RADIANS(I123-G123)/2)^2+COS(RADIANS(G123))*COS(RADIANS(I123))*SIN(RADIANS(J123-H123)/2)^2))</f>
        <v>24.5733677264565</v>
      </c>
      <c r="L123" s="18" t="n">
        <f aca="false">K123*Assumptions!$B$3</f>
        <v>31.9453780443934</v>
      </c>
      <c r="M123" s="19" t="n">
        <f aca="false">L123/Assumptions!$B$4</f>
        <v>0.709897289875409</v>
      </c>
      <c r="N123" s="9" t="s">
        <v>1365</v>
      </c>
    </row>
    <row r="124" customFormat="false" ht="15" hidden="false" customHeight="false" outlineLevel="0" collapsed="false">
      <c r="A124" s="9" t="s">
        <v>1487</v>
      </c>
      <c r="B124" s="9" t="s">
        <v>178</v>
      </c>
      <c r="C124" s="9" t="str">
        <f aca="false">IFERROR(INDEX(Destination!$B$2:$B$501,MATCH(B124,Destination!$A$2:$A$501,0)),"")</f>
        <v>Badrinath</v>
      </c>
      <c r="D124" s="9" t="s">
        <v>863</v>
      </c>
      <c r="E124" s="9" t="str">
        <f aca="false">IFERROR(INDEX(Destination!$B$2:$B$501,MATCH(D124,Destination!$A$2:$A$501,0)),"")</f>
        <v>Chopta</v>
      </c>
      <c r="F124" s="9" t="s">
        <v>1364</v>
      </c>
      <c r="G124" s="12" t="n">
        <f aca="false">INDEX(Destination!$F$2:$F$501,MATCH(B124,Destination!$A$2:$A$501,0))</f>
        <v>30.74</v>
      </c>
      <c r="H124" s="12" t="n">
        <f aca="false">INDEX(Destination!$G$2:$G$501,MATCH(B124,Destination!$A$2:$A$501,0))</f>
        <v>79.49</v>
      </c>
      <c r="I124" s="12" t="n">
        <f aca="false">INDEX(Destination!$F$2:$F$501,MATCH(D124,Destination!$A$2:$A$501,0))</f>
        <v>30.49</v>
      </c>
      <c r="J124" s="12" t="n">
        <f aca="false">INDEX(Destination!$G$2:$G$501,MATCH(D124,Destination!$A$2:$A$501,0))</f>
        <v>79.02</v>
      </c>
      <c r="K124" s="17" t="n">
        <f aca="false">Assumptions!$B$2*2*ASIN(SQRT(SIN(RADIANS(I124-G124)/2)^2+COS(RADIANS(G124))*COS(RADIANS(I124))*SIN(RADIANS(J124-H124)/2)^2))</f>
        <v>52.8741215663114</v>
      </c>
      <c r="L124" s="18" t="n">
        <f aca="false">K124*Assumptions!$B$3</f>
        <v>68.7363580362048</v>
      </c>
      <c r="M124" s="19" t="n">
        <f aca="false">L124/Assumptions!$B$4</f>
        <v>1.52747462302677</v>
      </c>
      <c r="N124" s="9" t="s">
        <v>1365</v>
      </c>
    </row>
    <row r="125" customFormat="false" ht="15" hidden="false" customHeight="false" outlineLevel="0" collapsed="false">
      <c r="A125" s="9" t="s">
        <v>1488</v>
      </c>
      <c r="B125" s="9" t="s">
        <v>180</v>
      </c>
      <c r="C125" s="9" t="str">
        <f aca="false">IFERROR(INDEX(Destination!$B$2:$B$501,MATCH(B125,Destination!$A$2:$A$501,0)),"")</f>
        <v>Kedarnath</v>
      </c>
      <c r="D125" s="9" t="s">
        <v>182</v>
      </c>
      <c r="E125" s="9" t="str">
        <f aca="false">IFERROR(INDEX(Destination!$B$2:$B$501,MATCH(D125,Destination!$A$2:$A$501,0)),"")</f>
        <v>Gangotri</v>
      </c>
      <c r="F125" s="9" t="s">
        <v>1364</v>
      </c>
      <c r="G125" s="12" t="n">
        <f aca="false">INDEX(Destination!$F$2:$F$501,MATCH(B125,Destination!$A$2:$A$501,0))</f>
        <v>30.74</v>
      </c>
      <c r="H125" s="12" t="n">
        <f aca="false">INDEX(Destination!$G$2:$G$501,MATCH(B125,Destination!$A$2:$A$501,0))</f>
        <v>79.07</v>
      </c>
      <c r="I125" s="12" t="n">
        <f aca="false">INDEX(Destination!$F$2:$F$501,MATCH(D125,Destination!$A$2:$A$501,0))</f>
        <v>30.99</v>
      </c>
      <c r="J125" s="12" t="n">
        <f aca="false">INDEX(Destination!$G$2:$G$501,MATCH(D125,Destination!$A$2:$A$501,0))</f>
        <v>78.94</v>
      </c>
      <c r="K125" s="17" t="n">
        <f aca="false">Assumptions!$B$2*2*ASIN(SQRT(SIN(RADIANS(I125-G125)/2)^2+COS(RADIANS(G125))*COS(RADIANS(I125))*SIN(RADIANS(J125-H125)/2)^2))</f>
        <v>30.4422603145037</v>
      </c>
      <c r="L125" s="18" t="n">
        <f aca="false">K125*Assumptions!$B$3</f>
        <v>39.5749384088549</v>
      </c>
      <c r="M125" s="19" t="n">
        <f aca="false">L125/Assumptions!$B$4</f>
        <v>0.87944307575233</v>
      </c>
      <c r="N125" s="9" t="s">
        <v>1365</v>
      </c>
    </row>
    <row r="126" customFormat="false" ht="15" hidden="false" customHeight="false" outlineLevel="0" collapsed="false">
      <c r="A126" s="9" t="s">
        <v>1489</v>
      </c>
      <c r="B126" s="9" t="s">
        <v>180</v>
      </c>
      <c r="C126" s="9" t="str">
        <f aca="false">IFERROR(INDEX(Destination!$B$2:$B$501,MATCH(B126,Destination!$A$2:$A$501,0)),"")</f>
        <v>Kedarnath</v>
      </c>
      <c r="D126" s="9" t="s">
        <v>186</v>
      </c>
      <c r="E126" s="9" t="str">
        <f aca="false">IFERROR(INDEX(Destination!$B$2:$B$501,MATCH(D126,Destination!$A$2:$A$501,0)),"")</f>
        <v>Valley of Flowers</v>
      </c>
      <c r="F126" s="9" t="s">
        <v>1364</v>
      </c>
      <c r="G126" s="12" t="n">
        <f aca="false">INDEX(Destination!$F$2:$F$501,MATCH(B126,Destination!$A$2:$A$501,0))</f>
        <v>30.74</v>
      </c>
      <c r="H126" s="12" t="n">
        <f aca="false">INDEX(Destination!$G$2:$G$501,MATCH(B126,Destination!$A$2:$A$501,0))</f>
        <v>79.07</v>
      </c>
      <c r="I126" s="12" t="n">
        <f aca="false">INDEX(Destination!$F$2:$F$501,MATCH(D126,Destination!$A$2:$A$501,0))</f>
        <v>30.73</v>
      </c>
      <c r="J126" s="12" t="n">
        <f aca="false">INDEX(Destination!$G$2:$G$501,MATCH(D126,Destination!$A$2:$A$501,0))</f>
        <v>79.6</v>
      </c>
      <c r="K126" s="17" t="n">
        <f aca="false">Assumptions!$B$2*2*ASIN(SQRT(SIN(RADIANS(I126-G126)/2)^2+COS(RADIANS(G126))*COS(RADIANS(I126))*SIN(RADIANS(J126-H126)/2)^2))</f>
        <v>50.6677078211077</v>
      </c>
      <c r="L126" s="18" t="n">
        <f aca="false">K126*Assumptions!$B$3</f>
        <v>65.8680201674401</v>
      </c>
      <c r="M126" s="19" t="n">
        <f aca="false">L126/Assumptions!$B$4</f>
        <v>1.46373378149867</v>
      </c>
      <c r="N126" s="9" t="s">
        <v>1365</v>
      </c>
    </row>
    <row r="127" customFormat="false" ht="15" hidden="false" customHeight="false" outlineLevel="0" collapsed="false">
      <c r="A127" s="9" t="s">
        <v>1490</v>
      </c>
      <c r="B127" s="9" t="s">
        <v>180</v>
      </c>
      <c r="C127" s="9" t="str">
        <f aca="false">IFERROR(INDEX(Destination!$B$2:$B$501,MATCH(B127,Destination!$A$2:$A$501,0)),"")</f>
        <v>Kedarnath</v>
      </c>
      <c r="D127" s="9" t="s">
        <v>863</v>
      </c>
      <c r="E127" s="9" t="str">
        <f aca="false">IFERROR(INDEX(Destination!$B$2:$B$501,MATCH(D127,Destination!$A$2:$A$501,0)),"")</f>
        <v>Chopta</v>
      </c>
      <c r="F127" s="9" t="s">
        <v>1364</v>
      </c>
      <c r="G127" s="12" t="n">
        <f aca="false">INDEX(Destination!$F$2:$F$501,MATCH(B127,Destination!$A$2:$A$501,0))</f>
        <v>30.74</v>
      </c>
      <c r="H127" s="12" t="n">
        <f aca="false">INDEX(Destination!$G$2:$G$501,MATCH(B127,Destination!$A$2:$A$501,0))</f>
        <v>79.07</v>
      </c>
      <c r="I127" s="12" t="n">
        <f aca="false">INDEX(Destination!$F$2:$F$501,MATCH(D127,Destination!$A$2:$A$501,0))</f>
        <v>30.49</v>
      </c>
      <c r="J127" s="12" t="n">
        <f aca="false">INDEX(Destination!$G$2:$G$501,MATCH(D127,Destination!$A$2:$A$501,0))</f>
        <v>79.02</v>
      </c>
      <c r="K127" s="17" t="n">
        <f aca="false">Assumptions!$B$2*2*ASIN(SQRT(SIN(RADIANS(I127-G127)/2)^2+COS(RADIANS(G127))*COS(RADIANS(I127))*SIN(RADIANS(J127-H127)/2)^2))</f>
        <v>28.2075060051345</v>
      </c>
      <c r="L127" s="18" t="n">
        <f aca="false">K127*Assumptions!$B$3</f>
        <v>36.6697578066748</v>
      </c>
      <c r="M127" s="19" t="n">
        <f aca="false">L127/Assumptions!$B$4</f>
        <v>0.814883506814996</v>
      </c>
      <c r="N127" s="9" t="s">
        <v>1365</v>
      </c>
    </row>
    <row r="128" customFormat="false" ht="15" hidden="false" customHeight="false" outlineLevel="0" collapsed="false">
      <c r="A128" s="9" t="s">
        <v>1491</v>
      </c>
      <c r="B128" s="9" t="s">
        <v>182</v>
      </c>
      <c r="C128" s="9" t="str">
        <f aca="false">IFERROR(INDEX(Destination!$B$2:$B$501,MATCH(B128,Destination!$A$2:$A$501,0)),"")</f>
        <v>Gangotri</v>
      </c>
      <c r="D128" s="9" t="s">
        <v>184</v>
      </c>
      <c r="E128" s="9" t="str">
        <f aca="false">IFERROR(INDEX(Destination!$B$2:$B$501,MATCH(D128,Destination!$A$2:$A$501,0)),"")</f>
        <v>Yamunotri</v>
      </c>
      <c r="F128" s="9" t="s">
        <v>1364</v>
      </c>
      <c r="G128" s="12" t="n">
        <f aca="false">INDEX(Destination!$F$2:$F$501,MATCH(B128,Destination!$A$2:$A$501,0))</f>
        <v>30.99</v>
      </c>
      <c r="H128" s="12" t="n">
        <f aca="false">INDEX(Destination!$G$2:$G$501,MATCH(B128,Destination!$A$2:$A$501,0))</f>
        <v>78.94</v>
      </c>
      <c r="I128" s="12" t="n">
        <f aca="false">INDEX(Destination!$F$2:$F$501,MATCH(D128,Destination!$A$2:$A$501,0))</f>
        <v>31.01</v>
      </c>
      <c r="J128" s="12" t="n">
        <f aca="false">INDEX(Destination!$G$2:$G$501,MATCH(D128,Destination!$A$2:$A$501,0))</f>
        <v>78.45</v>
      </c>
      <c r="K128" s="17" t="n">
        <f aca="false">Assumptions!$B$2*2*ASIN(SQRT(SIN(RADIANS(I128-G128)/2)^2+COS(RADIANS(G128))*COS(RADIANS(I128))*SIN(RADIANS(J128-H128)/2)^2))</f>
        <v>46.7560812806221</v>
      </c>
      <c r="L128" s="18" t="n">
        <f aca="false">K128*Assumptions!$B$3</f>
        <v>60.7829056648087</v>
      </c>
      <c r="M128" s="19" t="n">
        <f aca="false">L128/Assumptions!$B$4</f>
        <v>1.35073123699575</v>
      </c>
      <c r="N128" s="9" t="s">
        <v>1365</v>
      </c>
    </row>
    <row r="129" customFormat="false" ht="15" hidden="false" customHeight="false" outlineLevel="0" collapsed="false">
      <c r="A129" s="9" t="s">
        <v>1492</v>
      </c>
      <c r="B129" s="9" t="s">
        <v>182</v>
      </c>
      <c r="C129" s="9" t="str">
        <f aca="false">IFERROR(INDEX(Destination!$B$2:$B$501,MATCH(B129,Destination!$A$2:$A$501,0)),"")</f>
        <v>Gangotri</v>
      </c>
      <c r="D129" s="9" t="s">
        <v>863</v>
      </c>
      <c r="E129" s="9" t="str">
        <f aca="false">IFERROR(INDEX(Destination!$B$2:$B$501,MATCH(D129,Destination!$A$2:$A$501,0)),"")</f>
        <v>Chopta</v>
      </c>
      <c r="F129" s="9" t="s">
        <v>1364</v>
      </c>
      <c r="G129" s="12" t="n">
        <f aca="false">INDEX(Destination!$F$2:$F$501,MATCH(B129,Destination!$A$2:$A$501,0))</f>
        <v>30.99</v>
      </c>
      <c r="H129" s="12" t="n">
        <f aca="false">INDEX(Destination!$G$2:$G$501,MATCH(B129,Destination!$A$2:$A$501,0))</f>
        <v>78.94</v>
      </c>
      <c r="I129" s="12" t="n">
        <f aca="false">INDEX(Destination!$F$2:$F$501,MATCH(D129,Destination!$A$2:$A$501,0))</f>
        <v>30.49</v>
      </c>
      <c r="J129" s="12" t="n">
        <f aca="false">INDEX(Destination!$G$2:$G$501,MATCH(D129,Destination!$A$2:$A$501,0))</f>
        <v>79.02</v>
      </c>
      <c r="K129" s="17" t="n">
        <f aca="false">Assumptions!$B$2*2*ASIN(SQRT(SIN(RADIANS(I129-G129)/2)^2+COS(RADIANS(G129))*COS(RADIANS(I129))*SIN(RADIANS(J129-H129)/2)^2))</f>
        <v>56.1207115189845</v>
      </c>
      <c r="L129" s="18" t="n">
        <f aca="false">K129*Assumptions!$B$3</f>
        <v>72.9569249746799</v>
      </c>
      <c r="M129" s="19" t="n">
        <f aca="false">L129/Assumptions!$B$4</f>
        <v>1.62126499943733</v>
      </c>
      <c r="N129" s="9" t="s">
        <v>1365</v>
      </c>
    </row>
    <row r="130" customFormat="false" ht="15" hidden="false" customHeight="false" outlineLevel="0" collapsed="false">
      <c r="A130" s="9" t="s">
        <v>1493</v>
      </c>
      <c r="B130" s="9" t="s">
        <v>184</v>
      </c>
      <c r="C130" s="9" t="str">
        <f aca="false">IFERROR(INDEX(Destination!$B$2:$B$501,MATCH(B130,Destination!$A$2:$A$501,0)),"")</f>
        <v>Yamunotri</v>
      </c>
      <c r="D130" s="9" t="s">
        <v>886</v>
      </c>
      <c r="E130" s="9" t="str">
        <f aca="false">IFERROR(INDEX(Destination!$B$2:$B$501,MATCH(D130,Destination!$A$2:$A$501,0)),"")</f>
        <v>Kinnaur</v>
      </c>
      <c r="F130" s="9" t="s">
        <v>1364</v>
      </c>
      <c r="G130" s="12" t="n">
        <f aca="false">INDEX(Destination!$F$2:$F$501,MATCH(B130,Destination!$A$2:$A$501,0))</f>
        <v>31.01</v>
      </c>
      <c r="H130" s="12" t="n">
        <f aca="false">INDEX(Destination!$G$2:$G$501,MATCH(B130,Destination!$A$2:$A$501,0))</f>
        <v>78.45</v>
      </c>
      <c r="I130" s="12" t="n">
        <f aca="false">INDEX(Destination!$F$2:$F$501,MATCH(D130,Destination!$A$2:$A$501,0))</f>
        <v>31.54</v>
      </c>
      <c r="J130" s="12" t="n">
        <f aca="false">INDEX(Destination!$G$2:$G$501,MATCH(D130,Destination!$A$2:$A$501,0))</f>
        <v>78.27</v>
      </c>
      <c r="K130" s="17" t="n">
        <f aca="false">Assumptions!$B$2*2*ASIN(SQRT(SIN(RADIANS(I130-G130)/2)^2+COS(RADIANS(G130))*COS(RADIANS(I130))*SIN(RADIANS(J130-H130)/2)^2))</f>
        <v>61.3658420312532</v>
      </c>
      <c r="L130" s="18" t="n">
        <f aca="false">K130*Assumptions!$B$3</f>
        <v>79.7755946406292</v>
      </c>
      <c r="M130" s="19" t="n">
        <f aca="false">L130/Assumptions!$B$4</f>
        <v>1.77279099201398</v>
      </c>
      <c r="N130" s="9" t="s">
        <v>1365</v>
      </c>
    </row>
    <row r="131" customFormat="false" ht="15" hidden="false" customHeight="false" outlineLevel="0" collapsed="false">
      <c r="A131" s="9" t="s">
        <v>1494</v>
      </c>
      <c r="B131" s="9" t="s">
        <v>184</v>
      </c>
      <c r="C131" s="9" t="str">
        <f aca="false">IFERROR(INDEX(Destination!$B$2:$B$501,MATCH(B131,Destination!$A$2:$A$501,0)),"")</f>
        <v>Yamunotri</v>
      </c>
      <c r="D131" s="9" t="s">
        <v>901</v>
      </c>
      <c r="E131" s="9" t="str">
        <f aca="false">IFERROR(INDEX(Destination!$B$2:$B$501,MATCH(D131,Destination!$A$2:$A$501,0)),"")</f>
        <v>Kalpa</v>
      </c>
      <c r="F131" s="9" t="s">
        <v>1364</v>
      </c>
      <c r="G131" s="12" t="n">
        <f aca="false">INDEX(Destination!$F$2:$F$501,MATCH(B131,Destination!$A$2:$A$501,0))</f>
        <v>31.01</v>
      </c>
      <c r="H131" s="12" t="n">
        <f aca="false">INDEX(Destination!$G$2:$G$501,MATCH(B131,Destination!$A$2:$A$501,0))</f>
        <v>78.45</v>
      </c>
      <c r="I131" s="12" t="n">
        <f aca="false">INDEX(Destination!$F$2:$F$501,MATCH(D131,Destination!$A$2:$A$501,0))</f>
        <v>31.54</v>
      </c>
      <c r="J131" s="12" t="n">
        <f aca="false">INDEX(Destination!$G$2:$G$501,MATCH(D131,Destination!$A$2:$A$501,0))</f>
        <v>78.26</v>
      </c>
      <c r="K131" s="17" t="n">
        <f aca="false">Assumptions!$B$2*2*ASIN(SQRT(SIN(RADIANS(I131-G131)/2)^2+COS(RADIANS(G131))*COS(RADIANS(I131))*SIN(RADIANS(J131-H131)/2)^2))</f>
        <v>61.6375238328812</v>
      </c>
      <c r="L131" s="18" t="n">
        <f aca="false">K131*Assumptions!$B$3</f>
        <v>80.1287809827456</v>
      </c>
      <c r="M131" s="19" t="n">
        <f aca="false">L131/Assumptions!$B$4</f>
        <v>1.78063957739435</v>
      </c>
      <c r="N131" s="9" t="s">
        <v>1365</v>
      </c>
    </row>
    <row r="132" customFormat="false" ht="15" hidden="false" customHeight="false" outlineLevel="0" collapsed="false">
      <c r="A132" s="9" t="s">
        <v>1495</v>
      </c>
      <c r="B132" s="9" t="s">
        <v>186</v>
      </c>
      <c r="C132" s="9" t="str">
        <f aca="false">IFERROR(INDEX(Destination!$B$2:$B$501,MATCH(B132,Destination!$A$2:$A$501,0)),"")</f>
        <v>Valley of Flowers</v>
      </c>
      <c r="D132" s="9" t="s">
        <v>861</v>
      </c>
      <c r="E132" s="9" t="str">
        <f aca="false">IFERROR(INDEX(Destination!$B$2:$B$501,MATCH(D132,Destination!$A$2:$A$501,0)),"")</f>
        <v>Auli</v>
      </c>
      <c r="F132" s="9" t="s">
        <v>1364</v>
      </c>
      <c r="G132" s="12" t="n">
        <f aca="false">INDEX(Destination!$F$2:$F$501,MATCH(B132,Destination!$A$2:$A$501,0))</f>
        <v>30.73</v>
      </c>
      <c r="H132" s="12" t="n">
        <f aca="false">INDEX(Destination!$G$2:$G$501,MATCH(B132,Destination!$A$2:$A$501,0))</f>
        <v>79.6</v>
      </c>
      <c r="I132" s="12" t="n">
        <f aca="false">INDEX(Destination!$F$2:$F$501,MATCH(D132,Destination!$A$2:$A$501,0))</f>
        <v>30.53</v>
      </c>
      <c r="J132" s="12" t="n">
        <f aca="false">INDEX(Destination!$G$2:$G$501,MATCH(D132,Destination!$A$2:$A$501,0))</f>
        <v>79.57</v>
      </c>
      <c r="K132" s="17" t="n">
        <f aca="false">Assumptions!$B$2*2*ASIN(SQRT(SIN(RADIANS(I132-G132)/2)^2+COS(RADIANS(G132))*COS(RADIANS(I132))*SIN(RADIANS(J132-H132)/2)^2))</f>
        <v>22.4234638910773</v>
      </c>
      <c r="L132" s="18" t="n">
        <f aca="false">K132*Assumptions!$B$3</f>
        <v>29.1505030584005</v>
      </c>
      <c r="M132" s="19" t="n">
        <f aca="false">L132/Assumptions!$B$4</f>
        <v>0.647788956853344</v>
      </c>
      <c r="N132" s="9" t="s">
        <v>1365</v>
      </c>
    </row>
    <row r="133" customFormat="false" ht="15" hidden="false" customHeight="false" outlineLevel="0" collapsed="false">
      <c r="A133" s="9" t="s">
        <v>1496</v>
      </c>
      <c r="B133" s="9" t="s">
        <v>188</v>
      </c>
      <c r="C133" s="9" t="str">
        <f aca="false">IFERROR(INDEX(Destination!$B$2:$B$501,MATCH(B133,Destination!$A$2:$A$501,0)),"")</f>
        <v>Jodhpur</v>
      </c>
      <c r="D133" s="9" t="s">
        <v>192</v>
      </c>
      <c r="E133" s="9" t="str">
        <f aca="false">IFERROR(INDEX(Destination!$B$2:$B$501,MATCH(D133,Destination!$A$2:$A$501,0)),"")</f>
        <v>Jaisalmer</v>
      </c>
      <c r="F133" s="9" t="s">
        <v>1364</v>
      </c>
      <c r="G133" s="12" t="n">
        <f aca="false">INDEX(Destination!$F$2:$F$501,MATCH(B133,Destination!$A$2:$A$501,0))</f>
        <v>26.3</v>
      </c>
      <c r="H133" s="12" t="n">
        <f aca="false">INDEX(Destination!$G$2:$G$501,MATCH(B133,Destination!$A$2:$A$501,0))</f>
        <v>73.02</v>
      </c>
      <c r="I133" s="12" t="n">
        <f aca="false">INDEX(Destination!$F$2:$F$501,MATCH(D133,Destination!$A$2:$A$501,0))</f>
        <v>26.92</v>
      </c>
      <c r="J133" s="12" t="n">
        <f aca="false">INDEX(Destination!$G$2:$G$501,MATCH(D133,Destination!$A$2:$A$501,0))</f>
        <v>70.91</v>
      </c>
      <c r="K133" s="17" t="n">
        <f aca="false">Assumptions!$B$2*2*ASIN(SQRT(SIN(RADIANS(I133-G133)/2)^2+COS(RADIANS(G133))*COS(RADIANS(I133))*SIN(RADIANS(J133-H133)/2)^2))</f>
        <v>220.803633353433</v>
      </c>
      <c r="L133" s="18" t="n">
        <f aca="false">K133*Assumptions!$B$3</f>
        <v>287.044723359464</v>
      </c>
      <c r="M133" s="19" t="n">
        <f aca="false">L133/Assumptions!$B$4</f>
        <v>6.3787716302103</v>
      </c>
      <c r="N133" s="9" t="s">
        <v>1365</v>
      </c>
    </row>
    <row r="134" customFormat="false" ht="15" hidden="false" customHeight="false" outlineLevel="0" collapsed="false">
      <c r="A134" s="9" t="s">
        <v>1497</v>
      </c>
      <c r="B134" s="9" t="s">
        <v>188</v>
      </c>
      <c r="C134" s="9" t="str">
        <f aca="false">IFERROR(INDEX(Destination!$B$2:$B$501,MATCH(B134,Destination!$A$2:$A$501,0)),"")</f>
        <v>Jodhpur</v>
      </c>
      <c r="D134" s="9" t="s">
        <v>225</v>
      </c>
      <c r="E134" s="9" t="str">
        <f aca="false">IFERROR(INDEX(Destination!$B$2:$B$501,MATCH(D134,Destination!$A$2:$A$501,0)),"")</f>
        <v>Barmer</v>
      </c>
      <c r="F134" s="9" t="s">
        <v>1364</v>
      </c>
      <c r="G134" s="12" t="n">
        <f aca="false">INDEX(Destination!$F$2:$F$501,MATCH(B134,Destination!$A$2:$A$501,0))</f>
        <v>26.3</v>
      </c>
      <c r="H134" s="12" t="n">
        <f aca="false">INDEX(Destination!$G$2:$G$501,MATCH(B134,Destination!$A$2:$A$501,0))</f>
        <v>73.02</v>
      </c>
      <c r="I134" s="12" t="n">
        <f aca="false">INDEX(Destination!$F$2:$F$501,MATCH(D134,Destination!$A$2:$A$501,0))</f>
        <v>25.75</v>
      </c>
      <c r="J134" s="12" t="n">
        <f aca="false">INDEX(Destination!$G$2:$G$501,MATCH(D134,Destination!$A$2:$A$501,0))</f>
        <v>71.39</v>
      </c>
      <c r="K134" s="17" t="n">
        <f aca="false">Assumptions!$B$2*2*ASIN(SQRT(SIN(RADIANS(I134-G134)/2)^2+COS(RADIANS(G134))*COS(RADIANS(I134))*SIN(RADIANS(J134-H134)/2)^2))</f>
        <v>173.971402093131</v>
      </c>
      <c r="L134" s="18" t="n">
        <f aca="false">K134*Assumptions!$B$3</f>
        <v>226.16282272107</v>
      </c>
      <c r="M134" s="19" t="n">
        <f aca="false">L134/Assumptions!$B$4</f>
        <v>5.02584050491266</v>
      </c>
      <c r="N134" s="9" t="s">
        <v>1365</v>
      </c>
    </row>
    <row r="135" customFormat="false" ht="15" hidden="false" customHeight="false" outlineLevel="0" collapsed="false">
      <c r="A135" s="9" t="s">
        <v>1498</v>
      </c>
      <c r="B135" s="9" t="s">
        <v>188</v>
      </c>
      <c r="C135" s="9" t="str">
        <f aca="false">IFERROR(INDEX(Destination!$B$2:$B$501,MATCH(B135,Destination!$A$2:$A$501,0)),"")</f>
        <v>Jodhpur</v>
      </c>
      <c r="D135" s="9" t="s">
        <v>227</v>
      </c>
      <c r="E135" s="9" t="str">
        <f aca="false">IFERROR(INDEX(Destination!$B$2:$B$501,MATCH(D135,Destination!$A$2:$A$501,0)),"")</f>
        <v>Nagaur</v>
      </c>
      <c r="F135" s="9" t="s">
        <v>1364</v>
      </c>
      <c r="G135" s="12" t="n">
        <f aca="false">INDEX(Destination!$F$2:$F$501,MATCH(B135,Destination!$A$2:$A$501,0))</f>
        <v>26.3</v>
      </c>
      <c r="H135" s="12" t="n">
        <f aca="false">INDEX(Destination!$G$2:$G$501,MATCH(B135,Destination!$A$2:$A$501,0))</f>
        <v>73.02</v>
      </c>
      <c r="I135" s="12" t="n">
        <f aca="false">INDEX(Destination!$F$2:$F$501,MATCH(D135,Destination!$A$2:$A$501,0))</f>
        <v>27.2</v>
      </c>
      <c r="J135" s="12" t="n">
        <f aca="false">INDEX(Destination!$G$2:$G$501,MATCH(D135,Destination!$A$2:$A$501,0))</f>
        <v>73.73</v>
      </c>
      <c r="K135" s="17" t="n">
        <f aca="false">Assumptions!$B$2*2*ASIN(SQRT(SIN(RADIANS(I135-G135)/2)^2+COS(RADIANS(G135))*COS(RADIANS(I135))*SIN(RADIANS(J135-H135)/2)^2))</f>
        <v>122.413417344085</v>
      </c>
      <c r="L135" s="18" t="n">
        <f aca="false">K135*Assumptions!$B$3</f>
        <v>159.13744254731</v>
      </c>
      <c r="M135" s="19" t="n">
        <f aca="false">L135/Assumptions!$B$4</f>
        <v>3.53638761216244</v>
      </c>
      <c r="N135" s="9" t="s">
        <v>1365</v>
      </c>
    </row>
    <row r="136" customFormat="false" ht="15" hidden="false" customHeight="false" outlineLevel="0" collapsed="false">
      <c r="A136" s="9" t="s">
        <v>1499</v>
      </c>
      <c r="B136" s="9" t="s">
        <v>188</v>
      </c>
      <c r="C136" s="9" t="str">
        <f aca="false">IFERROR(INDEX(Destination!$B$2:$B$501,MATCH(B136,Destination!$A$2:$A$501,0)),"")</f>
        <v>Jodhpur</v>
      </c>
      <c r="D136" s="9" t="s">
        <v>231</v>
      </c>
      <c r="E136" s="9" t="str">
        <f aca="false">IFERROR(INDEX(Destination!$B$2:$B$501,MATCH(D136,Destination!$A$2:$A$501,0)),"")</f>
        <v>Ranakpur</v>
      </c>
      <c r="F136" s="9" t="s">
        <v>1364</v>
      </c>
      <c r="G136" s="12" t="n">
        <f aca="false">INDEX(Destination!$F$2:$F$501,MATCH(B136,Destination!$A$2:$A$501,0))</f>
        <v>26.3</v>
      </c>
      <c r="H136" s="12" t="n">
        <f aca="false">INDEX(Destination!$G$2:$G$501,MATCH(B136,Destination!$A$2:$A$501,0))</f>
        <v>73.02</v>
      </c>
      <c r="I136" s="12" t="n">
        <f aca="false">INDEX(Destination!$F$2:$F$501,MATCH(D136,Destination!$A$2:$A$501,0))</f>
        <v>25.12</v>
      </c>
      <c r="J136" s="12" t="n">
        <f aca="false">INDEX(Destination!$G$2:$G$501,MATCH(D136,Destination!$A$2:$A$501,0))</f>
        <v>73.47</v>
      </c>
      <c r="K136" s="17" t="n">
        <f aca="false">Assumptions!$B$2*2*ASIN(SQRT(SIN(RADIANS(I136-G136)/2)^2+COS(RADIANS(G136))*COS(RADIANS(I136))*SIN(RADIANS(J136-H136)/2)^2))</f>
        <v>138.739018769521</v>
      </c>
      <c r="L136" s="18" t="n">
        <f aca="false">K136*Assumptions!$B$3</f>
        <v>180.360724400377</v>
      </c>
      <c r="M136" s="19" t="n">
        <f aca="false">L136/Assumptions!$B$4</f>
        <v>4.00801609778616</v>
      </c>
      <c r="N136" s="9" t="s">
        <v>1365</v>
      </c>
    </row>
    <row r="137" customFormat="false" ht="15" hidden="false" customHeight="false" outlineLevel="0" collapsed="false">
      <c r="A137" s="9" t="s">
        <v>1500</v>
      </c>
      <c r="B137" s="9" t="s">
        <v>188</v>
      </c>
      <c r="C137" s="9" t="str">
        <f aca="false">IFERROR(INDEX(Destination!$B$2:$B$501,MATCH(B137,Destination!$A$2:$A$501,0)),"")</f>
        <v>Jodhpur</v>
      </c>
      <c r="D137" s="9" t="s">
        <v>237</v>
      </c>
      <c r="E137" s="9" t="str">
        <f aca="false">IFERROR(INDEX(Destination!$B$2:$B$501,MATCH(D137,Destination!$A$2:$A$501,0)),"")</f>
        <v>Osian</v>
      </c>
      <c r="F137" s="9" t="s">
        <v>1364</v>
      </c>
      <c r="G137" s="12" t="n">
        <f aca="false">INDEX(Destination!$F$2:$F$501,MATCH(B137,Destination!$A$2:$A$501,0))</f>
        <v>26.3</v>
      </c>
      <c r="H137" s="12" t="n">
        <f aca="false">INDEX(Destination!$G$2:$G$501,MATCH(B137,Destination!$A$2:$A$501,0))</f>
        <v>73.02</v>
      </c>
      <c r="I137" s="12" t="n">
        <f aca="false">INDEX(Destination!$F$2:$F$501,MATCH(D137,Destination!$A$2:$A$501,0))</f>
        <v>26.72</v>
      </c>
      <c r="J137" s="12" t="n">
        <f aca="false">INDEX(Destination!$G$2:$G$501,MATCH(D137,Destination!$A$2:$A$501,0))</f>
        <v>72.9</v>
      </c>
      <c r="K137" s="17" t="n">
        <f aca="false">Assumptions!$B$2*2*ASIN(SQRT(SIN(RADIANS(I137-G137)/2)^2+COS(RADIANS(G137))*COS(RADIANS(I137))*SIN(RADIANS(J137-H137)/2)^2))</f>
        <v>48.2041190105852</v>
      </c>
      <c r="L137" s="18" t="n">
        <f aca="false">K137*Assumptions!$B$3</f>
        <v>62.6653547137607</v>
      </c>
      <c r="M137" s="19" t="n">
        <f aca="false">L137/Assumptions!$B$4</f>
        <v>1.39256343808357</v>
      </c>
      <c r="N137" s="9" t="s">
        <v>1365</v>
      </c>
    </row>
    <row r="138" customFormat="false" ht="15" hidden="false" customHeight="false" outlineLevel="0" collapsed="false">
      <c r="A138" s="9" t="s">
        <v>1501</v>
      </c>
      <c r="B138" s="9" t="s">
        <v>190</v>
      </c>
      <c r="C138" s="9" t="str">
        <f aca="false">IFERROR(INDEX(Destination!$B$2:$B$501,MATCH(B138,Destination!$A$2:$A$501,0)),"")</f>
        <v>Udaipur</v>
      </c>
      <c r="D138" s="9" t="s">
        <v>200</v>
      </c>
      <c r="E138" s="9" t="str">
        <f aca="false">IFERROR(INDEX(Destination!$B$2:$B$501,MATCH(D138,Destination!$A$2:$A$501,0)),"")</f>
        <v>Mount Abu</v>
      </c>
      <c r="F138" s="9" t="s">
        <v>1364</v>
      </c>
      <c r="G138" s="12" t="n">
        <f aca="false">INDEX(Destination!$F$2:$F$501,MATCH(B138,Destination!$A$2:$A$501,0))</f>
        <v>24.58</v>
      </c>
      <c r="H138" s="12" t="n">
        <f aca="false">INDEX(Destination!$G$2:$G$501,MATCH(B138,Destination!$A$2:$A$501,0))</f>
        <v>73.68</v>
      </c>
      <c r="I138" s="12" t="n">
        <f aca="false">INDEX(Destination!$F$2:$F$501,MATCH(D138,Destination!$A$2:$A$501,0))</f>
        <v>24.59</v>
      </c>
      <c r="J138" s="12" t="n">
        <f aca="false">INDEX(Destination!$G$2:$G$501,MATCH(D138,Destination!$A$2:$A$501,0))</f>
        <v>72.71</v>
      </c>
      <c r="K138" s="17" t="n">
        <f aca="false">Assumptions!$B$2*2*ASIN(SQRT(SIN(RADIANS(I138-G138)/2)^2+COS(RADIANS(G138))*COS(RADIANS(I138))*SIN(RADIANS(J138-H138)/2)^2))</f>
        <v>98.0872204818395</v>
      </c>
      <c r="L138" s="18" t="n">
        <f aca="false">K138*Assumptions!$B$3</f>
        <v>127.513386626391</v>
      </c>
      <c r="M138" s="19" t="n">
        <f aca="false">L138/Assumptions!$B$4</f>
        <v>2.83363081391981</v>
      </c>
      <c r="N138" s="9" t="s">
        <v>1365</v>
      </c>
    </row>
    <row r="139" customFormat="false" ht="15" hidden="false" customHeight="false" outlineLevel="0" collapsed="false">
      <c r="A139" s="9" t="s">
        <v>1502</v>
      </c>
      <c r="B139" s="9" t="s">
        <v>190</v>
      </c>
      <c r="C139" s="9" t="str">
        <f aca="false">IFERROR(INDEX(Destination!$B$2:$B$501,MATCH(B139,Destination!$A$2:$A$501,0)),"")</f>
        <v>Udaipur</v>
      </c>
      <c r="D139" s="9" t="s">
        <v>202</v>
      </c>
      <c r="E139" s="9" t="str">
        <f aca="false">IFERROR(INDEX(Destination!$B$2:$B$501,MATCH(D139,Destination!$A$2:$A$501,0)),"")</f>
        <v>Chittorgarh</v>
      </c>
      <c r="F139" s="9" t="s">
        <v>1364</v>
      </c>
      <c r="G139" s="12" t="n">
        <f aca="false">INDEX(Destination!$F$2:$F$501,MATCH(B139,Destination!$A$2:$A$501,0))</f>
        <v>24.58</v>
      </c>
      <c r="H139" s="12" t="n">
        <f aca="false">INDEX(Destination!$G$2:$G$501,MATCH(B139,Destination!$A$2:$A$501,0))</f>
        <v>73.68</v>
      </c>
      <c r="I139" s="12" t="n">
        <f aca="false">INDEX(Destination!$F$2:$F$501,MATCH(D139,Destination!$A$2:$A$501,0))</f>
        <v>24.88</v>
      </c>
      <c r="J139" s="12" t="n">
        <f aca="false">INDEX(Destination!$G$2:$G$501,MATCH(D139,Destination!$A$2:$A$501,0))</f>
        <v>74.63</v>
      </c>
      <c r="K139" s="17" t="n">
        <f aca="false">Assumptions!$B$2*2*ASIN(SQRT(SIN(RADIANS(I139-G139)/2)^2+COS(RADIANS(G139))*COS(RADIANS(I139))*SIN(RADIANS(J139-H139)/2)^2))</f>
        <v>101.580514970289</v>
      </c>
      <c r="L139" s="18" t="n">
        <f aca="false">K139*Assumptions!$B$3</f>
        <v>132.054669461375</v>
      </c>
      <c r="M139" s="19" t="n">
        <f aca="false">L139/Assumptions!$B$4</f>
        <v>2.93454821025278</v>
      </c>
      <c r="N139" s="9" t="s">
        <v>1365</v>
      </c>
    </row>
    <row r="140" customFormat="false" ht="15" hidden="false" customHeight="false" outlineLevel="0" collapsed="false">
      <c r="A140" s="9" t="s">
        <v>1503</v>
      </c>
      <c r="B140" s="9" t="s">
        <v>190</v>
      </c>
      <c r="C140" s="9" t="str">
        <f aca="false">IFERROR(INDEX(Destination!$B$2:$B$501,MATCH(B140,Destination!$A$2:$A$501,0)),"")</f>
        <v>Udaipur</v>
      </c>
      <c r="D140" s="9" t="s">
        <v>229</v>
      </c>
      <c r="E140" s="9" t="str">
        <f aca="false">IFERROR(INDEX(Destination!$B$2:$B$501,MATCH(D140,Destination!$A$2:$A$501,0)),"")</f>
        <v>Kumbhalgarh</v>
      </c>
      <c r="F140" s="9" t="s">
        <v>1364</v>
      </c>
      <c r="G140" s="12" t="n">
        <f aca="false">INDEX(Destination!$F$2:$F$501,MATCH(B140,Destination!$A$2:$A$501,0))</f>
        <v>24.58</v>
      </c>
      <c r="H140" s="12" t="n">
        <f aca="false">INDEX(Destination!$G$2:$G$501,MATCH(B140,Destination!$A$2:$A$501,0))</f>
        <v>73.68</v>
      </c>
      <c r="I140" s="12" t="n">
        <f aca="false">INDEX(Destination!$F$2:$F$501,MATCH(D140,Destination!$A$2:$A$501,0))</f>
        <v>25.15</v>
      </c>
      <c r="J140" s="12" t="n">
        <f aca="false">INDEX(Destination!$G$2:$G$501,MATCH(D140,Destination!$A$2:$A$501,0))</f>
        <v>73.58</v>
      </c>
      <c r="K140" s="17" t="n">
        <f aca="false">Assumptions!$B$2*2*ASIN(SQRT(SIN(RADIANS(I140-G140)/2)^2+COS(RADIANS(G140))*COS(RADIANS(I140))*SIN(RADIANS(J140-H140)/2)^2))</f>
        <v>64.1790145461397</v>
      </c>
      <c r="L140" s="18" t="n">
        <f aca="false">K140*Assumptions!$B$3</f>
        <v>83.4327189099817</v>
      </c>
      <c r="M140" s="19" t="n">
        <f aca="false">L140/Assumptions!$B$4</f>
        <v>1.85406042022181</v>
      </c>
      <c r="N140" s="9" t="s">
        <v>1365</v>
      </c>
    </row>
    <row r="141" customFormat="false" ht="15" hidden="false" customHeight="false" outlineLevel="0" collapsed="false">
      <c r="A141" s="9" t="s">
        <v>1504</v>
      </c>
      <c r="B141" s="9" t="s">
        <v>190</v>
      </c>
      <c r="C141" s="9" t="str">
        <f aca="false">IFERROR(INDEX(Destination!$B$2:$B$501,MATCH(B141,Destination!$A$2:$A$501,0)),"")</f>
        <v>Udaipur</v>
      </c>
      <c r="D141" s="9" t="s">
        <v>231</v>
      </c>
      <c r="E141" s="9" t="str">
        <f aca="false">IFERROR(INDEX(Destination!$B$2:$B$501,MATCH(D141,Destination!$A$2:$A$501,0)),"")</f>
        <v>Ranakpur</v>
      </c>
      <c r="F141" s="9" t="s">
        <v>1364</v>
      </c>
      <c r="G141" s="12" t="n">
        <f aca="false">INDEX(Destination!$F$2:$F$501,MATCH(B141,Destination!$A$2:$A$501,0))</f>
        <v>24.58</v>
      </c>
      <c r="H141" s="12" t="n">
        <f aca="false">INDEX(Destination!$G$2:$G$501,MATCH(B141,Destination!$A$2:$A$501,0))</f>
        <v>73.68</v>
      </c>
      <c r="I141" s="12" t="n">
        <f aca="false">INDEX(Destination!$F$2:$F$501,MATCH(D141,Destination!$A$2:$A$501,0))</f>
        <v>25.12</v>
      </c>
      <c r="J141" s="12" t="n">
        <f aca="false">INDEX(Destination!$G$2:$G$501,MATCH(D141,Destination!$A$2:$A$501,0))</f>
        <v>73.47</v>
      </c>
      <c r="K141" s="17" t="n">
        <f aca="false">Assumptions!$B$2*2*ASIN(SQRT(SIN(RADIANS(I141-G141)/2)^2+COS(RADIANS(G141))*COS(RADIANS(I141))*SIN(RADIANS(J141-H141)/2)^2))</f>
        <v>63.6741478393121</v>
      </c>
      <c r="L141" s="18" t="n">
        <f aca="false">K141*Assumptions!$B$3</f>
        <v>82.7763921911058</v>
      </c>
      <c r="M141" s="19" t="n">
        <f aca="false">L141/Assumptions!$B$4</f>
        <v>1.83947538202457</v>
      </c>
      <c r="N141" s="9" t="s">
        <v>1365</v>
      </c>
    </row>
    <row r="142" customFormat="false" ht="15" hidden="false" customHeight="false" outlineLevel="0" collapsed="false">
      <c r="A142" s="9" t="s">
        <v>1505</v>
      </c>
      <c r="B142" s="9" t="s">
        <v>190</v>
      </c>
      <c r="C142" s="9" t="str">
        <f aca="false">IFERROR(INDEX(Destination!$B$2:$B$501,MATCH(B142,Destination!$A$2:$A$501,0)),"")</f>
        <v>Udaipur</v>
      </c>
      <c r="D142" s="9" t="s">
        <v>233</v>
      </c>
      <c r="E142" s="9" t="str">
        <f aca="false">IFERROR(INDEX(Destination!$B$2:$B$501,MATCH(D142,Destination!$A$2:$A$501,0)),"")</f>
        <v>Nathdwara</v>
      </c>
      <c r="F142" s="9" t="s">
        <v>1364</v>
      </c>
      <c r="G142" s="12" t="n">
        <f aca="false">INDEX(Destination!$F$2:$F$501,MATCH(B142,Destination!$A$2:$A$501,0))</f>
        <v>24.58</v>
      </c>
      <c r="H142" s="12" t="n">
        <f aca="false">INDEX(Destination!$G$2:$G$501,MATCH(B142,Destination!$A$2:$A$501,0))</f>
        <v>73.68</v>
      </c>
      <c r="I142" s="12" t="n">
        <f aca="false">INDEX(Destination!$F$2:$F$501,MATCH(D142,Destination!$A$2:$A$501,0))</f>
        <v>24.94</v>
      </c>
      <c r="J142" s="12" t="n">
        <f aca="false">INDEX(Destination!$G$2:$G$501,MATCH(D142,Destination!$A$2:$A$501,0))</f>
        <v>73.82</v>
      </c>
      <c r="K142" s="17" t="n">
        <f aca="false">Assumptions!$B$2*2*ASIN(SQRT(SIN(RADIANS(I142-G142)/2)^2+COS(RADIANS(G142))*COS(RADIANS(I142))*SIN(RADIANS(J142-H142)/2)^2))</f>
        <v>42.4528629944598</v>
      </c>
      <c r="L142" s="18" t="n">
        <f aca="false">K142*Assumptions!$B$3</f>
        <v>55.1887218927978</v>
      </c>
      <c r="M142" s="19" t="n">
        <f aca="false">L142/Assumptions!$B$4</f>
        <v>1.22641604206217</v>
      </c>
      <c r="N142" s="9" t="s">
        <v>1365</v>
      </c>
    </row>
    <row r="143" customFormat="false" ht="15" hidden="false" customHeight="false" outlineLevel="0" collapsed="false">
      <c r="A143" s="9" t="s">
        <v>1506</v>
      </c>
      <c r="B143" s="9" t="s">
        <v>190</v>
      </c>
      <c r="C143" s="9" t="str">
        <f aca="false">IFERROR(INDEX(Destination!$B$2:$B$501,MATCH(B143,Destination!$A$2:$A$501,0)),"")</f>
        <v>Udaipur</v>
      </c>
      <c r="D143" s="9" t="s">
        <v>245</v>
      </c>
      <c r="E143" s="9" t="str">
        <f aca="false">IFERROR(INDEX(Destination!$B$2:$B$501,MATCH(D143,Destination!$A$2:$A$501,0)),"")</f>
        <v>Banswara</v>
      </c>
      <c r="F143" s="9" t="s">
        <v>1364</v>
      </c>
      <c r="G143" s="12" t="n">
        <f aca="false">INDEX(Destination!$F$2:$F$501,MATCH(B143,Destination!$A$2:$A$501,0))</f>
        <v>24.58</v>
      </c>
      <c r="H143" s="12" t="n">
        <f aca="false">INDEX(Destination!$G$2:$G$501,MATCH(B143,Destination!$A$2:$A$501,0))</f>
        <v>73.68</v>
      </c>
      <c r="I143" s="12" t="n">
        <f aca="false">INDEX(Destination!$F$2:$F$501,MATCH(D143,Destination!$A$2:$A$501,0))</f>
        <v>23.55</v>
      </c>
      <c r="J143" s="12" t="n">
        <f aca="false">INDEX(Destination!$G$2:$G$501,MATCH(D143,Destination!$A$2:$A$501,0))</f>
        <v>74.44</v>
      </c>
      <c r="K143" s="17" t="n">
        <f aca="false">Assumptions!$B$2*2*ASIN(SQRT(SIN(RADIANS(I143-G143)/2)^2+COS(RADIANS(G143))*COS(RADIANS(I143))*SIN(RADIANS(J143-H143)/2)^2))</f>
        <v>138.098349300603</v>
      </c>
      <c r="L143" s="18" t="n">
        <f aca="false">K143*Assumptions!$B$3</f>
        <v>179.527854090784</v>
      </c>
      <c r="M143" s="19" t="n">
        <f aca="false">L143/Assumptions!$B$4</f>
        <v>3.98950786868409</v>
      </c>
      <c r="N143" s="9" t="s">
        <v>1365</v>
      </c>
    </row>
    <row r="144" customFormat="false" ht="15" hidden="false" customHeight="false" outlineLevel="0" collapsed="false">
      <c r="A144" s="9" t="s">
        <v>1507</v>
      </c>
      <c r="B144" s="9" t="s">
        <v>192</v>
      </c>
      <c r="C144" s="9" t="str">
        <f aca="false">IFERROR(INDEX(Destination!$B$2:$B$501,MATCH(B144,Destination!$A$2:$A$501,0)),"")</f>
        <v>Jaisalmer</v>
      </c>
      <c r="D144" s="9" t="s">
        <v>225</v>
      </c>
      <c r="E144" s="9" t="str">
        <f aca="false">IFERROR(INDEX(Destination!$B$2:$B$501,MATCH(D144,Destination!$A$2:$A$501,0)),"")</f>
        <v>Barmer</v>
      </c>
      <c r="F144" s="9" t="s">
        <v>1364</v>
      </c>
      <c r="G144" s="12" t="n">
        <f aca="false">INDEX(Destination!$F$2:$F$501,MATCH(B144,Destination!$A$2:$A$501,0))</f>
        <v>26.92</v>
      </c>
      <c r="H144" s="12" t="n">
        <f aca="false">INDEX(Destination!$G$2:$G$501,MATCH(B144,Destination!$A$2:$A$501,0))</f>
        <v>70.91</v>
      </c>
      <c r="I144" s="12" t="n">
        <f aca="false">INDEX(Destination!$F$2:$F$501,MATCH(D144,Destination!$A$2:$A$501,0))</f>
        <v>25.75</v>
      </c>
      <c r="J144" s="12" t="n">
        <f aca="false">INDEX(Destination!$G$2:$G$501,MATCH(D144,Destination!$A$2:$A$501,0))</f>
        <v>71.39</v>
      </c>
      <c r="K144" s="17" t="n">
        <f aca="false">Assumptions!$B$2*2*ASIN(SQRT(SIN(RADIANS(I144-G144)/2)^2+COS(RADIANS(G144))*COS(RADIANS(I144))*SIN(RADIANS(J144-H144)/2)^2))</f>
        <v>138.612692348259</v>
      </c>
      <c r="L144" s="18" t="n">
        <f aca="false">K144*Assumptions!$B$3</f>
        <v>180.196500052737</v>
      </c>
      <c r="M144" s="19" t="n">
        <f aca="false">L144/Assumptions!$B$4</f>
        <v>4.0043666678386</v>
      </c>
      <c r="N144" s="9" t="s">
        <v>1365</v>
      </c>
    </row>
    <row r="145" customFormat="false" ht="15" hidden="false" customHeight="false" outlineLevel="0" collapsed="false">
      <c r="A145" s="9" t="s">
        <v>1508</v>
      </c>
      <c r="B145" s="9" t="s">
        <v>192</v>
      </c>
      <c r="C145" s="9" t="str">
        <f aca="false">IFERROR(INDEX(Destination!$B$2:$B$501,MATCH(B145,Destination!$A$2:$A$501,0)),"")</f>
        <v>Jaisalmer</v>
      </c>
      <c r="D145" s="9" t="s">
        <v>237</v>
      </c>
      <c r="E145" s="9" t="str">
        <f aca="false">IFERROR(INDEX(Destination!$B$2:$B$501,MATCH(D145,Destination!$A$2:$A$501,0)),"")</f>
        <v>Osian</v>
      </c>
      <c r="F145" s="9" t="s">
        <v>1364</v>
      </c>
      <c r="G145" s="12" t="n">
        <f aca="false">INDEX(Destination!$F$2:$F$501,MATCH(B145,Destination!$A$2:$A$501,0))</f>
        <v>26.92</v>
      </c>
      <c r="H145" s="12" t="n">
        <f aca="false">INDEX(Destination!$G$2:$G$501,MATCH(B145,Destination!$A$2:$A$501,0))</f>
        <v>70.91</v>
      </c>
      <c r="I145" s="12" t="n">
        <f aca="false">INDEX(Destination!$F$2:$F$501,MATCH(D145,Destination!$A$2:$A$501,0))</f>
        <v>26.72</v>
      </c>
      <c r="J145" s="12" t="n">
        <f aca="false">INDEX(Destination!$G$2:$G$501,MATCH(D145,Destination!$A$2:$A$501,0))</f>
        <v>72.9</v>
      </c>
      <c r="K145" s="17" t="n">
        <f aca="false">Assumptions!$B$2*2*ASIN(SQRT(SIN(RADIANS(I145-G145)/2)^2+COS(RADIANS(G145))*COS(RADIANS(I145))*SIN(RADIANS(J145-H145)/2)^2))</f>
        <v>198.7207941883</v>
      </c>
      <c r="L145" s="18" t="n">
        <f aca="false">K145*Assumptions!$B$3</f>
        <v>258.33703244479</v>
      </c>
      <c r="M145" s="19" t="n">
        <f aca="false">L145/Assumptions!$B$4</f>
        <v>5.74082294321755</v>
      </c>
      <c r="N145" s="9" t="s">
        <v>1365</v>
      </c>
    </row>
    <row r="146" customFormat="false" ht="15" hidden="false" customHeight="false" outlineLevel="0" collapsed="false">
      <c r="A146" s="9" t="s">
        <v>1509</v>
      </c>
      <c r="B146" s="9" t="s">
        <v>194</v>
      </c>
      <c r="C146" s="9" t="str">
        <f aca="false">IFERROR(INDEX(Destination!$B$2:$B$501,MATCH(B146,Destination!$A$2:$A$501,0)),"")</f>
        <v>Pushkar</v>
      </c>
      <c r="D146" s="9" t="s">
        <v>196</v>
      </c>
      <c r="E146" s="9" t="str">
        <f aca="false">IFERROR(INDEX(Destination!$B$2:$B$501,MATCH(D146,Destination!$A$2:$A$501,0)),"")</f>
        <v>Ajmer</v>
      </c>
      <c r="F146" s="9" t="s">
        <v>1364</v>
      </c>
      <c r="G146" s="12" t="n">
        <f aca="false">INDEX(Destination!$F$2:$F$501,MATCH(B146,Destination!$A$2:$A$501,0))</f>
        <v>26.49</v>
      </c>
      <c r="H146" s="12" t="n">
        <f aca="false">INDEX(Destination!$G$2:$G$501,MATCH(B146,Destination!$A$2:$A$501,0))</f>
        <v>74.55</v>
      </c>
      <c r="I146" s="12" t="n">
        <f aca="false">INDEX(Destination!$F$2:$F$501,MATCH(D146,Destination!$A$2:$A$501,0))</f>
        <v>26.45</v>
      </c>
      <c r="J146" s="12" t="n">
        <f aca="false">INDEX(Destination!$G$2:$G$501,MATCH(D146,Destination!$A$2:$A$501,0))</f>
        <v>74.64</v>
      </c>
      <c r="K146" s="17" t="n">
        <f aca="false">Assumptions!$B$2*2*ASIN(SQRT(SIN(RADIANS(I146-G146)/2)^2+COS(RADIANS(G146))*COS(RADIANS(I146))*SIN(RADIANS(J146-H146)/2)^2))</f>
        <v>10.0018188759537</v>
      </c>
      <c r="L146" s="18" t="n">
        <f aca="false">K146*Assumptions!$B$3</f>
        <v>13.0023645387398</v>
      </c>
      <c r="M146" s="19" t="n">
        <f aca="false">L146/Assumptions!$B$4</f>
        <v>0.288941434194219</v>
      </c>
      <c r="N146" s="9" t="s">
        <v>1365</v>
      </c>
    </row>
    <row r="147" customFormat="false" ht="15" hidden="false" customHeight="false" outlineLevel="0" collapsed="false">
      <c r="A147" s="9" t="s">
        <v>1510</v>
      </c>
      <c r="B147" s="9" t="s">
        <v>194</v>
      </c>
      <c r="C147" s="9" t="str">
        <f aca="false">IFERROR(INDEX(Destination!$B$2:$B$501,MATCH(B147,Destination!$A$2:$A$501,0)),"")</f>
        <v>Pushkar</v>
      </c>
      <c r="D147" s="9" t="s">
        <v>227</v>
      </c>
      <c r="E147" s="9" t="str">
        <f aca="false">IFERROR(INDEX(Destination!$B$2:$B$501,MATCH(D147,Destination!$A$2:$A$501,0)),"")</f>
        <v>Nagaur</v>
      </c>
      <c r="F147" s="9" t="s">
        <v>1364</v>
      </c>
      <c r="G147" s="12" t="n">
        <f aca="false">INDEX(Destination!$F$2:$F$501,MATCH(B147,Destination!$A$2:$A$501,0))</f>
        <v>26.49</v>
      </c>
      <c r="H147" s="12" t="n">
        <f aca="false">INDEX(Destination!$G$2:$G$501,MATCH(B147,Destination!$A$2:$A$501,0))</f>
        <v>74.55</v>
      </c>
      <c r="I147" s="12" t="n">
        <f aca="false">INDEX(Destination!$F$2:$F$501,MATCH(D147,Destination!$A$2:$A$501,0))</f>
        <v>27.2</v>
      </c>
      <c r="J147" s="12" t="n">
        <f aca="false">INDEX(Destination!$G$2:$G$501,MATCH(D147,Destination!$A$2:$A$501,0))</f>
        <v>73.73</v>
      </c>
      <c r="K147" s="17" t="n">
        <f aca="false">Assumptions!$B$2*2*ASIN(SQRT(SIN(RADIANS(I147-G147)/2)^2+COS(RADIANS(G147))*COS(RADIANS(I147))*SIN(RADIANS(J147-H147)/2)^2))</f>
        <v>113.362567359295</v>
      </c>
      <c r="L147" s="18" t="n">
        <f aca="false">K147*Assumptions!$B$3</f>
        <v>147.371337567084</v>
      </c>
      <c r="M147" s="19" t="n">
        <f aca="false">L147/Assumptions!$B$4</f>
        <v>3.27491861260186</v>
      </c>
      <c r="N147" s="9" t="s">
        <v>1365</v>
      </c>
    </row>
    <row r="148" customFormat="false" ht="15" hidden="false" customHeight="false" outlineLevel="0" collapsed="false">
      <c r="A148" s="9" t="s">
        <v>1511</v>
      </c>
      <c r="B148" s="9" t="s">
        <v>194</v>
      </c>
      <c r="C148" s="9" t="str">
        <f aca="false">IFERROR(INDEX(Destination!$B$2:$B$501,MATCH(B148,Destination!$A$2:$A$501,0)),"")</f>
        <v>Pushkar</v>
      </c>
      <c r="D148" s="9" t="s">
        <v>243</v>
      </c>
      <c r="E148" s="9" t="str">
        <f aca="false">IFERROR(INDEX(Destination!$B$2:$B$501,MATCH(D148,Destination!$A$2:$A$501,0)),"")</f>
        <v>Tonk</v>
      </c>
      <c r="F148" s="9" t="s">
        <v>1364</v>
      </c>
      <c r="G148" s="12" t="n">
        <f aca="false">INDEX(Destination!$F$2:$F$501,MATCH(B148,Destination!$A$2:$A$501,0))</f>
        <v>26.49</v>
      </c>
      <c r="H148" s="12" t="n">
        <f aca="false">INDEX(Destination!$G$2:$G$501,MATCH(B148,Destination!$A$2:$A$501,0))</f>
        <v>74.55</v>
      </c>
      <c r="I148" s="12" t="n">
        <f aca="false">INDEX(Destination!$F$2:$F$501,MATCH(D148,Destination!$A$2:$A$501,0))</f>
        <v>26.17</v>
      </c>
      <c r="J148" s="12" t="n">
        <f aca="false">INDEX(Destination!$G$2:$G$501,MATCH(D148,Destination!$A$2:$A$501,0))</f>
        <v>75.79</v>
      </c>
      <c r="K148" s="17" t="n">
        <f aca="false">Assumptions!$B$2*2*ASIN(SQRT(SIN(RADIANS(I148-G148)/2)^2+COS(RADIANS(G148))*COS(RADIANS(I148))*SIN(RADIANS(J148-H148)/2)^2))</f>
        <v>128.597096799462</v>
      </c>
      <c r="L148" s="18" t="n">
        <f aca="false">K148*Assumptions!$B$3</f>
        <v>167.176225839301</v>
      </c>
      <c r="M148" s="19" t="n">
        <f aca="false">L148/Assumptions!$B$4</f>
        <v>3.71502724087335</v>
      </c>
      <c r="N148" s="9" t="s">
        <v>1365</v>
      </c>
    </row>
    <row r="149" customFormat="false" ht="15" hidden="false" customHeight="false" outlineLevel="0" collapsed="false">
      <c r="A149" s="9" t="s">
        <v>1512</v>
      </c>
      <c r="B149" s="9" t="s">
        <v>196</v>
      </c>
      <c r="C149" s="9" t="str">
        <f aca="false">IFERROR(INDEX(Destination!$B$2:$B$501,MATCH(B149,Destination!$A$2:$A$501,0)),"")</f>
        <v>Ajmer</v>
      </c>
      <c r="D149" s="9" t="s">
        <v>227</v>
      </c>
      <c r="E149" s="9" t="str">
        <f aca="false">IFERROR(INDEX(Destination!$B$2:$B$501,MATCH(D149,Destination!$A$2:$A$501,0)),"")</f>
        <v>Nagaur</v>
      </c>
      <c r="F149" s="9" t="s">
        <v>1364</v>
      </c>
      <c r="G149" s="12" t="n">
        <f aca="false">INDEX(Destination!$F$2:$F$501,MATCH(B149,Destination!$A$2:$A$501,0))</f>
        <v>26.45</v>
      </c>
      <c r="H149" s="12" t="n">
        <f aca="false">INDEX(Destination!$G$2:$G$501,MATCH(B149,Destination!$A$2:$A$501,0))</f>
        <v>74.64</v>
      </c>
      <c r="I149" s="12" t="n">
        <f aca="false">INDEX(Destination!$F$2:$F$501,MATCH(D149,Destination!$A$2:$A$501,0))</f>
        <v>27.2</v>
      </c>
      <c r="J149" s="12" t="n">
        <f aca="false">INDEX(Destination!$G$2:$G$501,MATCH(D149,Destination!$A$2:$A$501,0))</f>
        <v>73.73</v>
      </c>
      <c r="K149" s="17" t="n">
        <f aca="false">Assumptions!$B$2*2*ASIN(SQRT(SIN(RADIANS(I149-G149)/2)^2+COS(RADIANS(G149))*COS(RADIANS(I149))*SIN(RADIANS(J149-H149)/2)^2))</f>
        <v>122.916659590502</v>
      </c>
      <c r="L149" s="18" t="n">
        <f aca="false">K149*Assumptions!$B$3</f>
        <v>159.791657467652</v>
      </c>
      <c r="M149" s="19" t="n">
        <f aca="false">L149/Assumptions!$B$4</f>
        <v>3.55092572150339</v>
      </c>
      <c r="N149" s="9" t="s">
        <v>1365</v>
      </c>
    </row>
    <row r="150" customFormat="false" ht="15" hidden="false" customHeight="false" outlineLevel="0" collapsed="false">
      <c r="A150" s="9" t="s">
        <v>1513</v>
      </c>
      <c r="B150" s="9" t="s">
        <v>196</v>
      </c>
      <c r="C150" s="9" t="str">
        <f aca="false">IFERROR(INDEX(Destination!$B$2:$B$501,MATCH(B150,Destination!$A$2:$A$501,0)),"")</f>
        <v>Ajmer</v>
      </c>
      <c r="D150" s="9" t="s">
        <v>243</v>
      </c>
      <c r="E150" s="9" t="str">
        <f aca="false">IFERROR(INDEX(Destination!$B$2:$B$501,MATCH(D150,Destination!$A$2:$A$501,0)),"")</f>
        <v>Tonk</v>
      </c>
      <c r="F150" s="9" t="s">
        <v>1364</v>
      </c>
      <c r="G150" s="12" t="n">
        <f aca="false">INDEX(Destination!$F$2:$F$501,MATCH(B150,Destination!$A$2:$A$501,0))</f>
        <v>26.45</v>
      </c>
      <c r="H150" s="12" t="n">
        <f aca="false">INDEX(Destination!$G$2:$G$501,MATCH(B150,Destination!$A$2:$A$501,0))</f>
        <v>74.64</v>
      </c>
      <c r="I150" s="12" t="n">
        <f aca="false">INDEX(Destination!$F$2:$F$501,MATCH(D150,Destination!$A$2:$A$501,0))</f>
        <v>26.17</v>
      </c>
      <c r="J150" s="12" t="n">
        <f aca="false">INDEX(Destination!$G$2:$G$501,MATCH(D150,Destination!$A$2:$A$501,0))</f>
        <v>75.79</v>
      </c>
      <c r="K150" s="17" t="n">
        <f aca="false">Assumptions!$B$2*2*ASIN(SQRT(SIN(RADIANS(I150-G150)/2)^2+COS(RADIANS(G150))*COS(RADIANS(I150))*SIN(RADIANS(J150-H150)/2)^2))</f>
        <v>118.780084493434</v>
      </c>
      <c r="L150" s="18" t="n">
        <f aca="false">K150*Assumptions!$B$3</f>
        <v>154.414109841464</v>
      </c>
      <c r="M150" s="19" t="n">
        <f aca="false">L150/Assumptions!$B$4</f>
        <v>3.43142466314364</v>
      </c>
      <c r="N150" s="9" t="s">
        <v>1365</v>
      </c>
    </row>
    <row r="151" customFormat="false" ht="15" hidden="false" customHeight="false" outlineLevel="0" collapsed="false">
      <c r="A151" s="9" t="s">
        <v>1514</v>
      </c>
      <c r="B151" s="9" t="s">
        <v>198</v>
      </c>
      <c r="C151" s="9" t="str">
        <f aca="false">IFERROR(INDEX(Destination!$B$2:$B$501,MATCH(B151,Destination!$A$2:$A$501,0)),"")</f>
        <v>Bikaner</v>
      </c>
      <c r="D151" s="9" t="s">
        <v>221</v>
      </c>
      <c r="E151" s="9" t="str">
        <f aca="false">IFERROR(INDEX(Destination!$B$2:$B$501,MATCH(D151,Destination!$A$2:$A$501,0)),"")</f>
        <v>Mandawa</v>
      </c>
      <c r="F151" s="9" t="s">
        <v>1364</v>
      </c>
      <c r="G151" s="12" t="n">
        <f aca="false">INDEX(Destination!$F$2:$F$501,MATCH(B151,Destination!$A$2:$A$501,0))</f>
        <v>28.02</v>
      </c>
      <c r="H151" s="12" t="n">
        <f aca="false">INDEX(Destination!$G$2:$G$501,MATCH(B151,Destination!$A$2:$A$501,0))</f>
        <v>73.31</v>
      </c>
      <c r="I151" s="12" t="n">
        <f aca="false">INDEX(Destination!$F$2:$F$501,MATCH(D151,Destination!$A$2:$A$501,0))</f>
        <v>28.06</v>
      </c>
      <c r="J151" s="12" t="n">
        <f aca="false">INDEX(Destination!$G$2:$G$501,MATCH(D151,Destination!$A$2:$A$501,0))</f>
        <v>75.15</v>
      </c>
      <c r="K151" s="17" t="n">
        <f aca="false">Assumptions!$B$2*2*ASIN(SQRT(SIN(RADIANS(I151-G151)/2)^2+COS(RADIANS(G151))*COS(RADIANS(I151))*SIN(RADIANS(J151-H151)/2)^2))</f>
        <v>180.63584258997</v>
      </c>
      <c r="L151" s="18" t="n">
        <f aca="false">K151*Assumptions!$B$3</f>
        <v>234.826595366961</v>
      </c>
      <c r="M151" s="19" t="n">
        <f aca="false">L151/Assumptions!$B$4</f>
        <v>5.21836878593247</v>
      </c>
      <c r="N151" s="9" t="s">
        <v>1365</v>
      </c>
    </row>
    <row r="152" customFormat="false" ht="15" hidden="false" customHeight="false" outlineLevel="0" collapsed="false">
      <c r="A152" s="9" t="s">
        <v>1515</v>
      </c>
      <c r="B152" s="9" t="s">
        <v>198</v>
      </c>
      <c r="C152" s="9" t="str">
        <f aca="false">IFERROR(INDEX(Destination!$B$2:$B$501,MATCH(B152,Destination!$A$2:$A$501,0)),"")</f>
        <v>Bikaner</v>
      </c>
      <c r="D152" s="9" t="s">
        <v>227</v>
      </c>
      <c r="E152" s="9" t="str">
        <f aca="false">IFERROR(INDEX(Destination!$B$2:$B$501,MATCH(D152,Destination!$A$2:$A$501,0)),"")</f>
        <v>Nagaur</v>
      </c>
      <c r="F152" s="9" t="s">
        <v>1364</v>
      </c>
      <c r="G152" s="12" t="n">
        <f aca="false">INDEX(Destination!$F$2:$F$501,MATCH(B152,Destination!$A$2:$A$501,0))</f>
        <v>28.02</v>
      </c>
      <c r="H152" s="12" t="n">
        <f aca="false">INDEX(Destination!$G$2:$G$501,MATCH(B152,Destination!$A$2:$A$501,0))</f>
        <v>73.31</v>
      </c>
      <c r="I152" s="12" t="n">
        <f aca="false">INDEX(Destination!$F$2:$F$501,MATCH(D152,Destination!$A$2:$A$501,0))</f>
        <v>27.2</v>
      </c>
      <c r="J152" s="12" t="n">
        <f aca="false">INDEX(Destination!$G$2:$G$501,MATCH(D152,Destination!$A$2:$A$501,0))</f>
        <v>73.73</v>
      </c>
      <c r="K152" s="17" t="n">
        <f aca="false">Assumptions!$B$2*2*ASIN(SQRT(SIN(RADIANS(I152-G152)/2)^2+COS(RADIANS(G152))*COS(RADIANS(I152))*SIN(RADIANS(J152-H152)/2)^2))</f>
        <v>100.131461452794</v>
      </c>
      <c r="L152" s="18" t="n">
        <f aca="false">K152*Assumptions!$B$3</f>
        <v>130.170899888632</v>
      </c>
      <c r="M152" s="19" t="n">
        <f aca="false">L152/Assumptions!$B$4</f>
        <v>2.89268666419183</v>
      </c>
      <c r="N152" s="9" t="s">
        <v>1365</v>
      </c>
    </row>
    <row r="153" customFormat="false" ht="15" hidden="false" customHeight="false" outlineLevel="0" collapsed="false">
      <c r="A153" s="9" t="s">
        <v>1516</v>
      </c>
      <c r="B153" s="9" t="s">
        <v>198</v>
      </c>
      <c r="C153" s="9" t="str">
        <f aca="false">IFERROR(INDEX(Destination!$B$2:$B$501,MATCH(B153,Destination!$A$2:$A$501,0)),"")</f>
        <v>Bikaner</v>
      </c>
      <c r="D153" s="9" t="s">
        <v>237</v>
      </c>
      <c r="E153" s="9" t="str">
        <f aca="false">IFERROR(INDEX(Destination!$B$2:$B$501,MATCH(D153,Destination!$A$2:$A$501,0)),"")</f>
        <v>Osian</v>
      </c>
      <c r="F153" s="9" t="s">
        <v>1364</v>
      </c>
      <c r="G153" s="12" t="n">
        <f aca="false">INDEX(Destination!$F$2:$F$501,MATCH(B153,Destination!$A$2:$A$501,0))</f>
        <v>28.02</v>
      </c>
      <c r="H153" s="12" t="n">
        <f aca="false">INDEX(Destination!$G$2:$G$501,MATCH(B153,Destination!$A$2:$A$501,0))</f>
        <v>73.31</v>
      </c>
      <c r="I153" s="12" t="n">
        <f aca="false">INDEX(Destination!$F$2:$F$501,MATCH(D153,Destination!$A$2:$A$501,0))</f>
        <v>26.72</v>
      </c>
      <c r="J153" s="12" t="n">
        <f aca="false">INDEX(Destination!$G$2:$G$501,MATCH(D153,Destination!$A$2:$A$501,0))</f>
        <v>72.9</v>
      </c>
      <c r="K153" s="17" t="n">
        <f aca="false">Assumptions!$B$2*2*ASIN(SQRT(SIN(RADIANS(I153-G153)/2)^2+COS(RADIANS(G153))*COS(RADIANS(I153))*SIN(RADIANS(J153-H153)/2)^2))</f>
        <v>150.115648817224</v>
      </c>
      <c r="L153" s="18" t="n">
        <f aca="false">K153*Assumptions!$B$3</f>
        <v>195.150343462391</v>
      </c>
      <c r="M153" s="19" t="n">
        <f aca="false">L153/Assumptions!$B$4</f>
        <v>4.33667429916426</v>
      </c>
      <c r="N153" s="9" t="s">
        <v>1365</v>
      </c>
    </row>
    <row r="154" customFormat="false" ht="15" hidden="false" customHeight="false" outlineLevel="0" collapsed="false">
      <c r="A154" s="9" t="s">
        <v>1517</v>
      </c>
      <c r="B154" s="9" t="s">
        <v>200</v>
      </c>
      <c r="C154" s="9" t="str">
        <f aca="false">IFERROR(INDEX(Destination!$B$2:$B$501,MATCH(B154,Destination!$A$2:$A$501,0)),"")</f>
        <v>Mount Abu</v>
      </c>
      <c r="D154" s="9" t="s">
        <v>225</v>
      </c>
      <c r="E154" s="9" t="str">
        <f aca="false">IFERROR(INDEX(Destination!$B$2:$B$501,MATCH(D154,Destination!$A$2:$A$501,0)),"")</f>
        <v>Barmer</v>
      </c>
      <c r="F154" s="9" t="s">
        <v>1364</v>
      </c>
      <c r="G154" s="12" t="n">
        <f aca="false">INDEX(Destination!$F$2:$F$501,MATCH(B154,Destination!$A$2:$A$501,0))</f>
        <v>24.59</v>
      </c>
      <c r="H154" s="12" t="n">
        <f aca="false">INDEX(Destination!$G$2:$G$501,MATCH(B154,Destination!$A$2:$A$501,0))</f>
        <v>72.71</v>
      </c>
      <c r="I154" s="12" t="n">
        <f aca="false">INDEX(Destination!$F$2:$F$501,MATCH(D154,Destination!$A$2:$A$501,0))</f>
        <v>25.75</v>
      </c>
      <c r="J154" s="12" t="n">
        <f aca="false">INDEX(Destination!$G$2:$G$501,MATCH(D154,Destination!$A$2:$A$501,0))</f>
        <v>71.39</v>
      </c>
      <c r="K154" s="17" t="n">
        <f aca="false">Assumptions!$B$2*2*ASIN(SQRT(SIN(RADIANS(I154-G154)/2)^2+COS(RADIANS(G154))*COS(RADIANS(I154))*SIN(RADIANS(J154-H154)/2)^2))</f>
        <v>185.156547193946</v>
      </c>
      <c r="L154" s="18" t="n">
        <f aca="false">K154*Assumptions!$B$3</f>
        <v>240.703511352129</v>
      </c>
      <c r="M154" s="19" t="n">
        <f aca="false">L154/Assumptions!$B$4</f>
        <v>5.34896691893621</v>
      </c>
      <c r="N154" s="9" t="s">
        <v>1365</v>
      </c>
    </row>
    <row r="155" customFormat="false" ht="15" hidden="false" customHeight="false" outlineLevel="0" collapsed="false">
      <c r="A155" s="9" t="s">
        <v>1518</v>
      </c>
      <c r="B155" s="9" t="s">
        <v>200</v>
      </c>
      <c r="C155" s="9" t="str">
        <f aca="false">IFERROR(INDEX(Destination!$B$2:$B$501,MATCH(B155,Destination!$A$2:$A$501,0)),"")</f>
        <v>Mount Abu</v>
      </c>
      <c r="D155" s="9" t="s">
        <v>231</v>
      </c>
      <c r="E155" s="9" t="str">
        <f aca="false">IFERROR(INDEX(Destination!$B$2:$B$501,MATCH(D155,Destination!$A$2:$A$501,0)),"")</f>
        <v>Ranakpur</v>
      </c>
      <c r="F155" s="9" t="s">
        <v>1364</v>
      </c>
      <c r="G155" s="12" t="n">
        <f aca="false">INDEX(Destination!$F$2:$F$501,MATCH(B155,Destination!$A$2:$A$501,0))</f>
        <v>24.59</v>
      </c>
      <c r="H155" s="12" t="n">
        <f aca="false">INDEX(Destination!$G$2:$G$501,MATCH(B155,Destination!$A$2:$A$501,0))</f>
        <v>72.71</v>
      </c>
      <c r="I155" s="12" t="n">
        <f aca="false">INDEX(Destination!$F$2:$F$501,MATCH(D155,Destination!$A$2:$A$501,0))</f>
        <v>25.12</v>
      </c>
      <c r="J155" s="12" t="n">
        <f aca="false">INDEX(Destination!$G$2:$G$501,MATCH(D155,Destination!$A$2:$A$501,0))</f>
        <v>73.47</v>
      </c>
      <c r="K155" s="17" t="n">
        <f aca="false">Assumptions!$B$2*2*ASIN(SQRT(SIN(RADIANS(I155-G155)/2)^2+COS(RADIANS(G155))*COS(RADIANS(I155))*SIN(RADIANS(J155-H155)/2)^2))</f>
        <v>96.7106735595097</v>
      </c>
      <c r="L155" s="18" t="n">
        <f aca="false">K155*Assumptions!$B$3</f>
        <v>125.723875627363</v>
      </c>
      <c r="M155" s="19" t="n">
        <f aca="false">L155/Assumptions!$B$4</f>
        <v>2.79386390283028</v>
      </c>
      <c r="N155" s="9" t="s">
        <v>1365</v>
      </c>
    </row>
    <row r="156" customFormat="false" ht="15" hidden="false" customHeight="false" outlineLevel="0" collapsed="false">
      <c r="A156" s="9" t="s">
        <v>1519</v>
      </c>
      <c r="B156" s="9" t="s">
        <v>200</v>
      </c>
      <c r="C156" s="9" t="str">
        <f aca="false">IFERROR(INDEX(Destination!$B$2:$B$501,MATCH(B156,Destination!$A$2:$A$501,0)),"")</f>
        <v>Mount Abu</v>
      </c>
      <c r="D156" s="9" t="s">
        <v>286</v>
      </c>
      <c r="E156" s="9" t="str">
        <f aca="false">IFERROR(INDEX(Destination!$B$2:$B$501,MATCH(D156,Destination!$A$2:$A$501,0)),"")</f>
        <v>Siddhpur</v>
      </c>
      <c r="F156" s="9" t="s">
        <v>1364</v>
      </c>
      <c r="G156" s="12" t="n">
        <f aca="false">INDEX(Destination!$F$2:$F$501,MATCH(B156,Destination!$A$2:$A$501,0))</f>
        <v>24.59</v>
      </c>
      <c r="H156" s="12" t="n">
        <f aca="false">INDEX(Destination!$G$2:$G$501,MATCH(B156,Destination!$A$2:$A$501,0))</f>
        <v>72.71</v>
      </c>
      <c r="I156" s="12" t="n">
        <f aca="false">INDEX(Destination!$F$2:$F$501,MATCH(D156,Destination!$A$2:$A$501,0))</f>
        <v>23.92</v>
      </c>
      <c r="J156" s="12" t="n">
        <f aca="false">INDEX(Destination!$G$2:$G$501,MATCH(D156,Destination!$A$2:$A$501,0))</f>
        <v>72.38</v>
      </c>
      <c r="K156" s="17" t="n">
        <f aca="false">Assumptions!$B$2*2*ASIN(SQRT(SIN(RADIANS(I156-G156)/2)^2+COS(RADIANS(G156))*COS(RADIANS(I156))*SIN(RADIANS(J156-H156)/2)^2))</f>
        <v>81.6674196236281</v>
      </c>
      <c r="L156" s="18" t="n">
        <f aca="false">K156*Assumptions!$B$3</f>
        <v>106.167645510717</v>
      </c>
      <c r="M156" s="19" t="n">
        <f aca="false">L156/Assumptions!$B$4</f>
        <v>2.35928101134926</v>
      </c>
      <c r="N156" s="9" t="s">
        <v>1365</v>
      </c>
    </row>
    <row r="157" customFormat="false" ht="15" hidden="false" customHeight="false" outlineLevel="0" collapsed="false">
      <c r="A157" s="9" t="s">
        <v>1520</v>
      </c>
      <c r="B157" s="9" t="s">
        <v>202</v>
      </c>
      <c r="C157" s="9" t="str">
        <f aca="false">IFERROR(INDEX(Destination!$B$2:$B$501,MATCH(B157,Destination!$A$2:$A$501,0)),"")</f>
        <v>Chittorgarh</v>
      </c>
      <c r="D157" s="9" t="s">
        <v>229</v>
      </c>
      <c r="E157" s="9" t="str">
        <f aca="false">IFERROR(INDEX(Destination!$B$2:$B$501,MATCH(D157,Destination!$A$2:$A$501,0)),"")</f>
        <v>Kumbhalgarh</v>
      </c>
      <c r="F157" s="9" t="s">
        <v>1364</v>
      </c>
      <c r="G157" s="12" t="n">
        <f aca="false">INDEX(Destination!$F$2:$F$501,MATCH(B157,Destination!$A$2:$A$501,0))</f>
        <v>24.88</v>
      </c>
      <c r="H157" s="12" t="n">
        <f aca="false">INDEX(Destination!$G$2:$G$501,MATCH(B157,Destination!$A$2:$A$501,0))</f>
        <v>74.63</v>
      </c>
      <c r="I157" s="12" t="n">
        <f aca="false">INDEX(Destination!$F$2:$F$501,MATCH(D157,Destination!$A$2:$A$501,0))</f>
        <v>25.15</v>
      </c>
      <c r="J157" s="12" t="n">
        <f aca="false">INDEX(Destination!$G$2:$G$501,MATCH(D157,Destination!$A$2:$A$501,0))</f>
        <v>73.58</v>
      </c>
      <c r="K157" s="17" t="n">
        <f aca="false">Assumptions!$B$2*2*ASIN(SQRT(SIN(RADIANS(I157-G157)/2)^2+COS(RADIANS(G157))*COS(RADIANS(I157))*SIN(RADIANS(J157-H157)/2)^2))</f>
        <v>109.979495798361</v>
      </c>
      <c r="L157" s="18" t="n">
        <f aca="false">K157*Assumptions!$B$3</f>
        <v>142.973344537869</v>
      </c>
      <c r="M157" s="19" t="n">
        <f aca="false">L157/Assumptions!$B$4</f>
        <v>3.17718543417488</v>
      </c>
      <c r="N157" s="9" t="s">
        <v>1365</v>
      </c>
    </row>
    <row r="158" customFormat="false" ht="15" hidden="false" customHeight="false" outlineLevel="0" collapsed="false">
      <c r="A158" s="9" t="s">
        <v>1521</v>
      </c>
      <c r="B158" s="9" t="s">
        <v>202</v>
      </c>
      <c r="C158" s="9" t="str">
        <f aca="false">IFERROR(INDEX(Destination!$B$2:$B$501,MATCH(B158,Destination!$A$2:$A$501,0)),"")</f>
        <v>Chittorgarh</v>
      </c>
      <c r="D158" s="9" t="s">
        <v>233</v>
      </c>
      <c r="E158" s="9" t="str">
        <f aca="false">IFERROR(INDEX(Destination!$B$2:$B$501,MATCH(D158,Destination!$A$2:$A$501,0)),"")</f>
        <v>Nathdwara</v>
      </c>
      <c r="F158" s="9" t="s">
        <v>1364</v>
      </c>
      <c r="G158" s="12" t="n">
        <f aca="false">INDEX(Destination!$F$2:$F$501,MATCH(B158,Destination!$A$2:$A$501,0))</f>
        <v>24.88</v>
      </c>
      <c r="H158" s="12" t="n">
        <f aca="false">INDEX(Destination!$G$2:$G$501,MATCH(B158,Destination!$A$2:$A$501,0))</f>
        <v>74.63</v>
      </c>
      <c r="I158" s="12" t="n">
        <f aca="false">INDEX(Destination!$F$2:$F$501,MATCH(D158,Destination!$A$2:$A$501,0))</f>
        <v>24.94</v>
      </c>
      <c r="J158" s="12" t="n">
        <f aca="false">INDEX(Destination!$G$2:$G$501,MATCH(D158,Destination!$A$2:$A$501,0))</f>
        <v>73.82</v>
      </c>
      <c r="K158" s="17" t="n">
        <f aca="false">Assumptions!$B$2*2*ASIN(SQRT(SIN(RADIANS(I158-G158)/2)^2+COS(RADIANS(G158))*COS(RADIANS(I158))*SIN(RADIANS(J158-H158)/2)^2))</f>
        <v>81.960787239967</v>
      </c>
      <c r="L158" s="18" t="n">
        <f aca="false">K158*Assumptions!$B$3</f>
        <v>106.549023411957</v>
      </c>
      <c r="M158" s="19" t="n">
        <f aca="false">L158/Assumptions!$B$4</f>
        <v>2.36775607582127</v>
      </c>
      <c r="N158" s="9" t="s">
        <v>1365</v>
      </c>
    </row>
    <row r="159" customFormat="false" ht="15" hidden="false" customHeight="false" outlineLevel="0" collapsed="false">
      <c r="A159" s="9" t="s">
        <v>1522</v>
      </c>
      <c r="B159" s="9" t="s">
        <v>202</v>
      </c>
      <c r="C159" s="9" t="str">
        <f aca="false">IFERROR(INDEX(Destination!$B$2:$B$501,MATCH(B159,Destination!$A$2:$A$501,0)),"")</f>
        <v>Chittorgarh</v>
      </c>
      <c r="D159" s="9" t="s">
        <v>245</v>
      </c>
      <c r="E159" s="9" t="str">
        <f aca="false">IFERROR(INDEX(Destination!$B$2:$B$501,MATCH(D159,Destination!$A$2:$A$501,0)),"")</f>
        <v>Banswara</v>
      </c>
      <c r="F159" s="9" t="s">
        <v>1364</v>
      </c>
      <c r="G159" s="12" t="n">
        <f aca="false">INDEX(Destination!$F$2:$F$501,MATCH(B159,Destination!$A$2:$A$501,0))</f>
        <v>24.88</v>
      </c>
      <c r="H159" s="12" t="n">
        <f aca="false">INDEX(Destination!$G$2:$G$501,MATCH(B159,Destination!$A$2:$A$501,0))</f>
        <v>74.63</v>
      </c>
      <c r="I159" s="12" t="n">
        <f aca="false">INDEX(Destination!$F$2:$F$501,MATCH(D159,Destination!$A$2:$A$501,0))</f>
        <v>23.55</v>
      </c>
      <c r="J159" s="12" t="n">
        <f aca="false">INDEX(Destination!$G$2:$G$501,MATCH(D159,Destination!$A$2:$A$501,0))</f>
        <v>74.44</v>
      </c>
      <c r="K159" s="17" t="n">
        <f aca="false">Assumptions!$B$2*2*ASIN(SQRT(SIN(RADIANS(I159-G159)/2)^2+COS(RADIANS(G159))*COS(RADIANS(I159))*SIN(RADIANS(J159-H159)/2)^2))</f>
        <v>149.139078869328</v>
      </c>
      <c r="L159" s="18" t="n">
        <f aca="false">K159*Assumptions!$B$3</f>
        <v>193.880802530126</v>
      </c>
      <c r="M159" s="19" t="n">
        <f aca="false">L159/Assumptions!$B$4</f>
        <v>4.30846227844725</v>
      </c>
      <c r="N159" s="9" t="s">
        <v>1365</v>
      </c>
    </row>
    <row r="160" customFormat="false" ht="15" hidden="false" customHeight="false" outlineLevel="0" collapsed="false">
      <c r="A160" s="9" t="s">
        <v>1523</v>
      </c>
      <c r="B160" s="9" t="s">
        <v>204</v>
      </c>
      <c r="C160" s="9" t="str">
        <f aca="false">IFERROR(INDEX(Destination!$B$2:$B$501,MATCH(B160,Destination!$A$2:$A$501,0)),"")</f>
        <v>Ranthambore</v>
      </c>
      <c r="D160" s="9" t="s">
        <v>206</v>
      </c>
      <c r="E160" s="9" t="str">
        <f aca="false">IFERROR(INDEX(Destination!$B$2:$B$501,MATCH(D160,Destination!$A$2:$A$501,0)),"")</f>
        <v>Sawai Madhopur</v>
      </c>
      <c r="F160" s="9" t="s">
        <v>1364</v>
      </c>
      <c r="G160" s="12" t="n">
        <f aca="false">INDEX(Destination!$F$2:$F$501,MATCH(B160,Destination!$A$2:$A$501,0))</f>
        <v>26.02</v>
      </c>
      <c r="H160" s="12" t="n">
        <f aca="false">INDEX(Destination!$G$2:$G$501,MATCH(B160,Destination!$A$2:$A$501,0))</f>
        <v>76.5</v>
      </c>
      <c r="I160" s="12" t="n">
        <f aca="false">INDEX(Destination!$F$2:$F$501,MATCH(D160,Destination!$A$2:$A$501,0))</f>
        <v>26.02</v>
      </c>
      <c r="J160" s="12" t="n">
        <f aca="false">INDEX(Destination!$G$2:$G$501,MATCH(D160,Destination!$A$2:$A$501,0))</f>
        <v>76.35</v>
      </c>
      <c r="K160" s="17" t="n">
        <f aca="false">Assumptions!$B$2*2*ASIN(SQRT(SIN(RADIANS(I160-G160)/2)^2+COS(RADIANS(G160))*COS(RADIANS(I160))*SIN(RADIANS(J160-H160)/2)^2))</f>
        <v>14.9886467062339</v>
      </c>
      <c r="L160" s="18" t="n">
        <f aca="false">K160*Assumptions!$B$3</f>
        <v>19.4852407181041</v>
      </c>
      <c r="M160" s="19" t="n">
        <f aca="false">L160/Assumptions!$B$4</f>
        <v>0.433005349291203</v>
      </c>
      <c r="N160" s="9" t="s">
        <v>1365</v>
      </c>
    </row>
    <row r="161" customFormat="false" ht="15" hidden="false" customHeight="false" outlineLevel="0" collapsed="false">
      <c r="A161" s="9" t="s">
        <v>1524</v>
      </c>
      <c r="B161" s="9" t="s">
        <v>204</v>
      </c>
      <c r="C161" s="9" t="str">
        <f aca="false">IFERROR(INDEX(Destination!$B$2:$B$501,MATCH(B161,Destination!$A$2:$A$501,0)),"")</f>
        <v>Ranthambore</v>
      </c>
      <c r="D161" s="9" t="s">
        <v>241</v>
      </c>
      <c r="E161" s="9" t="str">
        <f aca="false">IFERROR(INDEX(Destination!$B$2:$B$501,MATCH(D161,Destination!$A$2:$A$501,0)),"")</f>
        <v>Karauli</v>
      </c>
      <c r="F161" s="9" t="s">
        <v>1364</v>
      </c>
      <c r="G161" s="12" t="n">
        <f aca="false">INDEX(Destination!$F$2:$F$501,MATCH(B161,Destination!$A$2:$A$501,0))</f>
        <v>26.02</v>
      </c>
      <c r="H161" s="12" t="n">
        <f aca="false">INDEX(Destination!$G$2:$G$501,MATCH(B161,Destination!$A$2:$A$501,0))</f>
        <v>76.5</v>
      </c>
      <c r="I161" s="12" t="n">
        <f aca="false">INDEX(Destination!$F$2:$F$501,MATCH(D161,Destination!$A$2:$A$501,0))</f>
        <v>26.5</v>
      </c>
      <c r="J161" s="12" t="n">
        <f aca="false">INDEX(Destination!$G$2:$G$501,MATCH(D161,Destination!$A$2:$A$501,0))</f>
        <v>77.02</v>
      </c>
      <c r="K161" s="17" t="n">
        <f aca="false">Assumptions!$B$2*2*ASIN(SQRT(SIN(RADIANS(I161-G161)/2)^2+COS(RADIANS(G161))*COS(RADIANS(I161))*SIN(RADIANS(J161-H161)/2)^2))</f>
        <v>74.4146329265083</v>
      </c>
      <c r="L161" s="18" t="n">
        <f aca="false">K161*Assumptions!$B$3</f>
        <v>96.7390228044608</v>
      </c>
      <c r="M161" s="19" t="n">
        <f aca="false">L161/Assumptions!$B$4</f>
        <v>2.14975606232135</v>
      </c>
      <c r="N161" s="9" t="s">
        <v>1365</v>
      </c>
    </row>
    <row r="162" customFormat="false" ht="15" hidden="false" customHeight="false" outlineLevel="0" collapsed="false">
      <c r="A162" s="9" t="s">
        <v>1525</v>
      </c>
      <c r="B162" s="9" t="s">
        <v>204</v>
      </c>
      <c r="C162" s="9" t="str">
        <f aca="false">IFERROR(INDEX(Destination!$B$2:$B$501,MATCH(B162,Destination!$A$2:$A$501,0)),"")</f>
        <v>Ranthambore</v>
      </c>
      <c r="D162" s="9" t="s">
        <v>243</v>
      </c>
      <c r="E162" s="9" t="str">
        <f aca="false">IFERROR(INDEX(Destination!$B$2:$B$501,MATCH(D162,Destination!$A$2:$A$501,0)),"")</f>
        <v>Tonk</v>
      </c>
      <c r="F162" s="9" t="s">
        <v>1364</v>
      </c>
      <c r="G162" s="12" t="n">
        <f aca="false">INDEX(Destination!$F$2:$F$501,MATCH(B162,Destination!$A$2:$A$501,0))</f>
        <v>26.02</v>
      </c>
      <c r="H162" s="12" t="n">
        <f aca="false">INDEX(Destination!$G$2:$G$501,MATCH(B162,Destination!$A$2:$A$501,0))</f>
        <v>76.5</v>
      </c>
      <c r="I162" s="12" t="n">
        <f aca="false">INDEX(Destination!$F$2:$F$501,MATCH(D162,Destination!$A$2:$A$501,0))</f>
        <v>26.17</v>
      </c>
      <c r="J162" s="12" t="n">
        <f aca="false">INDEX(Destination!$G$2:$G$501,MATCH(D162,Destination!$A$2:$A$501,0))</f>
        <v>75.79</v>
      </c>
      <c r="K162" s="17" t="n">
        <f aca="false">Assumptions!$B$2*2*ASIN(SQRT(SIN(RADIANS(I162-G162)/2)^2+COS(RADIANS(G162))*COS(RADIANS(I162))*SIN(RADIANS(J162-H162)/2)^2))</f>
        <v>72.836205761576</v>
      </c>
      <c r="L162" s="18" t="n">
        <f aca="false">K162*Assumptions!$B$3</f>
        <v>94.6870674900489</v>
      </c>
      <c r="M162" s="19" t="n">
        <f aca="false">L162/Assumptions!$B$4</f>
        <v>2.10415705533442</v>
      </c>
      <c r="N162" s="9" t="s">
        <v>1365</v>
      </c>
    </row>
    <row r="163" customFormat="false" ht="15" hidden="false" customHeight="false" outlineLevel="0" collapsed="false">
      <c r="A163" s="9" t="s">
        <v>1526</v>
      </c>
      <c r="B163" s="9" t="s">
        <v>206</v>
      </c>
      <c r="C163" s="9" t="str">
        <f aca="false">IFERROR(INDEX(Destination!$B$2:$B$501,MATCH(B163,Destination!$A$2:$A$501,0)),"")</f>
        <v>Sawai Madhopur</v>
      </c>
      <c r="D163" s="9" t="s">
        <v>208</v>
      </c>
      <c r="E163" s="9" t="str">
        <f aca="false">IFERROR(INDEX(Destination!$B$2:$B$501,MATCH(D163,Destination!$A$2:$A$501,0)),"")</f>
        <v>Bundi</v>
      </c>
      <c r="F163" s="9" t="s">
        <v>1364</v>
      </c>
      <c r="G163" s="12" t="n">
        <f aca="false">INDEX(Destination!$F$2:$F$501,MATCH(B163,Destination!$A$2:$A$501,0))</f>
        <v>26.02</v>
      </c>
      <c r="H163" s="12" t="n">
        <f aca="false">INDEX(Destination!$G$2:$G$501,MATCH(B163,Destination!$A$2:$A$501,0))</f>
        <v>76.35</v>
      </c>
      <c r="I163" s="12" t="n">
        <f aca="false">INDEX(Destination!$F$2:$F$501,MATCH(D163,Destination!$A$2:$A$501,0))</f>
        <v>25.44</v>
      </c>
      <c r="J163" s="12" t="n">
        <f aca="false">INDEX(Destination!$G$2:$G$501,MATCH(D163,Destination!$A$2:$A$501,0))</f>
        <v>75.64</v>
      </c>
      <c r="K163" s="17" t="n">
        <f aca="false">Assumptions!$B$2*2*ASIN(SQRT(SIN(RADIANS(I163-G163)/2)^2+COS(RADIANS(G163))*COS(RADIANS(I163))*SIN(RADIANS(J163-H163)/2)^2))</f>
        <v>96.0073747099658</v>
      </c>
      <c r="L163" s="18" t="n">
        <f aca="false">K163*Assumptions!$B$3</f>
        <v>124.809587122955</v>
      </c>
      <c r="M163" s="19" t="n">
        <f aca="false">L163/Assumptions!$B$4</f>
        <v>2.77354638051012</v>
      </c>
      <c r="N163" s="9" t="s">
        <v>1365</v>
      </c>
    </row>
    <row r="164" customFormat="false" ht="15" hidden="false" customHeight="false" outlineLevel="0" collapsed="false">
      <c r="A164" s="9" t="s">
        <v>1527</v>
      </c>
      <c r="B164" s="9" t="s">
        <v>206</v>
      </c>
      <c r="C164" s="9" t="str">
        <f aca="false">IFERROR(INDEX(Destination!$B$2:$B$501,MATCH(B164,Destination!$A$2:$A$501,0)),"")</f>
        <v>Sawai Madhopur</v>
      </c>
      <c r="D164" s="9" t="s">
        <v>210</v>
      </c>
      <c r="E164" s="9" t="str">
        <f aca="false">IFERROR(INDEX(Destination!$B$2:$B$501,MATCH(D164,Destination!$A$2:$A$501,0)),"")</f>
        <v>Kota</v>
      </c>
      <c r="F164" s="9" t="s">
        <v>1364</v>
      </c>
      <c r="G164" s="12" t="n">
        <f aca="false">INDEX(Destination!$F$2:$F$501,MATCH(B164,Destination!$A$2:$A$501,0))</f>
        <v>26.02</v>
      </c>
      <c r="H164" s="12" t="n">
        <f aca="false">INDEX(Destination!$G$2:$G$501,MATCH(B164,Destination!$A$2:$A$501,0))</f>
        <v>76.35</v>
      </c>
      <c r="I164" s="12" t="n">
        <f aca="false">INDEX(Destination!$F$2:$F$501,MATCH(D164,Destination!$A$2:$A$501,0))</f>
        <v>25.18</v>
      </c>
      <c r="J164" s="12" t="n">
        <f aca="false">INDEX(Destination!$G$2:$G$501,MATCH(D164,Destination!$A$2:$A$501,0))</f>
        <v>75.83</v>
      </c>
      <c r="K164" s="17" t="n">
        <f aca="false">Assumptions!$B$2*2*ASIN(SQRT(SIN(RADIANS(I164-G164)/2)^2+COS(RADIANS(G164))*COS(RADIANS(I164))*SIN(RADIANS(J164-H164)/2)^2))</f>
        <v>106.973328060226</v>
      </c>
      <c r="L164" s="18" t="n">
        <f aca="false">K164*Assumptions!$B$3</f>
        <v>139.065326478294</v>
      </c>
      <c r="M164" s="19" t="n">
        <f aca="false">L164/Assumptions!$B$4</f>
        <v>3.09034058840652</v>
      </c>
      <c r="N164" s="9" t="s">
        <v>1365</v>
      </c>
    </row>
    <row r="165" customFormat="false" ht="15" hidden="false" customHeight="false" outlineLevel="0" collapsed="false">
      <c r="A165" s="9" t="s">
        <v>1528</v>
      </c>
      <c r="B165" s="9" t="s">
        <v>206</v>
      </c>
      <c r="C165" s="9" t="str">
        <f aca="false">IFERROR(INDEX(Destination!$B$2:$B$501,MATCH(B165,Destination!$A$2:$A$501,0)),"")</f>
        <v>Sawai Madhopur</v>
      </c>
      <c r="D165" s="9" t="s">
        <v>241</v>
      </c>
      <c r="E165" s="9" t="str">
        <f aca="false">IFERROR(INDEX(Destination!$B$2:$B$501,MATCH(D165,Destination!$A$2:$A$501,0)),"")</f>
        <v>Karauli</v>
      </c>
      <c r="F165" s="9" t="s">
        <v>1364</v>
      </c>
      <c r="G165" s="12" t="n">
        <f aca="false">INDEX(Destination!$F$2:$F$501,MATCH(B165,Destination!$A$2:$A$501,0))</f>
        <v>26.02</v>
      </c>
      <c r="H165" s="12" t="n">
        <f aca="false">INDEX(Destination!$G$2:$G$501,MATCH(B165,Destination!$A$2:$A$501,0))</f>
        <v>76.35</v>
      </c>
      <c r="I165" s="12" t="n">
        <f aca="false">INDEX(Destination!$F$2:$F$501,MATCH(D165,Destination!$A$2:$A$501,0))</f>
        <v>26.5</v>
      </c>
      <c r="J165" s="12" t="n">
        <f aca="false">INDEX(Destination!$G$2:$G$501,MATCH(D165,Destination!$A$2:$A$501,0))</f>
        <v>77.02</v>
      </c>
      <c r="K165" s="17" t="n">
        <f aca="false">Assumptions!$B$2*2*ASIN(SQRT(SIN(RADIANS(I165-G165)/2)^2+COS(RADIANS(G165))*COS(RADIANS(I165))*SIN(RADIANS(J165-H165)/2)^2))</f>
        <v>85.5131552805181</v>
      </c>
      <c r="L165" s="18" t="n">
        <f aca="false">K165*Assumptions!$B$3</f>
        <v>111.167101864674</v>
      </c>
      <c r="M165" s="19" t="n">
        <f aca="false">L165/Assumptions!$B$4</f>
        <v>2.47038004143719</v>
      </c>
      <c r="N165" s="9" t="s">
        <v>1365</v>
      </c>
    </row>
    <row r="166" customFormat="false" ht="15" hidden="false" customHeight="false" outlineLevel="0" collapsed="false">
      <c r="A166" s="9" t="s">
        <v>1529</v>
      </c>
      <c r="B166" s="9" t="s">
        <v>206</v>
      </c>
      <c r="C166" s="9" t="str">
        <f aca="false">IFERROR(INDEX(Destination!$B$2:$B$501,MATCH(B166,Destination!$A$2:$A$501,0)),"")</f>
        <v>Sawai Madhopur</v>
      </c>
      <c r="D166" s="9" t="s">
        <v>243</v>
      </c>
      <c r="E166" s="9" t="str">
        <f aca="false">IFERROR(INDEX(Destination!$B$2:$B$501,MATCH(D166,Destination!$A$2:$A$501,0)),"")</f>
        <v>Tonk</v>
      </c>
      <c r="F166" s="9" t="s">
        <v>1364</v>
      </c>
      <c r="G166" s="12" t="n">
        <f aca="false">INDEX(Destination!$F$2:$F$501,MATCH(B166,Destination!$A$2:$A$501,0))</f>
        <v>26.02</v>
      </c>
      <c r="H166" s="12" t="n">
        <f aca="false">INDEX(Destination!$G$2:$G$501,MATCH(B166,Destination!$A$2:$A$501,0))</f>
        <v>76.35</v>
      </c>
      <c r="I166" s="12" t="n">
        <f aca="false">INDEX(Destination!$F$2:$F$501,MATCH(D166,Destination!$A$2:$A$501,0))</f>
        <v>26.17</v>
      </c>
      <c r="J166" s="12" t="n">
        <f aca="false">INDEX(Destination!$G$2:$G$501,MATCH(D166,Destination!$A$2:$A$501,0))</f>
        <v>75.79</v>
      </c>
      <c r="K166" s="17" t="n">
        <f aca="false">Assumptions!$B$2*2*ASIN(SQRT(SIN(RADIANS(I166-G166)/2)^2+COS(RADIANS(G166))*COS(RADIANS(I166))*SIN(RADIANS(J166-H166)/2)^2))</f>
        <v>58.3561325884913</v>
      </c>
      <c r="L166" s="18" t="n">
        <f aca="false">K166*Assumptions!$B$3</f>
        <v>75.8629723650386</v>
      </c>
      <c r="M166" s="19" t="n">
        <f aca="false">L166/Assumptions!$B$4</f>
        <v>1.68584383033419</v>
      </c>
      <c r="N166" s="9" t="s">
        <v>1365</v>
      </c>
    </row>
    <row r="167" customFormat="false" ht="15" hidden="false" customHeight="false" outlineLevel="0" collapsed="false">
      <c r="A167" s="9" t="s">
        <v>1530</v>
      </c>
      <c r="B167" s="9" t="s">
        <v>208</v>
      </c>
      <c r="C167" s="9" t="str">
        <f aca="false">IFERROR(INDEX(Destination!$B$2:$B$501,MATCH(B167,Destination!$A$2:$A$501,0)),"")</f>
        <v>Bundi</v>
      </c>
      <c r="D167" s="9" t="s">
        <v>210</v>
      </c>
      <c r="E167" s="9" t="str">
        <f aca="false">IFERROR(INDEX(Destination!$B$2:$B$501,MATCH(D167,Destination!$A$2:$A$501,0)),"")</f>
        <v>Kota</v>
      </c>
      <c r="F167" s="9" t="s">
        <v>1364</v>
      </c>
      <c r="G167" s="12" t="n">
        <f aca="false">INDEX(Destination!$F$2:$F$501,MATCH(B167,Destination!$A$2:$A$501,0))</f>
        <v>25.44</v>
      </c>
      <c r="H167" s="12" t="n">
        <f aca="false">INDEX(Destination!$G$2:$G$501,MATCH(B167,Destination!$A$2:$A$501,0))</f>
        <v>75.64</v>
      </c>
      <c r="I167" s="12" t="n">
        <f aca="false">INDEX(Destination!$F$2:$F$501,MATCH(D167,Destination!$A$2:$A$501,0))</f>
        <v>25.18</v>
      </c>
      <c r="J167" s="12" t="n">
        <f aca="false">INDEX(Destination!$G$2:$G$501,MATCH(D167,Destination!$A$2:$A$501,0))</f>
        <v>75.83</v>
      </c>
      <c r="K167" s="17" t="n">
        <f aca="false">Assumptions!$B$2*2*ASIN(SQRT(SIN(RADIANS(I167-G167)/2)^2+COS(RADIANS(G167))*COS(RADIANS(I167))*SIN(RADIANS(J167-H167)/2)^2))</f>
        <v>34.6496535472878</v>
      </c>
      <c r="L167" s="18" t="n">
        <f aca="false">K167*Assumptions!$B$3</f>
        <v>45.0445496114741</v>
      </c>
      <c r="M167" s="19" t="n">
        <f aca="false">L167/Assumptions!$B$4</f>
        <v>1.00098999136609</v>
      </c>
      <c r="N167" s="9" t="s">
        <v>1365</v>
      </c>
    </row>
    <row r="168" customFormat="false" ht="15" hidden="false" customHeight="false" outlineLevel="0" collapsed="false">
      <c r="A168" s="9" t="s">
        <v>1531</v>
      </c>
      <c r="B168" s="9" t="s">
        <v>208</v>
      </c>
      <c r="C168" s="9" t="str">
        <f aca="false">IFERROR(INDEX(Destination!$B$2:$B$501,MATCH(B168,Destination!$A$2:$A$501,0)),"")</f>
        <v>Bundi</v>
      </c>
      <c r="D168" s="9" t="s">
        <v>243</v>
      </c>
      <c r="E168" s="9" t="str">
        <f aca="false">IFERROR(INDEX(Destination!$B$2:$B$501,MATCH(D168,Destination!$A$2:$A$501,0)),"")</f>
        <v>Tonk</v>
      </c>
      <c r="F168" s="9" t="s">
        <v>1364</v>
      </c>
      <c r="G168" s="12" t="n">
        <f aca="false">INDEX(Destination!$F$2:$F$501,MATCH(B168,Destination!$A$2:$A$501,0))</f>
        <v>25.44</v>
      </c>
      <c r="H168" s="12" t="n">
        <f aca="false">INDEX(Destination!$G$2:$G$501,MATCH(B168,Destination!$A$2:$A$501,0))</f>
        <v>75.64</v>
      </c>
      <c r="I168" s="12" t="n">
        <f aca="false">INDEX(Destination!$F$2:$F$501,MATCH(D168,Destination!$A$2:$A$501,0))</f>
        <v>26.17</v>
      </c>
      <c r="J168" s="12" t="n">
        <f aca="false">INDEX(Destination!$G$2:$G$501,MATCH(D168,Destination!$A$2:$A$501,0))</f>
        <v>75.79</v>
      </c>
      <c r="K168" s="17" t="n">
        <f aca="false">Assumptions!$B$2*2*ASIN(SQRT(SIN(RADIANS(I168-G168)/2)^2+COS(RADIANS(G168))*COS(RADIANS(I168))*SIN(RADIANS(J168-H168)/2)^2))</f>
        <v>82.5494803450575</v>
      </c>
      <c r="L168" s="18" t="n">
        <f aca="false">K168*Assumptions!$B$3</f>
        <v>107.314324448575</v>
      </c>
      <c r="M168" s="19" t="n">
        <f aca="false">L168/Assumptions!$B$4</f>
        <v>2.38476276552388</v>
      </c>
      <c r="N168" s="9" t="s">
        <v>1365</v>
      </c>
    </row>
    <row r="169" customFormat="false" ht="15" hidden="false" customHeight="false" outlineLevel="0" collapsed="false">
      <c r="A169" s="9" t="s">
        <v>1532</v>
      </c>
      <c r="B169" s="9" t="s">
        <v>210</v>
      </c>
      <c r="C169" s="9" t="str">
        <f aca="false">IFERROR(INDEX(Destination!$B$2:$B$501,MATCH(B169,Destination!$A$2:$A$501,0)),"")</f>
        <v>Kota</v>
      </c>
      <c r="D169" s="9" t="s">
        <v>243</v>
      </c>
      <c r="E169" s="9" t="str">
        <f aca="false">IFERROR(INDEX(Destination!$B$2:$B$501,MATCH(D169,Destination!$A$2:$A$501,0)),"")</f>
        <v>Tonk</v>
      </c>
      <c r="F169" s="9" t="s">
        <v>1364</v>
      </c>
      <c r="G169" s="12" t="n">
        <f aca="false">INDEX(Destination!$F$2:$F$501,MATCH(B169,Destination!$A$2:$A$501,0))</f>
        <v>25.18</v>
      </c>
      <c r="H169" s="12" t="n">
        <f aca="false">INDEX(Destination!$G$2:$G$501,MATCH(B169,Destination!$A$2:$A$501,0))</f>
        <v>75.83</v>
      </c>
      <c r="I169" s="12" t="n">
        <f aca="false">INDEX(Destination!$F$2:$F$501,MATCH(D169,Destination!$A$2:$A$501,0))</f>
        <v>26.17</v>
      </c>
      <c r="J169" s="12" t="n">
        <f aca="false">INDEX(Destination!$G$2:$G$501,MATCH(D169,Destination!$A$2:$A$501,0))</f>
        <v>75.79</v>
      </c>
      <c r="K169" s="17" t="n">
        <f aca="false">Assumptions!$B$2*2*ASIN(SQRT(SIN(RADIANS(I169-G169)/2)^2+COS(RADIANS(G169))*COS(RADIANS(I169))*SIN(RADIANS(J169-H169)/2)^2))</f>
        <v>110.155937188163</v>
      </c>
      <c r="L169" s="18" t="n">
        <f aca="false">K169*Assumptions!$B$3</f>
        <v>143.202718344612</v>
      </c>
      <c r="M169" s="19" t="n">
        <f aca="false">L169/Assumptions!$B$4</f>
        <v>3.18228262988027</v>
      </c>
      <c r="N169" s="9" t="s">
        <v>1365</v>
      </c>
    </row>
    <row r="170" customFormat="false" ht="15" hidden="false" customHeight="false" outlineLevel="0" collapsed="false">
      <c r="A170" s="9" t="s">
        <v>1533</v>
      </c>
      <c r="B170" s="9" t="s">
        <v>212</v>
      </c>
      <c r="C170" s="9" t="str">
        <f aca="false">IFERROR(INDEX(Destination!$B$2:$B$501,MATCH(B170,Destination!$A$2:$A$501,0)),"")</f>
        <v>Alwar</v>
      </c>
      <c r="D170" s="9" t="s">
        <v>214</v>
      </c>
      <c r="E170" s="9" t="str">
        <f aca="false">IFERROR(INDEX(Destination!$B$2:$B$501,MATCH(D170,Destination!$A$2:$A$501,0)),"")</f>
        <v>Bharatpur</v>
      </c>
      <c r="F170" s="9" t="s">
        <v>1364</v>
      </c>
      <c r="G170" s="12" t="n">
        <f aca="false">INDEX(Destination!$F$2:$F$501,MATCH(B170,Destination!$A$2:$A$501,0))</f>
        <v>27.57</v>
      </c>
      <c r="H170" s="12" t="n">
        <f aca="false">INDEX(Destination!$G$2:$G$501,MATCH(B170,Destination!$A$2:$A$501,0))</f>
        <v>76.61</v>
      </c>
      <c r="I170" s="12" t="n">
        <f aca="false">INDEX(Destination!$F$2:$F$501,MATCH(D170,Destination!$A$2:$A$501,0))</f>
        <v>27.22</v>
      </c>
      <c r="J170" s="12" t="n">
        <f aca="false">INDEX(Destination!$G$2:$G$501,MATCH(D170,Destination!$A$2:$A$501,0))</f>
        <v>77.49</v>
      </c>
      <c r="K170" s="17" t="n">
        <f aca="false">Assumptions!$B$2*2*ASIN(SQRT(SIN(RADIANS(I170-G170)/2)^2+COS(RADIANS(G170))*COS(RADIANS(I170))*SIN(RADIANS(J170-H170)/2)^2))</f>
        <v>95.1963557151484</v>
      </c>
      <c r="L170" s="18" t="n">
        <f aca="false">K170*Assumptions!$B$3</f>
        <v>123.755262429693</v>
      </c>
      <c r="M170" s="19" t="n">
        <f aca="false">L170/Assumptions!$B$4</f>
        <v>2.75011694288207</v>
      </c>
      <c r="N170" s="9" t="s">
        <v>1365</v>
      </c>
    </row>
    <row r="171" customFormat="false" ht="15" hidden="false" customHeight="false" outlineLevel="0" collapsed="false">
      <c r="A171" s="9" t="s">
        <v>1534</v>
      </c>
      <c r="B171" s="9" t="s">
        <v>212</v>
      </c>
      <c r="C171" s="9" t="str">
        <f aca="false">IFERROR(INDEX(Destination!$B$2:$B$501,MATCH(B171,Destination!$A$2:$A$501,0)),"")</f>
        <v>Alwar</v>
      </c>
      <c r="D171" s="9" t="s">
        <v>216</v>
      </c>
      <c r="E171" s="9" t="str">
        <f aca="false">IFERROR(INDEX(Destination!$B$2:$B$501,MATCH(D171,Destination!$A$2:$A$501,0)),"")</f>
        <v>Dausa</v>
      </c>
      <c r="F171" s="9" t="s">
        <v>1364</v>
      </c>
      <c r="G171" s="12" t="n">
        <f aca="false">INDEX(Destination!$F$2:$F$501,MATCH(B171,Destination!$A$2:$A$501,0))</f>
        <v>27.57</v>
      </c>
      <c r="H171" s="12" t="n">
        <f aca="false">INDEX(Destination!$G$2:$G$501,MATCH(B171,Destination!$A$2:$A$501,0))</f>
        <v>76.61</v>
      </c>
      <c r="I171" s="12" t="n">
        <f aca="false">INDEX(Destination!$F$2:$F$501,MATCH(D171,Destination!$A$2:$A$501,0))</f>
        <v>26.89</v>
      </c>
      <c r="J171" s="12" t="n">
        <f aca="false">INDEX(Destination!$G$2:$G$501,MATCH(D171,Destination!$A$2:$A$501,0))</f>
        <v>76.34</v>
      </c>
      <c r="K171" s="17" t="n">
        <f aca="false">Assumptions!$B$2*2*ASIN(SQRT(SIN(RADIANS(I171-G171)/2)^2+COS(RADIANS(G171))*COS(RADIANS(I171))*SIN(RADIANS(J171-H171)/2)^2))</f>
        <v>80.1865850147787</v>
      </c>
      <c r="L171" s="18" t="n">
        <f aca="false">K171*Assumptions!$B$3</f>
        <v>104.242560519212</v>
      </c>
      <c r="M171" s="19" t="n">
        <f aca="false">L171/Assumptions!$B$4</f>
        <v>2.31650134487138</v>
      </c>
      <c r="N171" s="9" t="s">
        <v>1365</v>
      </c>
    </row>
    <row r="172" customFormat="false" ht="15" hidden="false" customHeight="false" outlineLevel="0" collapsed="false">
      <c r="A172" s="9" t="s">
        <v>1535</v>
      </c>
      <c r="B172" s="9" t="s">
        <v>212</v>
      </c>
      <c r="C172" s="9" t="str">
        <f aca="false">IFERROR(INDEX(Destination!$B$2:$B$501,MATCH(B172,Destination!$A$2:$A$501,0)),"")</f>
        <v>Alwar</v>
      </c>
      <c r="D172" s="9" t="s">
        <v>235</v>
      </c>
      <c r="E172" s="9" t="str">
        <f aca="false">IFERROR(INDEX(Destination!$B$2:$B$501,MATCH(D172,Destination!$A$2:$A$501,0)),"")</f>
        <v>Neemrana</v>
      </c>
      <c r="F172" s="9" t="s">
        <v>1364</v>
      </c>
      <c r="G172" s="12" t="n">
        <f aca="false">INDEX(Destination!$F$2:$F$501,MATCH(B172,Destination!$A$2:$A$501,0))</f>
        <v>27.57</v>
      </c>
      <c r="H172" s="12" t="n">
        <f aca="false">INDEX(Destination!$G$2:$G$501,MATCH(B172,Destination!$A$2:$A$501,0))</f>
        <v>76.61</v>
      </c>
      <c r="I172" s="12" t="n">
        <f aca="false">INDEX(Destination!$F$2:$F$501,MATCH(D172,Destination!$A$2:$A$501,0))</f>
        <v>27.99</v>
      </c>
      <c r="J172" s="12" t="n">
        <f aca="false">INDEX(Destination!$G$2:$G$501,MATCH(D172,Destination!$A$2:$A$501,0))</f>
        <v>76.38</v>
      </c>
      <c r="K172" s="17" t="n">
        <f aca="false">Assumptions!$B$2*2*ASIN(SQRT(SIN(RADIANS(I172-G172)/2)^2+COS(RADIANS(G172))*COS(RADIANS(I172))*SIN(RADIANS(J172-H172)/2)^2))</f>
        <v>51.894596966686</v>
      </c>
      <c r="L172" s="18" t="n">
        <f aca="false">K172*Assumptions!$B$3</f>
        <v>67.4629760566918</v>
      </c>
      <c r="M172" s="19" t="n">
        <f aca="false">L172/Assumptions!$B$4</f>
        <v>1.49917724570426</v>
      </c>
      <c r="N172" s="9" t="s">
        <v>1365</v>
      </c>
    </row>
    <row r="173" customFormat="false" ht="15" hidden="false" customHeight="false" outlineLevel="0" collapsed="false">
      <c r="A173" s="9" t="s">
        <v>1536</v>
      </c>
      <c r="B173" s="9" t="s">
        <v>214</v>
      </c>
      <c r="C173" s="9" t="str">
        <f aca="false">IFERROR(INDEX(Destination!$B$2:$B$501,MATCH(B173,Destination!$A$2:$A$501,0)),"")</f>
        <v>Bharatpur</v>
      </c>
      <c r="D173" s="9" t="s">
        <v>997</v>
      </c>
      <c r="E173" s="9" t="str">
        <f aca="false">IFERROR(INDEX(Destination!$B$2:$B$501,MATCH(D173,Destination!$A$2:$A$501,0)),"")</f>
        <v>Fatehpur Sikri</v>
      </c>
      <c r="F173" s="9" t="s">
        <v>1364</v>
      </c>
      <c r="G173" s="12" t="n">
        <f aca="false">INDEX(Destination!$F$2:$F$501,MATCH(B173,Destination!$A$2:$A$501,0))</f>
        <v>27.22</v>
      </c>
      <c r="H173" s="12" t="n">
        <f aca="false">INDEX(Destination!$G$2:$G$501,MATCH(B173,Destination!$A$2:$A$501,0))</f>
        <v>77.49</v>
      </c>
      <c r="I173" s="12" t="n">
        <f aca="false">INDEX(Destination!$F$2:$F$501,MATCH(D173,Destination!$A$2:$A$501,0))</f>
        <v>27.09</v>
      </c>
      <c r="J173" s="12" t="n">
        <f aca="false">INDEX(Destination!$G$2:$G$501,MATCH(D173,Destination!$A$2:$A$501,0))</f>
        <v>77.67</v>
      </c>
      <c r="K173" s="17" t="n">
        <f aca="false">Assumptions!$B$2*2*ASIN(SQRT(SIN(RADIANS(I173-G173)/2)^2+COS(RADIANS(G173))*COS(RADIANS(I173))*SIN(RADIANS(J173-H173)/2)^2))</f>
        <v>22.9371840524937</v>
      </c>
      <c r="L173" s="18" t="n">
        <f aca="false">K173*Assumptions!$B$3</f>
        <v>29.8183392682418</v>
      </c>
      <c r="M173" s="19" t="n">
        <f aca="false">L173/Assumptions!$B$4</f>
        <v>0.662629761516485</v>
      </c>
      <c r="N173" s="9" t="s">
        <v>1365</v>
      </c>
    </row>
    <row r="174" customFormat="false" ht="15" hidden="false" customHeight="false" outlineLevel="0" collapsed="false">
      <c r="A174" s="9" t="s">
        <v>1537</v>
      </c>
      <c r="B174" s="9" t="s">
        <v>216</v>
      </c>
      <c r="C174" s="9" t="str">
        <f aca="false">IFERROR(INDEX(Destination!$B$2:$B$501,MATCH(B174,Destination!$A$2:$A$501,0)),"")</f>
        <v>Dausa</v>
      </c>
      <c r="D174" s="9" t="s">
        <v>241</v>
      </c>
      <c r="E174" s="9" t="str">
        <f aca="false">IFERROR(INDEX(Destination!$B$2:$B$501,MATCH(D174,Destination!$A$2:$A$501,0)),"")</f>
        <v>Karauli</v>
      </c>
      <c r="F174" s="9" t="s">
        <v>1364</v>
      </c>
      <c r="G174" s="12" t="n">
        <f aca="false">INDEX(Destination!$F$2:$F$501,MATCH(B174,Destination!$A$2:$A$501,0))</f>
        <v>26.89</v>
      </c>
      <c r="H174" s="12" t="n">
        <f aca="false">INDEX(Destination!$G$2:$G$501,MATCH(B174,Destination!$A$2:$A$501,0))</f>
        <v>76.34</v>
      </c>
      <c r="I174" s="12" t="n">
        <f aca="false">INDEX(Destination!$F$2:$F$501,MATCH(D174,Destination!$A$2:$A$501,0))</f>
        <v>26.5</v>
      </c>
      <c r="J174" s="12" t="n">
        <f aca="false">INDEX(Destination!$G$2:$G$501,MATCH(D174,Destination!$A$2:$A$501,0))</f>
        <v>77.02</v>
      </c>
      <c r="K174" s="17" t="n">
        <f aca="false">Assumptions!$B$2*2*ASIN(SQRT(SIN(RADIANS(I174-G174)/2)^2+COS(RADIANS(G174))*COS(RADIANS(I174))*SIN(RADIANS(J174-H174)/2)^2))</f>
        <v>80.274435798264</v>
      </c>
      <c r="L174" s="18" t="n">
        <f aca="false">K174*Assumptions!$B$3</f>
        <v>104.356766537743</v>
      </c>
      <c r="M174" s="19" t="n">
        <f aca="false">L174/Assumptions!$B$4</f>
        <v>2.31903925639429</v>
      </c>
      <c r="N174" s="9" t="s">
        <v>1365</v>
      </c>
    </row>
    <row r="175" customFormat="false" ht="15" hidden="false" customHeight="false" outlineLevel="0" collapsed="false">
      <c r="A175" s="9" t="s">
        <v>1538</v>
      </c>
      <c r="B175" s="9" t="s">
        <v>218</v>
      </c>
      <c r="C175" s="9" t="str">
        <f aca="false">IFERROR(INDEX(Destination!$B$2:$B$501,MATCH(B175,Destination!$A$2:$A$501,0)),"")</f>
        <v>Shekhawati</v>
      </c>
      <c r="D175" s="9" t="s">
        <v>221</v>
      </c>
      <c r="E175" s="9" t="str">
        <f aca="false">IFERROR(INDEX(Destination!$B$2:$B$501,MATCH(D175,Destination!$A$2:$A$501,0)),"")</f>
        <v>Mandawa</v>
      </c>
      <c r="F175" s="9" t="s">
        <v>1364</v>
      </c>
      <c r="G175" s="12" t="n">
        <f aca="false">INDEX(Destination!$F$2:$F$501,MATCH(B175,Destination!$A$2:$A$501,0))</f>
        <v>27.8</v>
      </c>
      <c r="H175" s="12" t="n">
        <f aca="false">INDEX(Destination!$G$2:$G$501,MATCH(B175,Destination!$A$2:$A$501,0))</f>
        <v>75.4</v>
      </c>
      <c r="I175" s="12" t="n">
        <f aca="false">INDEX(Destination!$F$2:$F$501,MATCH(D175,Destination!$A$2:$A$501,0))</f>
        <v>28.06</v>
      </c>
      <c r="J175" s="12" t="n">
        <f aca="false">INDEX(Destination!$G$2:$G$501,MATCH(D175,Destination!$A$2:$A$501,0))</f>
        <v>75.15</v>
      </c>
      <c r="K175" s="17" t="n">
        <f aca="false">Assumptions!$B$2*2*ASIN(SQRT(SIN(RADIANS(I175-G175)/2)^2+COS(RADIANS(G175))*COS(RADIANS(I175))*SIN(RADIANS(J175-H175)/2)^2))</f>
        <v>37.9348884512594</v>
      </c>
      <c r="L175" s="18" t="n">
        <f aca="false">K175*Assumptions!$B$3</f>
        <v>49.3153549866372</v>
      </c>
      <c r="M175" s="19" t="n">
        <f aca="false">L175/Assumptions!$B$4</f>
        <v>1.09589677748083</v>
      </c>
      <c r="N175" s="9" t="s">
        <v>1365</v>
      </c>
    </row>
    <row r="176" customFormat="false" ht="15" hidden="false" customHeight="false" outlineLevel="0" collapsed="false">
      <c r="A176" s="9" t="s">
        <v>1539</v>
      </c>
      <c r="B176" s="9" t="s">
        <v>218</v>
      </c>
      <c r="C176" s="9" t="str">
        <f aca="false">IFERROR(INDEX(Destination!$B$2:$B$501,MATCH(B176,Destination!$A$2:$A$501,0)),"")</f>
        <v>Shekhawati</v>
      </c>
      <c r="D176" s="9" t="s">
        <v>223</v>
      </c>
      <c r="E176" s="9" t="str">
        <f aca="false">IFERROR(INDEX(Destination!$B$2:$B$501,MATCH(D176,Destination!$A$2:$A$501,0)),"")</f>
        <v>Nawalgarh</v>
      </c>
      <c r="F176" s="9" t="s">
        <v>1364</v>
      </c>
      <c r="G176" s="12" t="n">
        <f aca="false">INDEX(Destination!$F$2:$F$501,MATCH(B176,Destination!$A$2:$A$501,0))</f>
        <v>27.8</v>
      </c>
      <c r="H176" s="12" t="n">
        <f aca="false">INDEX(Destination!$G$2:$G$501,MATCH(B176,Destination!$A$2:$A$501,0))</f>
        <v>75.4</v>
      </c>
      <c r="I176" s="12" t="n">
        <f aca="false">INDEX(Destination!$F$2:$F$501,MATCH(D176,Destination!$A$2:$A$501,0))</f>
        <v>27.85</v>
      </c>
      <c r="J176" s="12" t="n">
        <f aca="false">INDEX(Destination!$G$2:$G$501,MATCH(D176,Destination!$A$2:$A$501,0))</f>
        <v>75.27</v>
      </c>
      <c r="K176" s="17" t="n">
        <f aca="false">Assumptions!$B$2*2*ASIN(SQRT(SIN(RADIANS(I176-G176)/2)^2+COS(RADIANS(G176))*COS(RADIANS(I176))*SIN(RADIANS(J176-H176)/2)^2))</f>
        <v>13.9406167294305</v>
      </c>
      <c r="L176" s="18" t="n">
        <f aca="false">K176*Assumptions!$B$3</f>
        <v>18.1228017482597</v>
      </c>
      <c r="M176" s="19" t="n">
        <f aca="false">L176/Assumptions!$B$4</f>
        <v>0.402728927739104</v>
      </c>
      <c r="N176" s="9" t="s">
        <v>1365</v>
      </c>
    </row>
    <row r="177" customFormat="false" ht="15" hidden="false" customHeight="false" outlineLevel="0" collapsed="false">
      <c r="A177" s="9" t="s">
        <v>1540</v>
      </c>
      <c r="B177" s="9" t="s">
        <v>218</v>
      </c>
      <c r="C177" s="9" t="str">
        <f aca="false">IFERROR(INDEX(Destination!$B$2:$B$501,MATCH(B177,Destination!$A$2:$A$501,0)),"")</f>
        <v>Shekhawati</v>
      </c>
      <c r="D177" s="9" t="s">
        <v>235</v>
      </c>
      <c r="E177" s="9" t="str">
        <f aca="false">IFERROR(INDEX(Destination!$B$2:$B$501,MATCH(D177,Destination!$A$2:$A$501,0)),"")</f>
        <v>Neemrana</v>
      </c>
      <c r="F177" s="9" t="s">
        <v>1364</v>
      </c>
      <c r="G177" s="12" t="n">
        <f aca="false">INDEX(Destination!$F$2:$F$501,MATCH(B177,Destination!$A$2:$A$501,0))</f>
        <v>27.8</v>
      </c>
      <c r="H177" s="12" t="n">
        <f aca="false">INDEX(Destination!$G$2:$G$501,MATCH(B177,Destination!$A$2:$A$501,0))</f>
        <v>75.4</v>
      </c>
      <c r="I177" s="12" t="n">
        <f aca="false">INDEX(Destination!$F$2:$F$501,MATCH(D177,Destination!$A$2:$A$501,0))</f>
        <v>27.99</v>
      </c>
      <c r="J177" s="12" t="n">
        <f aca="false">INDEX(Destination!$G$2:$G$501,MATCH(D177,Destination!$A$2:$A$501,0))</f>
        <v>76.38</v>
      </c>
      <c r="K177" s="17" t="n">
        <f aca="false">Assumptions!$B$2*2*ASIN(SQRT(SIN(RADIANS(I177-G177)/2)^2+COS(RADIANS(G177))*COS(RADIANS(I177))*SIN(RADIANS(J177-H177)/2)^2))</f>
        <v>98.5990239944271</v>
      </c>
      <c r="L177" s="18" t="n">
        <f aca="false">K177*Assumptions!$B$3</f>
        <v>128.178731192755</v>
      </c>
      <c r="M177" s="19" t="n">
        <f aca="false">L177/Assumptions!$B$4</f>
        <v>2.8484162487279</v>
      </c>
      <c r="N177" s="9" t="s">
        <v>1365</v>
      </c>
    </row>
    <row r="178" customFormat="false" ht="15" hidden="false" customHeight="false" outlineLevel="0" collapsed="false">
      <c r="A178" s="9" t="s">
        <v>1541</v>
      </c>
      <c r="B178" s="9" t="s">
        <v>221</v>
      </c>
      <c r="C178" s="9" t="str">
        <f aca="false">IFERROR(INDEX(Destination!$B$2:$B$501,MATCH(B178,Destination!$A$2:$A$501,0)),"")</f>
        <v>Mandawa</v>
      </c>
      <c r="D178" s="9" t="s">
        <v>223</v>
      </c>
      <c r="E178" s="9" t="str">
        <f aca="false">IFERROR(INDEX(Destination!$B$2:$B$501,MATCH(D178,Destination!$A$2:$A$501,0)),"")</f>
        <v>Nawalgarh</v>
      </c>
      <c r="F178" s="9" t="s">
        <v>1364</v>
      </c>
      <c r="G178" s="12" t="n">
        <f aca="false">INDEX(Destination!$F$2:$F$501,MATCH(B178,Destination!$A$2:$A$501,0))</f>
        <v>28.06</v>
      </c>
      <c r="H178" s="12" t="n">
        <f aca="false">INDEX(Destination!$G$2:$G$501,MATCH(B178,Destination!$A$2:$A$501,0))</f>
        <v>75.15</v>
      </c>
      <c r="I178" s="12" t="n">
        <f aca="false">INDEX(Destination!$F$2:$F$501,MATCH(D178,Destination!$A$2:$A$501,0))</f>
        <v>27.85</v>
      </c>
      <c r="J178" s="12" t="n">
        <f aca="false">INDEX(Destination!$G$2:$G$501,MATCH(D178,Destination!$A$2:$A$501,0))</f>
        <v>75.27</v>
      </c>
      <c r="K178" s="17" t="n">
        <f aca="false">Assumptions!$B$2*2*ASIN(SQRT(SIN(RADIANS(I178-G178)/2)^2+COS(RADIANS(G178))*COS(RADIANS(I178))*SIN(RADIANS(J178-H178)/2)^2))</f>
        <v>26.1569458476291</v>
      </c>
      <c r="L178" s="18" t="n">
        <f aca="false">K178*Assumptions!$B$3</f>
        <v>34.0040296019179</v>
      </c>
      <c r="M178" s="19" t="n">
        <f aca="false">L178/Assumptions!$B$4</f>
        <v>0.755645102264842</v>
      </c>
      <c r="N178" s="9" t="s">
        <v>1365</v>
      </c>
    </row>
    <row r="179" customFormat="false" ht="15" hidden="false" customHeight="false" outlineLevel="0" collapsed="false">
      <c r="A179" s="9" t="s">
        <v>1542</v>
      </c>
      <c r="B179" s="9" t="s">
        <v>221</v>
      </c>
      <c r="C179" s="9" t="str">
        <f aca="false">IFERROR(INDEX(Destination!$B$2:$B$501,MATCH(B179,Destination!$A$2:$A$501,0)),"")</f>
        <v>Mandawa</v>
      </c>
      <c r="D179" s="9" t="s">
        <v>235</v>
      </c>
      <c r="E179" s="9" t="str">
        <f aca="false">IFERROR(INDEX(Destination!$B$2:$B$501,MATCH(D179,Destination!$A$2:$A$501,0)),"")</f>
        <v>Neemrana</v>
      </c>
      <c r="F179" s="9" t="s">
        <v>1364</v>
      </c>
      <c r="G179" s="12" t="n">
        <f aca="false">INDEX(Destination!$F$2:$F$501,MATCH(B179,Destination!$A$2:$A$501,0))</f>
        <v>28.06</v>
      </c>
      <c r="H179" s="12" t="n">
        <f aca="false">INDEX(Destination!$G$2:$G$501,MATCH(B179,Destination!$A$2:$A$501,0))</f>
        <v>75.15</v>
      </c>
      <c r="I179" s="12" t="n">
        <f aca="false">INDEX(Destination!$F$2:$F$501,MATCH(D179,Destination!$A$2:$A$501,0))</f>
        <v>27.99</v>
      </c>
      <c r="J179" s="12" t="n">
        <f aca="false">INDEX(Destination!$G$2:$G$501,MATCH(D179,Destination!$A$2:$A$501,0))</f>
        <v>76.38</v>
      </c>
      <c r="K179" s="17" t="n">
        <f aca="false">Assumptions!$B$2*2*ASIN(SQRT(SIN(RADIANS(I179-G179)/2)^2+COS(RADIANS(G179))*COS(RADIANS(I179))*SIN(RADIANS(J179-H179)/2)^2))</f>
        <v>120.982623633077</v>
      </c>
      <c r="L179" s="18" t="n">
        <f aca="false">K179*Assumptions!$B$3</f>
        <v>157.277410723001</v>
      </c>
      <c r="M179" s="19" t="n">
        <f aca="false">L179/Assumptions!$B$4</f>
        <v>3.49505357162224</v>
      </c>
      <c r="N179" s="9" t="s">
        <v>1365</v>
      </c>
    </row>
    <row r="180" customFormat="false" ht="15" hidden="false" customHeight="false" outlineLevel="0" collapsed="false">
      <c r="A180" s="9" t="s">
        <v>1543</v>
      </c>
      <c r="B180" s="9" t="s">
        <v>223</v>
      </c>
      <c r="C180" s="9" t="str">
        <f aca="false">IFERROR(INDEX(Destination!$B$2:$B$501,MATCH(B180,Destination!$A$2:$A$501,0)),"")</f>
        <v>Nawalgarh</v>
      </c>
      <c r="D180" s="9" t="s">
        <v>235</v>
      </c>
      <c r="E180" s="9" t="str">
        <f aca="false">IFERROR(INDEX(Destination!$B$2:$B$501,MATCH(D180,Destination!$A$2:$A$501,0)),"")</f>
        <v>Neemrana</v>
      </c>
      <c r="F180" s="9" t="s">
        <v>1364</v>
      </c>
      <c r="G180" s="12" t="n">
        <f aca="false">INDEX(Destination!$F$2:$F$501,MATCH(B180,Destination!$A$2:$A$501,0))</f>
        <v>27.85</v>
      </c>
      <c r="H180" s="12" t="n">
        <f aca="false">INDEX(Destination!$G$2:$G$501,MATCH(B180,Destination!$A$2:$A$501,0))</f>
        <v>75.27</v>
      </c>
      <c r="I180" s="12" t="n">
        <f aca="false">INDEX(Destination!$F$2:$F$501,MATCH(D180,Destination!$A$2:$A$501,0))</f>
        <v>27.99</v>
      </c>
      <c r="J180" s="12" t="n">
        <f aca="false">INDEX(Destination!$G$2:$G$501,MATCH(D180,Destination!$A$2:$A$501,0))</f>
        <v>76.38</v>
      </c>
      <c r="K180" s="17" t="n">
        <f aca="false">Assumptions!$B$2*2*ASIN(SQRT(SIN(RADIANS(I180-G180)/2)^2+COS(RADIANS(G180))*COS(RADIANS(I180))*SIN(RADIANS(J180-H180)/2)^2))</f>
        <v>110.164837395763</v>
      </c>
      <c r="L180" s="18" t="n">
        <f aca="false">K180*Assumptions!$B$3</f>
        <v>143.214288614492</v>
      </c>
      <c r="M180" s="19" t="n">
        <f aca="false">L180/Assumptions!$B$4</f>
        <v>3.18253974698872</v>
      </c>
      <c r="N180" s="9" t="s">
        <v>1365</v>
      </c>
    </row>
    <row r="181" customFormat="false" ht="15" hidden="false" customHeight="false" outlineLevel="0" collapsed="false">
      <c r="A181" s="9" t="s">
        <v>1544</v>
      </c>
      <c r="B181" s="9" t="s">
        <v>227</v>
      </c>
      <c r="C181" s="9" t="str">
        <f aca="false">IFERROR(INDEX(Destination!$B$2:$B$501,MATCH(B181,Destination!$A$2:$A$501,0)),"")</f>
        <v>Nagaur</v>
      </c>
      <c r="D181" s="9" t="s">
        <v>237</v>
      </c>
      <c r="E181" s="9" t="str">
        <f aca="false">IFERROR(INDEX(Destination!$B$2:$B$501,MATCH(D181,Destination!$A$2:$A$501,0)),"")</f>
        <v>Osian</v>
      </c>
      <c r="F181" s="9" t="s">
        <v>1364</v>
      </c>
      <c r="G181" s="12" t="n">
        <f aca="false">INDEX(Destination!$F$2:$F$501,MATCH(B181,Destination!$A$2:$A$501,0))</f>
        <v>27.2</v>
      </c>
      <c r="H181" s="12" t="n">
        <f aca="false">INDEX(Destination!$G$2:$G$501,MATCH(B181,Destination!$A$2:$A$501,0))</f>
        <v>73.73</v>
      </c>
      <c r="I181" s="12" t="n">
        <f aca="false">INDEX(Destination!$F$2:$F$501,MATCH(D181,Destination!$A$2:$A$501,0))</f>
        <v>26.72</v>
      </c>
      <c r="J181" s="12" t="n">
        <f aca="false">INDEX(Destination!$G$2:$G$501,MATCH(D181,Destination!$A$2:$A$501,0))</f>
        <v>72.9</v>
      </c>
      <c r="K181" s="17" t="n">
        <f aca="false">Assumptions!$B$2*2*ASIN(SQRT(SIN(RADIANS(I181-G181)/2)^2+COS(RADIANS(G181))*COS(RADIANS(I181))*SIN(RADIANS(J181-H181)/2)^2))</f>
        <v>98.0594178846339</v>
      </c>
      <c r="L181" s="18" t="n">
        <f aca="false">K181*Assumptions!$B$3</f>
        <v>127.477243250024</v>
      </c>
      <c r="M181" s="19" t="n">
        <f aca="false">L181/Assumptions!$B$4</f>
        <v>2.83282762777831</v>
      </c>
      <c r="N181" s="9" t="s">
        <v>1365</v>
      </c>
    </row>
    <row r="182" customFormat="false" ht="15" hidden="false" customHeight="false" outlineLevel="0" collapsed="false">
      <c r="A182" s="9" t="s">
        <v>1545</v>
      </c>
      <c r="B182" s="9" t="s">
        <v>229</v>
      </c>
      <c r="C182" s="9" t="str">
        <f aca="false">IFERROR(INDEX(Destination!$B$2:$B$501,MATCH(B182,Destination!$A$2:$A$501,0)),"")</f>
        <v>Kumbhalgarh</v>
      </c>
      <c r="D182" s="9" t="s">
        <v>231</v>
      </c>
      <c r="E182" s="9" t="str">
        <f aca="false">IFERROR(INDEX(Destination!$B$2:$B$501,MATCH(D182,Destination!$A$2:$A$501,0)),"")</f>
        <v>Ranakpur</v>
      </c>
      <c r="F182" s="9" t="s">
        <v>1364</v>
      </c>
      <c r="G182" s="12" t="n">
        <f aca="false">INDEX(Destination!$F$2:$F$501,MATCH(B182,Destination!$A$2:$A$501,0))</f>
        <v>25.15</v>
      </c>
      <c r="H182" s="12" t="n">
        <f aca="false">INDEX(Destination!$G$2:$G$501,MATCH(B182,Destination!$A$2:$A$501,0))</f>
        <v>73.58</v>
      </c>
      <c r="I182" s="12" t="n">
        <f aca="false">INDEX(Destination!$F$2:$F$501,MATCH(D182,Destination!$A$2:$A$501,0))</f>
        <v>25.12</v>
      </c>
      <c r="J182" s="12" t="n">
        <f aca="false">INDEX(Destination!$G$2:$G$501,MATCH(D182,Destination!$A$2:$A$501,0))</f>
        <v>73.47</v>
      </c>
      <c r="K182" s="17" t="n">
        <f aca="false">Assumptions!$B$2*2*ASIN(SQRT(SIN(RADIANS(I182-G182)/2)^2+COS(RADIANS(G182))*COS(RADIANS(I182))*SIN(RADIANS(J182-H182)/2)^2))</f>
        <v>11.5647968587638</v>
      </c>
      <c r="L182" s="18" t="n">
        <f aca="false">K182*Assumptions!$B$3</f>
        <v>15.034235916393</v>
      </c>
      <c r="M182" s="19" t="n">
        <f aca="false">L182/Assumptions!$B$4</f>
        <v>0.3340941314754</v>
      </c>
      <c r="N182" s="9" t="s">
        <v>1365</v>
      </c>
    </row>
    <row r="183" customFormat="false" ht="15" hidden="false" customHeight="false" outlineLevel="0" collapsed="false">
      <c r="A183" s="9" t="s">
        <v>1546</v>
      </c>
      <c r="B183" s="9" t="s">
        <v>229</v>
      </c>
      <c r="C183" s="9" t="str">
        <f aca="false">IFERROR(INDEX(Destination!$B$2:$B$501,MATCH(B183,Destination!$A$2:$A$501,0)),"")</f>
        <v>Kumbhalgarh</v>
      </c>
      <c r="D183" s="9" t="s">
        <v>233</v>
      </c>
      <c r="E183" s="9" t="str">
        <f aca="false">IFERROR(INDEX(Destination!$B$2:$B$501,MATCH(D183,Destination!$A$2:$A$501,0)),"")</f>
        <v>Nathdwara</v>
      </c>
      <c r="F183" s="9" t="s">
        <v>1364</v>
      </c>
      <c r="G183" s="12" t="n">
        <f aca="false">INDEX(Destination!$F$2:$F$501,MATCH(B183,Destination!$A$2:$A$501,0))</f>
        <v>25.15</v>
      </c>
      <c r="H183" s="12" t="n">
        <f aca="false">INDEX(Destination!$G$2:$G$501,MATCH(B183,Destination!$A$2:$A$501,0))</f>
        <v>73.58</v>
      </c>
      <c r="I183" s="12" t="n">
        <f aca="false">INDEX(Destination!$F$2:$F$501,MATCH(D183,Destination!$A$2:$A$501,0))</f>
        <v>24.94</v>
      </c>
      <c r="J183" s="12" t="n">
        <f aca="false">INDEX(Destination!$G$2:$G$501,MATCH(D183,Destination!$A$2:$A$501,0))</f>
        <v>73.82</v>
      </c>
      <c r="K183" s="17" t="n">
        <f aca="false">Assumptions!$B$2*2*ASIN(SQRT(SIN(RADIANS(I183-G183)/2)^2+COS(RADIANS(G183))*COS(RADIANS(I183))*SIN(RADIANS(J183-H183)/2)^2))</f>
        <v>33.6127945757038</v>
      </c>
      <c r="L183" s="18" t="n">
        <f aca="false">K183*Assumptions!$B$3</f>
        <v>43.6966329484149</v>
      </c>
      <c r="M183" s="19" t="n">
        <f aca="false">L183/Assumptions!$B$4</f>
        <v>0.971036287742554</v>
      </c>
      <c r="N183" s="9" t="s">
        <v>1365</v>
      </c>
    </row>
    <row r="184" customFormat="false" ht="15" hidden="false" customHeight="false" outlineLevel="0" collapsed="false">
      <c r="A184" s="9" t="s">
        <v>1547</v>
      </c>
      <c r="B184" s="9" t="s">
        <v>231</v>
      </c>
      <c r="C184" s="9" t="str">
        <f aca="false">IFERROR(INDEX(Destination!$B$2:$B$501,MATCH(B184,Destination!$A$2:$A$501,0)),"")</f>
        <v>Ranakpur</v>
      </c>
      <c r="D184" s="9" t="s">
        <v>233</v>
      </c>
      <c r="E184" s="9" t="str">
        <f aca="false">IFERROR(INDEX(Destination!$B$2:$B$501,MATCH(D184,Destination!$A$2:$A$501,0)),"")</f>
        <v>Nathdwara</v>
      </c>
      <c r="F184" s="9" t="s">
        <v>1364</v>
      </c>
      <c r="G184" s="12" t="n">
        <f aca="false">INDEX(Destination!$F$2:$F$501,MATCH(B184,Destination!$A$2:$A$501,0))</f>
        <v>25.12</v>
      </c>
      <c r="H184" s="12" t="n">
        <f aca="false">INDEX(Destination!$G$2:$G$501,MATCH(B184,Destination!$A$2:$A$501,0))</f>
        <v>73.47</v>
      </c>
      <c r="I184" s="12" t="n">
        <f aca="false">INDEX(Destination!$F$2:$F$501,MATCH(D184,Destination!$A$2:$A$501,0))</f>
        <v>24.94</v>
      </c>
      <c r="J184" s="12" t="n">
        <f aca="false">INDEX(Destination!$G$2:$G$501,MATCH(D184,Destination!$A$2:$A$501,0))</f>
        <v>73.82</v>
      </c>
      <c r="K184" s="17" t="n">
        <f aca="false">Assumptions!$B$2*2*ASIN(SQRT(SIN(RADIANS(I184-G184)/2)^2+COS(RADIANS(G184))*COS(RADIANS(I184))*SIN(RADIANS(J184-H184)/2)^2))</f>
        <v>40.5474997871417</v>
      </c>
      <c r="L184" s="18" t="n">
        <f aca="false">K184*Assumptions!$B$3</f>
        <v>52.7117497232843</v>
      </c>
      <c r="M184" s="19" t="n">
        <f aca="false">L184/Assumptions!$B$4</f>
        <v>1.17137221607298</v>
      </c>
      <c r="N184" s="9" t="s">
        <v>1365</v>
      </c>
    </row>
    <row r="185" customFormat="false" ht="15" hidden="false" customHeight="false" outlineLevel="0" collapsed="false">
      <c r="A185" s="9" t="s">
        <v>1548</v>
      </c>
      <c r="B185" s="9" t="s">
        <v>235</v>
      </c>
      <c r="C185" s="9" t="str">
        <f aca="false">IFERROR(INDEX(Destination!$B$2:$B$501,MATCH(B185,Destination!$A$2:$A$501,0)),"")</f>
        <v>Neemrana</v>
      </c>
      <c r="D185" s="9" t="s">
        <v>935</v>
      </c>
      <c r="E185" s="9" t="str">
        <f aca="false">IFERROR(INDEX(Destination!$B$2:$B$501,MATCH(D185,Destination!$A$2:$A$501,0)),"")</f>
        <v>Mehrauli</v>
      </c>
      <c r="F185" s="9" t="s">
        <v>1364</v>
      </c>
      <c r="G185" s="12" t="n">
        <f aca="false">INDEX(Destination!$F$2:$F$501,MATCH(B185,Destination!$A$2:$A$501,0))</f>
        <v>27.99</v>
      </c>
      <c r="H185" s="12" t="n">
        <f aca="false">INDEX(Destination!$G$2:$G$501,MATCH(B185,Destination!$A$2:$A$501,0))</f>
        <v>76.38</v>
      </c>
      <c r="I185" s="12" t="n">
        <f aca="false">INDEX(Destination!$F$2:$F$501,MATCH(D185,Destination!$A$2:$A$501,0))</f>
        <v>28.52</v>
      </c>
      <c r="J185" s="12" t="n">
        <f aca="false">INDEX(Destination!$G$2:$G$501,MATCH(D185,Destination!$A$2:$A$501,0))</f>
        <v>77.18</v>
      </c>
      <c r="K185" s="17" t="n">
        <f aca="false">Assumptions!$B$2*2*ASIN(SQRT(SIN(RADIANS(I185-G185)/2)^2+COS(RADIANS(G185))*COS(RADIANS(I185))*SIN(RADIANS(J185-H185)/2)^2))</f>
        <v>98.0449777330711</v>
      </c>
      <c r="L185" s="18" t="n">
        <f aca="false">K185*Assumptions!$B$3</f>
        <v>127.458471052992</v>
      </c>
      <c r="M185" s="19" t="n">
        <f aca="false">L185/Assumptions!$B$4</f>
        <v>2.83241046784428</v>
      </c>
      <c r="N185" s="9" t="s">
        <v>1365</v>
      </c>
    </row>
    <row r="186" customFormat="false" ht="15" hidden="false" customHeight="false" outlineLevel="0" collapsed="false">
      <c r="A186" s="9" t="s">
        <v>1549</v>
      </c>
      <c r="B186" s="9" t="s">
        <v>235</v>
      </c>
      <c r="C186" s="9" t="str">
        <f aca="false">IFERROR(INDEX(Destination!$B$2:$B$501,MATCH(B186,Destination!$A$2:$A$501,0)),"")</f>
        <v>Neemrana</v>
      </c>
      <c r="D186" s="9" t="s">
        <v>939</v>
      </c>
      <c r="E186" s="9" t="str">
        <f aca="false">IFERROR(INDEX(Destination!$B$2:$B$501,MATCH(D186,Destination!$A$2:$A$501,0)),"")</f>
        <v>Nizamuddin</v>
      </c>
      <c r="F186" s="9" t="s">
        <v>1364</v>
      </c>
      <c r="G186" s="12" t="n">
        <f aca="false">INDEX(Destination!$F$2:$F$501,MATCH(B186,Destination!$A$2:$A$501,0))</f>
        <v>27.99</v>
      </c>
      <c r="H186" s="12" t="n">
        <f aca="false">INDEX(Destination!$G$2:$G$501,MATCH(B186,Destination!$A$2:$A$501,0))</f>
        <v>76.38</v>
      </c>
      <c r="I186" s="12" t="n">
        <f aca="false">INDEX(Destination!$F$2:$F$501,MATCH(D186,Destination!$A$2:$A$501,0))</f>
        <v>28.59</v>
      </c>
      <c r="J186" s="12" t="n">
        <f aca="false">INDEX(Destination!$G$2:$G$501,MATCH(D186,Destination!$A$2:$A$501,0))</f>
        <v>77.25</v>
      </c>
      <c r="K186" s="17" t="n">
        <f aca="false">Assumptions!$B$2*2*ASIN(SQRT(SIN(RADIANS(I186-G186)/2)^2+COS(RADIANS(G186))*COS(RADIANS(I186))*SIN(RADIANS(J186-H186)/2)^2))</f>
        <v>108.20112878859</v>
      </c>
      <c r="L186" s="18" t="n">
        <f aca="false">K186*Assumptions!$B$3</f>
        <v>140.661467425167</v>
      </c>
      <c r="M186" s="19" t="n">
        <f aca="false">L186/Assumptions!$B$4</f>
        <v>3.12581038722594</v>
      </c>
      <c r="N186" s="9" t="s">
        <v>1365</v>
      </c>
    </row>
    <row r="187" customFormat="false" ht="15" hidden="false" customHeight="false" outlineLevel="0" collapsed="false">
      <c r="A187" s="9" t="s">
        <v>1550</v>
      </c>
      <c r="B187" s="9" t="s">
        <v>235</v>
      </c>
      <c r="C187" s="9" t="str">
        <f aca="false">IFERROR(INDEX(Destination!$B$2:$B$501,MATCH(B187,Destination!$A$2:$A$501,0)),"")</f>
        <v>Neemrana</v>
      </c>
      <c r="D187" s="9" t="s">
        <v>952</v>
      </c>
      <c r="E187" s="9" t="str">
        <f aca="false">IFERROR(INDEX(Destination!$B$2:$B$501,MATCH(D187,Destination!$A$2:$A$501,0)),"")</f>
        <v>Humayun's Tomb</v>
      </c>
      <c r="F187" s="9" t="s">
        <v>1364</v>
      </c>
      <c r="G187" s="12" t="n">
        <f aca="false">INDEX(Destination!$F$2:$F$501,MATCH(B187,Destination!$A$2:$A$501,0))</f>
        <v>27.99</v>
      </c>
      <c r="H187" s="12" t="n">
        <f aca="false">INDEX(Destination!$G$2:$G$501,MATCH(B187,Destination!$A$2:$A$501,0))</f>
        <v>76.38</v>
      </c>
      <c r="I187" s="12" t="n">
        <f aca="false">INDEX(Destination!$F$2:$F$501,MATCH(D187,Destination!$A$2:$A$501,0))</f>
        <v>28.59</v>
      </c>
      <c r="J187" s="12" t="n">
        <f aca="false">INDEX(Destination!$G$2:$G$501,MATCH(D187,Destination!$A$2:$A$501,0))</f>
        <v>77.25</v>
      </c>
      <c r="K187" s="17" t="n">
        <f aca="false">Assumptions!$B$2*2*ASIN(SQRT(SIN(RADIANS(I187-G187)/2)^2+COS(RADIANS(G187))*COS(RADIANS(I187))*SIN(RADIANS(J187-H187)/2)^2))</f>
        <v>108.20112878859</v>
      </c>
      <c r="L187" s="18" t="n">
        <f aca="false">K187*Assumptions!$B$3</f>
        <v>140.661467425167</v>
      </c>
      <c r="M187" s="19" t="n">
        <f aca="false">L187/Assumptions!$B$4</f>
        <v>3.12581038722594</v>
      </c>
      <c r="N187" s="9" t="s">
        <v>1365</v>
      </c>
    </row>
    <row r="188" customFormat="false" ht="15" hidden="false" customHeight="false" outlineLevel="0" collapsed="false">
      <c r="A188" s="9" t="s">
        <v>1551</v>
      </c>
      <c r="B188" s="9" t="s">
        <v>235</v>
      </c>
      <c r="C188" s="9" t="str">
        <f aca="false">IFERROR(INDEX(Destination!$B$2:$B$501,MATCH(B188,Destination!$A$2:$A$501,0)),"")</f>
        <v>Neemrana</v>
      </c>
      <c r="D188" s="9" t="s">
        <v>954</v>
      </c>
      <c r="E188" s="9" t="str">
        <f aca="false">IFERROR(INDEX(Destination!$B$2:$B$501,MATCH(D188,Destination!$A$2:$A$501,0)),"")</f>
        <v>Lodhi Garden</v>
      </c>
      <c r="F188" s="9" t="s">
        <v>1364</v>
      </c>
      <c r="G188" s="12" t="n">
        <f aca="false">INDEX(Destination!$F$2:$F$501,MATCH(B188,Destination!$A$2:$A$501,0))</f>
        <v>27.99</v>
      </c>
      <c r="H188" s="12" t="n">
        <f aca="false">INDEX(Destination!$G$2:$G$501,MATCH(B188,Destination!$A$2:$A$501,0))</f>
        <v>76.38</v>
      </c>
      <c r="I188" s="12" t="n">
        <f aca="false">INDEX(Destination!$F$2:$F$501,MATCH(D188,Destination!$A$2:$A$501,0))</f>
        <v>28.59</v>
      </c>
      <c r="J188" s="12" t="n">
        <f aca="false">INDEX(Destination!$G$2:$G$501,MATCH(D188,Destination!$A$2:$A$501,0))</f>
        <v>77.22</v>
      </c>
      <c r="K188" s="17" t="n">
        <f aca="false">Assumptions!$B$2*2*ASIN(SQRT(SIN(RADIANS(I188-G188)/2)^2+COS(RADIANS(G188))*COS(RADIANS(I188))*SIN(RADIANS(J188-H188)/2)^2))</f>
        <v>105.904097065685</v>
      </c>
      <c r="L188" s="18" t="n">
        <f aca="false">K188*Assumptions!$B$3</f>
        <v>137.67532618539</v>
      </c>
      <c r="M188" s="19" t="n">
        <f aca="false">L188/Assumptions!$B$4</f>
        <v>3.05945169300866</v>
      </c>
      <c r="N188" s="9" t="s">
        <v>1365</v>
      </c>
    </row>
    <row r="189" customFormat="false" ht="15" hidden="false" customHeight="false" outlineLevel="0" collapsed="false">
      <c r="A189" s="9" t="s">
        <v>1552</v>
      </c>
      <c r="B189" s="9" t="s">
        <v>235</v>
      </c>
      <c r="C189" s="9" t="str">
        <f aca="false">IFERROR(INDEX(Destination!$B$2:$B$501,MATCH(B189,Destination!$A$2:$A$501,0)),"")</f>
        <v>Neemrana</v>
      </c>
      <c r="D189" s="9" t="s">
        <v>960</v>
      </c>
      <c r="E189" s="9" t="str">
        <f aca="false">IFERROR(INDEX(Destination!$B$2:$B$501,MATCH(D189,Destination!$A$2:$A$501,0)),"")</f>
        <v>Gurugram</v>
      </c>
      <c r="F189" s="9" t="s">
        <v>1364</v>
      </c>
      <c r="G189" s="12" t="n">
        <f aca="false">INDEX(Destination!$F$2:$F$501,MATCH(B189,Destination!$A$2:$A$501,0))</f>
        <v>27.99</v>
      </c>
      <c r="H189" s="12" t="n">
        <f aca="false">INDEX(Destination!$G$2:$G$501,MATCH(B189,Destination!$A$2:$A$501,0))</f>
        <v>76.38</v>
      </c>
      <c r="I189" s="12" t="n">
        <f aca="false">INDEX(Destination!$F$2:$F$501,MATCH(D189,Destination!$A$2:$A$501,0))</f>
        <v>28.46</v>
      </c>
      <c r="J189" s="12" t="n">
        <f aca="false">INDEX(Destination!$G$2:$G$501,MATCH(D189,Destination!$A$2:$A$501,0))</f>
        <v>77.03</v>
      </c>
      <c r="K189" s="17" t="n">
        <f aca="false">Assumptions!$B$2*2*ASIN(SQRT(SIN(RADIANS(I189-G189)/2)^2+COS(RADIANS(G189))*COS(RADIANS(I189))*SIN(RADIANS(J189-H189)/2)^2))</f>
        <v>82.3815705040513</v>
      </c>
      <c r="L189" s="18" t="n">
        <f aca="false">K189*Assumptions!$B$3</f>
        <v>107.096041655267</v>
      </c>
      <c r="M189" s="19" t="n">
        <f aca="false">L189/Assumptions!$B$4</f>
        <v>2.3799120367837</v>
      </c>
      <c r="N189" s="9" t="s">
        <v>1365</v>
      </c>
    </row>
    <row r="190" customFormat="false" ht="15" hidden="false" customHeight="false" outlineLevel="0" collapsed="false">
      <c r="A190" s="9" t="s">
        <v>1553</v>
      </c>
      <c r="B190" s="9" t="s">
        <v>239</v>
      </c>
      <c r="C190" s="9" t="str">
        <f aca="false">IFERROR(INDEX(Destination!$B$2:$B$501,MATCH(B190,Destination!$A$2:$A$501,0)),"")</f>
        <v>Dholpur</v>
      </c>
      <c r="D190" s="9" t="s">
        <v>997</v>
      </c>
      <c r="E190" s="9" t="str">
        <f aca="false">IFERROR(INDEX(Destination!$B$2:$B$501,MATCH(D190,Destination!$A$2:$A$501,0)),"")</f>
        <v>Fatehpur Sikri</v>
      </c>
      <c r="F190" s="9" t="s">
        <v>1364</v>
      </c>
      <c r="G190" s="12" t="n">
        <f aca="false">INDEX(Destination!$F$2:$F$501,MATCH(B190,Destination!$A$2:$A$501,0))</f>
        <v>26.7</v>
      </c>
      <c r="H190" s="12" t="n">
        <f aca="false">INDEX(Destination!$G$2:$G$501,MATCH(B190,Destination!$A$2:$A$501,0))</f>
        <v>77.89</v>
      </c>
      <c r="I190" s="12" t="n">
        <f aca="false">INDEX(Destination!$F$2:$F$501,MATCH(D190,Destination!$A$2:$A$501,0))</f>
        <v>27.09</v>
      </c>
      <c r="J190" s="12" t="n">
        <f aca="false">INDEX(Destination!$G$2:$G$501,MATCH(D190,Destination!$A$2:$A$501,0))</f>
        <v>77.67</v>
      </c>
      <c r="K190" s="17" t="n">
        <f aca="false">Assumptions!$B$2*2*ASIN(SQRT(SIN(RADIANS(I190-G190)/2)^2+COS(RADIANS(G190))*COS(RADIANS(I190))*SIN(RADIANS(J190-H190)/2)^2))</f>
        <v>48.5446782504468</v>
      </c>
      <c r="L190" s="18" t="n">
        <f aca="false">K190*Assumptions!$B$3</f>
        <v>63.1080817255809</v>
      </c>
      <c r="M190" s="19" t="n">
        <f aca="false">L190/Assumptions!$B$4</f>
        <v>1.40240181612402</v>
      </c>
      <c r="N190" s="9" t="s">
        <v>1365</v>
      </c>
    </row>
    <row r="191" customFormat="false" ht="15" hidden="false" customHeight="false" outlineLevel="0" collapsed="false">
      <c r="A191" s="9" t="s">
        <v>1554</v>
      </c>
      <c r="B191" s="9" t="s">
        <v>245</v>
      </c>
      <c r="C191" s="9" t="str">
        <f aca="false">IFERROR(INDEX(Destination!$B$2:$B$501,MATCH(B191,Destination!$A$2:$A$501,0)),"")</f>
        <v>Banswara</v>
      </c>
      <c r="D191" s="9" t="s">
        <v>751</v>
      </c>
      <c r="E191" s="9" t="str">
        <f aca="false">IFERROR(INDEX(Destination!$B$2:$B$501,MATCH(D191,Destination!$A$2:$A$501,0)),"")</f>
        <v>Ujjain</v>
      </c>
      <c r="F191" s="9" t="s">
        <v>1364</v>
      </c>
      <c r="G191" s="12" t="n">
        <f aca="false">INDEX(Destination!$F$2:$F$501,MATCH(B191,Destination!$A$2:$A$501,0))</f>
        <v>23.55</v>
      </c>
      <c r="H191" s="12" t="n">
        <f aca="false">INDEX(Destination!$G$2:$G$501,MATCH(B191,Destination!$A$2:$A$501,0))</f>
        <v>74.44</v>
      </c>
      <c r="I191" s="12" t="n">
        <f aca="false">INDEX(Destination!$F$2:$F$501,MATCH(D191,Destination!$A$2:$A$501,0))</f>
        <v>23.18</v>
      </c>
      <c r="J191" s="12" t="n">
        <f aca="false">INDEX(Destination!$G$2:$G$501,MATCH(D191,Destination!$A$2:$A$501,0))</f>
        <v>75.78</v>
      </c>
      <c r="K191" s="17" t="n">
        <f aca="false">Assumptions!$B$2*2*ASIN(SQRT(SIN(RADIANS(I191-G191)/2)^2+COS(RADIANS(G191))*COS(RADIANS(I191))*SIN(RADIANS(J191-H191)/2)^2))</f>
        <v>142.835346170415</v>
      </c>
      <c r="L191" s="18" t="n">
        <f aca="false">K191*Assumptions!$B$3</f>
        <v>185.685950021539</v>
      </c>
      <c r="M191" s="19" t="n">
        <f aca="false">L191/Assumptions!$B$4</f>
        <v>4.12635444492309</v>
      </c>
      <c r="N191" s="9" t="s">
        <v>1365</v>
      </c>
    </row>
    <row r="192" customFormat="false" ht="15" hidden="false" customHeight="false" outlineLevel="0" collapsed="false">
      <c r="A192" s="9" t="s">
        <v>1555</v>
      </c>
      <c r="B192" s="9" t="s">
        <v>247</v>
      </c>
      <c r="C192" s="9" t="str">
        <f aca="false">IFERROR(INDEX(Destination!$B$2:$B$501,MATCH(B192,Destination!$A$2:$A$501,0)),"")</f>
        <v>Ahmedabad</v>
      </c>
      <c r="D192" s="9" t="s">
        <v>250</v>
      </c>
      <c r="E192" s="9" t="str">
        <f aca="false">IFERROR(INDEX(Destination!$B$2:$B$501,MATCH(D192,Destination!$A$2:$A$501,0)),"")</f>
        <v>Vadodara</v>
      </c>
      <c r="F192" s="9" t="s">
        <v>1364</v>
      </c>
      <c r="G192" s="12" t="n">
        <f aca="false">INDEX(Destination!$F$2:$F$501,MATCH(B192,Destination!$A$2:$A$501,0))</f>
        <v>23.02</v>
      </c>
      <c r="H192" s="12" t="n">
        <f aca="false">INDEX(Destination!$G$2:$G$501,MATCH(B192,Destination!$A$2:$A$501,0))</f>
        <v>72.57</v>
      </c>
      <c r="I192" s="12" t="n">
        <f aca="false">INDEX(Destination!$F$2:$F$501,MATCH(D192,Destination!$A$2:$A$501,0))</f>
        <v>22.31</v>
      </c>
      <c r="J192" s="12" t="n">
        <f aca="false">INDEX(Destination!$G$2:$G$501,MATCH(D192,Destination!$A$2:$A$501,0))</f>
        <v>73.18</v>
      </c>
      <c r="K192" s="17" t="n">
        <f aca="false">Assumptions!$B$2*2*ASIN(SQRT(SIN(RADIANS(I192-G192)/2)^2+COS(RADIANS(G192))*COS(RADIANS(I192))*SIN(RADIANS(J192-H192)/2)^2))</f>
        <v>100.749028554404</v>
      </c>
      <c r="L192" s="18" t="n">
        <f aca="false">K192*Assumptions!$B$3</f>
        <v>130.973737120725</v>
      </c>
      <c r="M192" s="19" t="n">
        <f aca="false">L192/Assumptions!$B$4</f>
        <v>2.91052749157167</v>
      </c>
      <c r="N192" s="9" t="s">
        <v>1365</v>
      </c>
    </row>
    <row r="193" customFormat="false" ht="15" hidden="false" customHeight="false" outlineLevel="0" collapsed="false">
      <c r="A193" s="9" t="s">
        <v>1556</v>
      </c>
      <c r="B193" s="9" t="s">
        <v>247</v>
      </c>
      <c r="C193" s="9" t="str">
        <f aca="false">IFERROR(INDEX(Destination!$B$2:$B$501,MATCH(B193,Destination!$A$2:$A$501,0)),"")</f>
        <v>Ahmedabad</v>
      </c>
      <c r="D193" s="9" t="s">
        <v>270</v>
      </c>
      <c r="E193" s="9" t="str">
        <f aca="false">IFERROR(INDEX(Destination!$B$2:$B$501,MATCH(D193,Destination!$A$2:$A$501,0)),"")</f>
        <v>Modhera</v>
      </c>
      <c r="F193" s="9" t="s">
        <v>1364</v>
      </c>
      <c r="G193" s="12" t="n">
        <f aca="false">INDEX(Destination!$F$2:$F$501,MATCH(B193,Destination!$A$2:$A$501,0))</f>
        <v>23.02</v>
      </c>
      <c r="H193" s="12" t="n">
        <f aca="false">INDEX(Destination!$G$2:$G$501,MATCH(B193,Destination!$A$2:$A$501,0))</f>
        <v>72.57</v>
      </c>
      <c r="I193" s="12" t="n">
        <f aca="false">INDEX(Destination!$F$2:$F$501,MATCH(D193,Destination!$A$2:$A$501,0))</f>
        <v>23.58</v>
      </c>
      <c r="J193" s="12" t="n">
        <f aca="false">INDEX(Destination!$G$2:$G$501,MATCH(D193,Destination!$A$2:$A$501,0))</f>
        <v>72.13</v>
      </c>
      <c r="K193" s="17" t="n">
        <f aca="false">Assumptions!$B$2*2*ASIN(SQRT(SIN(RADIANS(I193-G193)/2)^2+COS(RADIANS(G193))*COS(RADIANS(I193))*SIN(RADIANS(J193-H193)/2)^2))</f>
        <v>76.7895709427979</v>
      </c>
      <c r="L193" s="18" t="n">
        <f aca="false">K193*Assumptions!$B$3</f>
        <v>99.8264422256373</v>
      </c>
      <c r="M193" s="19" t="n">
        <f aca="false">L193/Assumptions!$B$4</f>
        <v>2.21836538279194</v>
      </c>
      <c r="N193" s="9" t="s">
        <v>1365</v>
      </c>
    </row>
    <row r="194" customFormat="false" ht="15" hidden="false" customHeight="false" outlineLevel="0" collapsed="false">
      <c r="A194" s="9" t="s">
        <v>1557</v>
      </c>
      <c r="B194" s="9" t="s">
        <v>247</v>
      </c>
      <c r="C194" s="9" t="str">
        <f aca="false">IFERROR(INDEX(Destination!$B$2:$B$501,MATCH(B194,Destination!$A$2:$A$501,0)),"")</f>
        <v>Ahmedabad</v>
      </c>
      <c r="D194" s="9" t="s">
        <v>274</v>
      </c>
      <c r="E194" s="9" t="str">
        <f aca="false">IFERROR(INDEX(Destination!$B$2:$B$501,MATCH(D194,Destination!$A$2:$A$501,0)),"")</f>
        <v>Champaner</v>
      </c>
      <c r="F194" s="9" t="s">
        <v>1364</v>
      </c>
      <c r="G194" s="12" t="n">
        <f aca="false">INDEX(Destination!$F$2:$F$501,MATCH(B194,Destination!$A$2:$A$501,0))</f>
        <v>23.02</v>
      </c>
      <c r="H194" s="12" t="n">
        <f aca="false">INDEX(Destination!$G$2:$G$501,MATCH(B194,Destination!$A$2:$A$501,0))</f>
        <v>72.57</v>
      </c>
      <c r="I194" s="12" t="n">
        <f aca="false">INDEX(Destination!$F$2:$F$501,MATCH(D194,Destination!$A$2:$A$501,0))</f>
        <v>22.49</v>
      </c>
      <c r="J194" s="12" t="n">
        <f aca="false">INDEX(Destination!$G$2:$G$501,MATCH(D194,Destination!$A$2:$A$501,0))</f>
        <v>73.53</v>
      </c>
      <c r="K194" s="17" t="n">
        <f aca="false">Assumptions!$B$2*2*ASIN(SQRT(SIN(RADIANS(I194-G194)/2)^2+COS(RADIANS(G194))*COS(RADIANS(I194))*SIN(RADIANS(J194-H194)/2)^2))</f>
        <v>114.73087681805</v>
      </c>
      <c r="L194" s="18" t="n">
        <f aca="false">K194*Assumptions!$B$3</f>
        <v>149.150139863465</v>
      </c>
      <c r="M194" s="19" t="n">
        <f aca="false">L194/Assumptions!$B$4</f>
        <v>3.31444755252145</v>
      </c>
      <c r="N194" s="9" t="s">
        <v>1365</v>
      </c>
    </row>
    <row r="195" customFormat="false" ht="15" hidden="false" customHeight="false" outlineLevel="0" collapsed="false">
      <c r="A195" s="9" t="s">
        <v>1558</v>
      </c>
      <c r="B195" s="9" t="s">
        <v>247</v>
      </c>
      <c r="C195" s="9" t="str">
        <f aca="false">IFERROR(INDEX(Destination!$B$2:$B$501,MATCH(B195,Destination!$A$2:$A$501,0)),"")</f>
        <v>Ahmedabad</v>
      </c>
      <c r="D195" s="9" t="s">
        <v>284</v>
      </c>
      <c r="E195" s="9" t="str">
        <f aca="false">IFERROR(INDEX(Destination!$B$2:$B$501,MATCH(D195,Destination!$A$2:$A$501,0)),"")</f>
        <v>Gandhinagar</v>
      </c>
      <c r="F195" s="9" t="s">
        <v>1364</v>
      </c>
      <c r="G195" s="12" t="n">
        <f aca="false">INDEX(Destination!$F$2:$F$501,MATCH(B195,Destination!$A$2:$A$501,0))</f>
        <v>23.02</v>
      </c>
      <c r="H195" s="12" t="n">
        <f aca="false">INDEX(Destination!$G$2:$G$501,MATCH(B195,Destination!$A$2:$A$501,0))</f>
        <v>72.57</v>
      </c>
      <c r="I195" s="12" t="n">
        <f aca="false">INDEX(Destination!$F$2:$F$501,MATCH(D195,Destination!$A$2:$A$501,0))</f>
        <v>23.22</v>
      </c>
      <c r="J195" s="12" t="n">
        <f aca="false">INDEX(Destination!$G$2:$G$501,MATCH(D195,Destination!$A$2:$A$501,0))</f>
        <v>72.65</v>
      </c>
      <c r="K195" s="17" t="n">
        <f aca="false">Assumptions!$B$2*2*ASIN(SQRT(SIN(RADIANS(I195-G195)/2)^2+COS(RADIANS(G195))*COS(RADIANS(I195))*SIN(RADIANS(J195-H195)/2)^2))</f>
        <v>23.6960632288065</v>
      </c>
      <c r="L195" s="18" t="n">
        <f aca="false">K195*Assumptions!$B$3</f>
        <v>30.8048821974485</v>
      </c>
      <c r="M195" s="19" t="n">
        <f aca="false">L195/Assumptions!$B$4</f>
        <v>0.684552937721078</v>
      </c>
      <c r="N195" s="9" t="s">
        <v>1365</v>
      </c>
    </row>
    <row r="196" customFormat="false" ht="15" hidden="false" customHeight="false" outlineLevel="0" collapsed="false">
      <c r="A196" s="9" t="s">
        <v>1559</v>
      </c>
      <c r="B196" s="9" t="s">
        <v>250</v>
      </c>
      <c r="C196" s="9" t="str">
        <f aca="false">IFERROR(INDEX(Destination!$B$2:$B$501,MATCH(B196,Destination!$A$2:$A$501,0)),"")</f>
        <v>Vadodara</v>
      </c>
      <c r="D196" s="9" t="s">
        <v>274</v>
      </c>
      <c r="E196" s="9" t="str">
        <f aca="false">IFERROR(INDEX(Destination!$B$2:$B$501,MATCH(D196,Destination!$A$2:$A$501,0)),"")</f>
        <v>Champaner</v>
      </c>
      <c r="F196" s="9" t="s">
        <v>1364</v>
      </c>
      <c r="G196" s="12" t="n">
        <f aca="false">INDEX(Destination!$F$2:$F$501,MATCH(B196,Destination!$A$2:$A$501,0))</f>
        <v>22.31</v>
      </c>
      <c r="H196" s="12" t="n">
        <f aca="false">INDEX(Destination!$G$2:$G$501,MATCH(B196,Destination!$A$2:$A$501,0))</f>
        <v>73.18</v>
      </c>
      <c r="I196" s="12" t="n">
        <f aca="false">INDEX(Destination!$F$2:$F$501,MATCH(D196,Destination!$A$2:$A$501,0))</f>
        <v>22.49</v>
      </c>
      <c r="J196" s="12" t="n">
        <f aca="false">INDEX(Destination!$G$2:$G$501,MATCH(D196,Destination!$A$2:$A$501,0))</f>
        <v>73.53</v>
      </c>
      <c r="K196" s="17" t="n">
        <f aca="false">Assumptions!$B$2*2*ASIN(SQRT(SIN(RADIANS(I196-G196)/2)^2+COS(RADIANS(G196))*COS(RADIANS(I196))*SIN(RADIANS(J196-H196)/2)^2))</f>
        <v>41.173820783345</v>
      </c>
      <c r="L196" s="18" t="n">
        <f aca="false">K196*Assumptions!$B$3</f>
        <v>53.5259670183485</v>
      </c>
      <c r="M196" s="19" t="n">
        <f aca="false">L196/Assumptions!$B$4</f>
        <v>1.18946593374108</v>
      </c>
      <c r="N196" s="9" t="s">
        <v>1365</v>
      </c>
    </row>
    <row r="197" customFormat="false" ht="15" hidden="false" customHeight="false" outlineLevel="0" collapsed="false">
      <c r="A197" s="9" t="s">
        <v>1560</v>
      </c>
      <c r="B197" s="9" t="s">
        <v>250</v>
      </c>
      <c r="C197" s="9" t="str">
        <f aca="false">IFERROR(INDEX(Destination!$B$2:$B$501,MATCH(B197,Destination!$A$2:$A$501,0)),"")</f>
        <v>Vadodara</v>
      </c>
      <c r="D197" s="9" t="s">
        <v>999</v>
      </c>
      <c r="E197" s="9" t="str">
        <f aca="false">IFERROR(INDEX(Destination!$B$2:$B$501,MATCH(D197,Destination!$A$2:$A$501,0)),"")</f>
        <v>Ahmedabad Heritage City</v>
      </c>
      <c r="F197" s="9" t="s">
        <v>1364</v>
      </c>
      <c r="G197" s="12" t="n">
        <f aca="false">INDEX(Destination!$F$2:$F$501,MATCH(B197,Destination!$A$2:$A$501,0))</f>
        <v>22.31</v>
      </c>
      <c r="H197" s="12" t="n">
        <f aca="false">INDEX(Destination!$G$2:$G$501,MATCH(B197,Destination!$A$2:$A$501,0))</f>
        <v>73.18</v>
      </c>
      <c r="I197" s="12" t="n">
        <f aca="false">INDEX(Destination!$F$2:$F$501,MATCH(D197,Destination!$A$2:$A$501,0))</f>
        <v>23.02</v>
      </c>
      <c r="J197" s="12" t="n">
        <f aca="false">INDEX(Destination!$G$2:$G$501,MATCH(D197,Destination!$A$2:$A$501,0))</f>
        <v>72.58</v>
      </c>
      <c r="K197" s="17" t="n">
        <f aca="false">Assumptions!$B$2*2*ASIN(SQRT(SIN(RADIANS(I197-G197)/2)^2+COS(RADIANS(G197))*COS(RADIANS(I197))*SIN(RADIANS(J197-H197)/2)^2))</f>
        <v>100.114816850333</v>
      </c>
      <c r="L197" s="18" t="n">
        <f aca="false">K197*Assumptions!$B$3</f>
        <v>130.149261905433</v>
      </c>
      <c r="M197" s="19" t="n">
        <f aca="false">L197/Assumptions!$B$4</f>
        <v>2.89220582012074</v>
      </c>
      <c r="N197" s="9" t="s">
        <v>1365</v>
      </c>
    </row>
    <row r="198" customFormat="false" ht="15" hidden="false" customHeight="false" outlineLevel="0" collapsed="false">
      <c r="A198" s="9" t="s">
        <v>1561</v>
      </c>
      <c r="B198" s="9" t="s">
        <v>252</v>
      </c>
      <c r="C198" s="9" t="str">
        <f aca="false">IFERROR(INDEX(Destination!$B$2:$B$501,MATCH(B198,Destination!$A$2:$A$501,0)),"")</f>
        <v>Surat</v>
      </c>
      <c r="D198" s="9" t="s">
        <v>280</v>
      </c>
      <c r="E198" s="9" t="str">
        <f aca="false">IFERROR(INDEX(Destination!$B$2:$B$501,MATCH(D198,Destination!$A$2:$A$501,0)),"")</f>
        <v>Palitana</v>
      </c>
      <c r="F198" s="9" t="s">
        <v>1364</v>
      </c>
      <c r="G198" s="12" t="n">
        <f aca="false">INDEX(Destination!$F$2:$F$501,MATCH(B198,Destination!$A$2:$A$501,0))</f>
        <v>21.17</v>
      </c>
      <c r="H198" s="12" t="n">
        <f aca="false">INDEX(Destination!$G$2:$G$501,MATCH(B198,Destination!$A$2:$A$501,0))</f>
        <v>72.83</v>
      </c>
      <c r="I198" s="12" t="n">
        <f aca="false">INDEX(Destination!$F$2:$F$501,MATCH(D198,Destination!$A$2:$A$501,0))</f>
        <v>21.52</v>
      </c>
      <c r="J198" s="12" t="n">
        <f aca="false">INDEX(Destination!$G$2:$G$501,MATCH(D198,Destination!$A$2:$A$501,0))</f>
        <v>71.82</v>
      </c>
      <c r="K198" s="17" t="n">
        <f aca="false">Assumptions!$B$2*2*ASIN(SQRT(SIN(RADIANS(I198-G198)/2)^2+COS(RADIANS(G198))*COS(RADIANS(I198))*SIN(RADIANS(J198-H198)/2)^2))</f>
        <v>111.608165559809</v>
      </c>
      <c r="L198" s="18" t="n">
        <f aca="false">K198*Assumptions!$B$3</f>
        <v>145.090615227751</v>
      </c>
      <c r="M198" s="19" t="n">
        <f aca="false">L198/Assumptions!$B$4</f>
        <v>3.22423589395003</v>
      </c>
      <c r="N198" s="9" t="s">
        <v>1365</v>
      </c>
    </row>
    <row r="199" customFormat="false" ht="15" hidden="false" customHeight="false" outlineLevel="0" collapsed="false">
      <c r="A199" s="9" t="s">
        <v>1562</v>
      </c>
      <c r="B199" s="9" t="s">
        <v>252</v>
      </c>
      <c r="C199" s="9" t="str">
        <f aca="false">IFERROR(INDEX(Destination!$B$2:$B$501,MATCH(B199,Destination!$A$2:$A$501,0)),"")</f>
        <v>Surat</v>
      </c>
      <c r="D199" s="9" t="s">
        <v>988</v>
      </c>
      <c r="E199" s="9" t="str">
        <f aca="false">IFERROR(INDEX(Destination!$B$2:$B$501,MATCH(D199,Destination!$A$2:$A$501,0)),"")</f>
        <v>Silvassa</v>
      </c>
      <c r="F199" s="9" t="s">
        <v>1364</v>
      </c>
      <c r="G199" s="12" t="n">
        <f aca="false">INDEX(Destination!$F$2:$F$501,MATCH(B199,Destination!$A$2:$A$501,0))</f>
        <v>21.17</v>
      </c>
      <c r="H199" s="12" t="n">
        <f aca="false">INDEX(Destination!$G$2:$G$501,MATCH(B199,Destination!$A$2:$A$501,0))</f>
        <v>72.83</v>
      </c>
      <c r="I199" s="12" t="n">
        <f aca="false">INDEX(Destination!$F$2:$F$501,MATCH(D199,Destination!$A$2:$A$501,0))</f>
        <v>20.27</v>
      </c>
      <c r="J199" s="12" t="n">
        <f aca="false">INDEX(Destination!$G$2:$G$501,MATCH(D199,Destination!$A$2:$A$501,0))</f>
        <v>73.01</v>
      </c>
      <c r="K199" s="17" t="n">
        <f aca="false">Assumptions!$B$2*2*ASIN(SQRT(SIN(RADIANS(I199-G199)/2)^2+COS(RADIANS(G199))*COS(RADIANS(I199))*SIN(RADIANS(J199-H199)/2)^2))</f>
        <v>101.811296636659</v>
      </c>
      <c r="L199" s="18" t="n">
        <f aca="false">K199*Assumptions!$B$3</f>
        <v>132.354685627657</v>
      </c>
      <c r="M199" s="19" t="n">
        <f aca="false">L199/Assumptions!$B$4</f>
        <v>2.94121523617016</v>
      </c>
      <c r="N199" s="9" t="s">
        <v>1365</v>
      </c>
    </row>
    <row r="200" customFormat="false" ht="15" hidden="false" customHeight="false" outlineLevel="0" collapsed="false">
      <c r="A200" s="9" t="s">
        <v>1563</v>
      </c>
      <c r="B200" s="9" t="s">
        <v>252</v>
      </c>
      <c r="C200" s="9" t="str">
        <f aca="false">IFERROR(INDEX(Destination!$B$2:$B$501,MATCH(B200,Destination!$A$2:$A$501,0)),"")</f>
        <v>Surat</v>
      </c>
      <c r="D200" s="9" t="s">
        <v>990</v>
      </c>
      <c r="E200" s="9" t="str">
        <f aca="false">IFERROR(INDEX(Destination!$B$2:$B$501,MATCH(D200,Destination!$A$2:$A$501,0)),"")</f>
        <v>Daman</v>
      </c>
      <c r="F200" s="9" t="s">
        <v>1364</v>
      </c>
      <c r="G200" s="12" t="n">
        <f aca="false">INDEX(Destination!$F$2:$F$501,MATCH(B200,Destination!$A$2:$A$501,0))</f>
        <v>21.17</v>
      </c>
      <c r="H200" s="12" t="n">
        <f aca="false">INDEX(Destination!$G$2:$G$501,MATCH(B200,Destination!$A$2:$A$501,0))</f>
        <v>72.83</v>
      </c>
      <c r="I200" s="12" t="n">
        <f aca="false">INDEX(Destination!$F$2:$F$501,MATCH(D200,Destination!$A$2:$A$501,0))</f>
        <v>20.4</v>
      </c>
      <c r="J200" s="12" t="n">
        <f aca="false">INDEX(Destination!$G$2:$G$501,MATCH(D200,Destination!$A$2:$A$501,0))</f>
        <v>72.83</v>
      </c>
      <c r="K200" s="17" t="n">
        <f aca="false">Assumptions!$B$2*2*ASIN(SQRT(SIN(RADIANS(I200-G200)/2)^2+COS(RADIANS(G200))*COS(RADIANS(I200))*SIN(RADIANS(J200-H200)/2)^2))</f>
        <v>85.6200935163106</v>
      </c>
      <c r="L200" s="18" t="n">
        <f aca="false">K200*Assumptions!$B$3</f>
        <v>111.306121571204</v>
      </c>
      <c r="M200" s="19" t="n">
        <f aca="false">L200/Assumptions!$B$4</f>
        <v>2.47346936824897</v>
      </c>
      <c r="N200" s="9" t="s">
        <v>1365</v>
      </c>
    </row>
    <row r="201" customFormat="false" ht="15" hidden="false" customHeight="false" outlineLevel="0" collapsed="false">
      <c r="A201" s="9" t="s">
        <v>1564</v>
      </c>
      <c r="B201" s="9" t="s">
        <v>254</v>
      </c>
      <c r="C201" s="9" t="str">
        <f aca="false">IFERROR(INDEX(Destination!$B$2:$B$501,MATCH(B201,Destination!$A$2:$A$501,0)),"")</f>
        <v>Rajkot</v>
      </c>
      <c r="D201" s="9" t="s">
        <v>260</v>
      </c>
      <c r="E201" s="9" t="str">
        <f aca="false">IFERROR(INDEX(Destination!$B$2:$B$501,MATCH(D201,Destination!$A$2:$A$501,0)),"")</f>
        <v>Gir</v>
      </c>
      <c r="F201" s="9" t="s">
        <v>1364</v>
      </c>
      <c r="G201" s="12" t="n">
        <f aca="false">INDEX(Destination!$F$2:$F$501,MATCH(B201,Destination!$A$2:$A$501,0))</f>
        <v>22.3</v>
      </c>
      <c r="H201" s="12" t="n">
        <f aca="false">INDEX(Destination!$G$2:$G$501,MATCH(B201,Destination!$A$2:$A$501,0))</f>
        <v>70.8</v>
      </c>
      <c r="I201" s="12" t="n">
        <f aca="false">INDEX(Destination!$F$2:$F$501,MATCH(D201,Destination!$A$2:$A$501,0))</f>
        <v>21.13</v>
      </c>
      <c r="J201" s="12" t="n">
        <f aca="false">INDEX(Destination!$G$2:$G$501,MATCH(D201,Destination!$A$2:$A$501,0))</f>
        <v>70.8</v>
      </c>
      <c r="K201" s="17" t="n">
        <f aca="false">Assumptions!$B$2*2*ASIN(SQRT(SIN(RADIANS(I201-G201)/2)^2+COS(RADIANS(G201))*COS(RADIANS(I201))*SIN(RADIANS(J201-H201)/2)^2))</f>
        <v>130.098064174134</v>
      </c>
      <c r="L201" s="18" t="n">
        <f aca="false">K201*Assumptions!$B$3</f>
        <v>169.127483426374</v>
      </c>
      <c r="M201" s="19" t="n">
        <f aca="false">L201/Assumptions!$B$4</f>
        <v>3.75838852058609</v>
      </c>
      <c r="N201" s="9" t="s">
        <v>1365</v>
      </c>
    </row>
    <row r="202" customFormat="false" ht="15" hidden="false" customHeight="false" outlineLevel="0" collapsed="false">
      <c r="A202" s="9" t="s">
        <v>1565</v>
      </c>
      <c r="B202" s="9" t="s">
        <v>254</v>
      </c>
      <c r="C202" s="9" t="str">
        <f aca="false">IFERROR(INDEX(Destination!$B$2:$B$501,MATCH(B202,Destination!$A$2:$A$501,0)),"")</f>
        <v>Rajkot</v>
      </c>
      <c r="D202" s="9" t="s">
        <v>278</v>
      </c>
      <c r="E202" s="9" t="str">
        <f aca="false">IFERROR(INDEX(Destination!$B$2:$B$501,MATCH(D202,Destination!$A$2:$A$501,0)),"")</f>
        <v>Junagadh</v>
      </c>
      <c r="F202" s="9" t="s">
        <v>1364</v>
      </c>
      <c r="G202" s="12" t="n">
        <f aca="false">INDEX(Destination!$F$2:$F$501,MATCH(B202,Destination!$A$2:$A$501,0))</f>
        <v>22.3</v>
      </c>
      <c r="H202" s="12" t="n">
        <f aca="false">INDEX(Destination!$G$2:$G$501,MATCH(B202,Destination!$A$2:$A$501,0))</f>
        <v>70.8</v>
      </c>
      <c r="I202" s="12" t="n">
        <f aca="false">INDEX(Destination!$F$2:$F$501,MATCH(D202,Destination!$A$2:$A$501,0))</f>
        <v>21.52</v>
      </c>
      <c r="J202" s="12" t="n">
        <f aca="false">INDEX(Destination!$G$2:$G$501,MATCH(D202,Destination!$A$2:$A$501,0))</f>
        <v>70.46</v>
      </c>
      <c r="K202" s="17" t="n">
        <f aca="false">Assumptions!$B$2*2*ASIN(SQRT(SIN(RADIANS(I202-G202)/2)^2+COS(RADIANS(G202))*COS(RADIANS(I202))*SIN(RADIANS(J202-H202)/2)^2))</f>
        <v>93.5559415441924</v>
      </c>
      <c r="L202" s="18" t="n">
        <f aca="false">K202*Assumptions!$B$3</f>
        <v>121.62272400745</v>
      </c>
      <c r="M202" s="19" t="n">
        <f aca="false">L202/Assumptions!$B$4</f>
        <v>2.70272720016556</v>
      </c>
      <c r="N202" s="9" t="s">
        <v>1365</v>
      </c>
    </row>
    <row r="203" customFormat="false" ht="15" hidden="false" customHeight="false" outlineLevel="0" collapsed="false">
      <c r="A203" s="9" t="s">
        <v>1566</v>
      </c>
      <c r="B203" s="9" t="s">
        <v>254</v>
      </c>
      <c r="C203" s="9" t="str">
        <f aca="false">IFERROR(INDEX(Destination!$B$2:$B$501,MATCH(B203,Destination!$A$2:$A$501,0)),"")</f>
        <v>Rajkot</v>
      </c>
      <c r="D203" s="9" t="s">
        <v>280</v>
      </c>
      <c r="E203" s="9" t="str">
        <f aca="false">IFERROR(INDEX(Destination!$B$2:$B$501,MATCH(D203,Destination!$A$2:$A$501,0)),"")</f>
        <v>Palitana</v>
      </c>
      <c r="F203" s="9" t="s">
        <v>1364</v>
      </c>
      <c r="G203" s="12" t="n">
        <f aca="false">INDEX(Destination!$F$2:$F$501,MATCH(B203,Destination!$A$2:$A$501,0))</f>
        <v>22.3</v>
      </c>
      <c r="H203" s="12" t="n">
        <f aca="false">INDEX(Destination!$G$2:$G$501,MATCH(B203,Destination!$A$2:$A$501,0))</f>
        <v>70.8</v>
      </c>
      <c r="I203" s="12" t="n">
        <f aca="false">INDEX(Destination!$F$2:$F$501,MATCH(D203,Destination!$A$2:$A$501,0))</f>
        <v>21.52</v>
      </c>
      <c r="J203" s="12" t="n">
        <f aca="false">INDEX(Destination!$G$2:$G$501,MATCH(D203,Destination!$A$2:$A$501,0))</f>
        <v>71.82</v>
      </c>
      <c r="K203" s="17" t="n">
        <f aca="false">Assumptions!$B$2*2*ASIN(SQRT(SIN(RADIANS(I203-G203)/2)^2+COS(RADIANS(G203))*COS(RADIANS(I203))*SIN(RADIANS(J203-H203)/2)^2))</f>
        <v>136.362801470935</v>
      </c>
      <c r="L203" s="18" t="n">
        <f aca="false">K203*Assumptions!$B$3</f>
        <v>177.271641912215</v>
      </c>
      <c r="M203" s="19" t="n">
        <f aca="false">L203/Assumptions!$B$4</f>
        <v>3.93936982027145</v>
      </c>
      <c r="N203" s="9" t="s">
        <v>1365</v>
      </c>
    </row>
    <row r="204" customFormat="false" ht="15" hidden="false" customHeight="false" outlineLevel="0" collapsed="false">
      <c r="A204" s="9" t="s">
        <v>1567</v>
      </c>
      <c r="B204" s="9" t="s">
        <v>256</v>
      </c>
      <c r="C204" s="9" t="str">
        <f aca="false">IFERROR(INDEX(Destination!$B$2:$B$501,MATCH(B204,Destination!$A$2:$A$501,0)),"")</f>
        <v>Dwarka</v>
      </c>
      <c r="D204" s="9" t="s">
        <v>264</v>
      </c>
      <c r="E204" s="9" t="str">
        <f aca="false">IFERROR(INDEX(Destination!$B$2:$B$501,MATCH(D204,Destination!$A$2:$A$501,0)),"")</f>
        <v>Bhuj</v>
      </c>
      <c r="F204" s="9" t="s">
        <v>1364</v>
      </c>
      <c r="G204" s="12" t="n">
        <f aca="false">INDEX(Destination!$F$2:$F$501,MATCH(B204,Destination!$A$2:$A$501,0))</f>
        <v>22.24</v>
      </c>
      <c r="H204" s="12" t="n">
        <f aca="false">INDEX(Destination!$G$2:$G$501,MATCH(B204,Destination!$A$2:$A$501,0))</f>
        <v>68.97</v>
      </c>
      <c r="I204" s="12" t="n">
        <f aca="false">INDEX(Destination!$F$2:$F$501,MATCH(D204,Destination!$A$2:$A$501,0))</f>
        <v>23.25</v>
      </c>
      <c r="J204" s="12" t="n">
        <f aca="false">INDEX(Destination!$G$2:$G$501,MATCH(D204,Destination!$A$2:$A$501,0))</f>
        <v>69.67</v>
      </c>
      <c r="K204" s="17" t="n">
        <f aca="false">Assumptions!$B$2*2*ASIN(SQRT(SIN(RADIANS(I204-G204)/2)^2+COS(RADIANS(G204))*COS(RADIANS(I204))*SIN(RADIANS(J204-H204)/2)^2))</f>
        <v>133.287239798597</v>
      </c>
      <c r="L204" s="18" t="n">
        <f aca="false">K204*Assumptions!$B$3</f>
        <v>173.273411738177</v>
      </c>
      <c r="M204" s="19" t="n">
        <f aca="false">L204/Assumptions!$B$4</f>
        <v>3.85052026084837</v>
      </c>
      <c r="N204" s="9" t="s">
        <v>1365</v>
      </c>
    </row>
    <row r="205" customFormat="false" ht="15" hidden="false" customHeight="false" outlineLevel="0" collapsed="false">
      <c r="A205" s="9" t="s">
        <v>1568</v>
      </c>
      <c r="B205" s="9" t="s">
        <v>256</v>
      </c>
      <c r="C205" s="9" t="str">
        <f aca="false">IFERROR(INDEX(Destination!$B$2:$B$501,MATCH(B205,Destination!$A$2:$A$501,0)),"")</f>
        <v>Dwarka</v>
      </c>
      <c r="D205" s="9" t="s">
        <v>266</v>
      </c>
      <c r="E205" s="9" t="str">
        <f aca="false">IFERROR(INDEX(Destination!$B$2:$B$501,MATCH(D205,Destination!$A$2:$A$501,0)),"")</f>
        <v>Mandvi</v>
      </c>
      <c r="F205" s="9" t="s">
        <v>1364</v>
      </c>
      <c r="G205" s="12" t="n">
        <f aca="false">INDEX(Destination!$F$2:$F$501,MATCH(B205,Destination!$A$2:$A$501,0))</f>
        <v>22.24</v>
      </c>
      <c r="H205" s="12" t="n">
        <f aca="false">INDEX(Destination!$G$2:$G$501,MATCH(B205,Destination!$A$2:$A$501,0))</f>
        <v>68.97</v>
      </c>
      <c r="I205" s="12" t="n">
        <f aca="false">INDEX(Destination!$F$2:$F$501,MATCH(D205,Destination!$A$2:$A$501,0))</f>
        <v>22.83</v>
      </c>
      <c r="J205" s="12" t="n">
        <f aca="false">INDEX(Destination!$G$2:$G$501,MATCH(D205,Destination!$A$2:$A$501,0))</f>
        <v>69.35</v>
      </c>
      <c r="K205" s="17" t="n">
        <f aca="false">Assumptions!$B$2*2*ASIN(SQRT(SIN(RADIANS(I205-G205)/2)^2+COS(RADIANS(G205))*COS(RADIANS(I205))*SIN(RADIANS(J205-H205)/2)^2))</f>
        <v>76.3358622805568</v>
      </c>
      <c r="L205" s="18" t="n">
        <f aca="false">K205*Assumptions!$B$3</f>
        <v>99.2366209647238</v>
      </c>
      <c r="M205" s="19" t="n">
        <f aca="false">L205/Assumptions!$B$4</f>
        <v>2.20525824366053</v>
      </c>
      <c r="N205" s="9" t="s">
        <v>1365</v>
      </c>
    </row>
    <row r="206" customFormat="false" ht="15" hidden="false" customHeight="false" outlineLevel="0" collapsed="false">
      <c r="A206" s="9" t="s">
        <v>1569</v>
      </c>
      <c r="B206" s="9" t="s">
        <v>256</v>
      </c>
      <c r="C206" s="9" t="str">
        <f aca="false">IFERROR(INDEX(Destination!$B$2:$B$501,MATCH(B206,Destination!$A$2:$A$501,0)),"")</f>
        <v>Dwarka</v>
      </c>
      <c r="D206" s="9" t="s">
        <v>282</v>
      </c>
      <c r="E206" s="9" t="str">
        <f aca="false">IFERROR(INDEX(Destination!$B$2:$B$501,MATCH(D206,Destination!$A$2:$A$501,0)),"")</f>
        <v>Porbandar</v>
      </c>
      <c r="F206" s="9" t="s">
        <v>1364</v>
      </c>
      <c r="G206" s="12" t="n">
        <f aca="false">INDEX(Destination!$F$2:$F$501,MATCH(B206,Destination!$A$2:$A$501,0))</f>
        <v>22.24</v>
      </c>
      <c r="H206" s="12" t="n">
        <f aca="false">INDEX(Destination!$G$2:$G$501,MATCH(B206,Destination!$A$2:$A$501,0))</f>
        <v>68.97</v>
      </c>
      <c r="I206" s="12" t="n">
        <f aca="false">INDEX(Destination!$F$2:$F$501,MATCH(D206,Destination!$A$2:$A$501,0))</f>
        <v>21.64</v>
      </c>
      <c r="J206" s="12" t="n">
        <f aca="false">INDEX(Destination!$G$2:$G$501,MATCH(D206,Destination!$A$2:$A$501,0))</f>
        <v>69.61</v>
      </c>
      <c r="K206" s="17" t="n">
        <f aca="false">Assumptions!$B$2*2*ASIN(SQRT(SIN(RADIANS(I206-G206)/2)^2+COS(RADIANS(G206))*COS(RADIANS(I206))*SIN(RADIANS(J206-H206)/2)^2))</f>
        <v>93.853598743708</v>
      </c>
      <c r="L206" s="18" t="n">
        <f aca="false">K206*Assumptions!$B$3</f>
        <v>122.00967836682</v>
      </c>
      <c r="M206" s="19" t="n">
        <f aca="false">L206/Assumptions!$B$4</f>
        <v>2.71132618592934</v>
      </c>
      <c r="N206" s="9" t="s">
        <v>1365</v>
      </c>
    </row>
    <row r="207" customFormat="false" ht="15" hidden="false" customHeight="false" outlineLevel="0" collapsed="false">
      <c r="A207" s="9" t="s">
        <v>1570</v>
      </c>
      <c r="B207" s="9" t="s">
        <v>258</v>
      </c>
      <c r="C207" s="9" t="str">
        <f aca="false">IFERROR(INDEX(Destination!$B$2:$B$501,MATCH(B207,Destination!$A$2:$A$501,0)),"")</f>
        <v>Somnath</v>
      </c>
      <c r="D207" s="9" t="s">
        <v>260</v>
      </c>
      <c r="E207" s="9" t="str">
        <f aca="false">IFERROR(INDEX(Destination!$B$2:$B$501,MATCH(D207,Destination!$A$2:$A$501,0)),"")</f>
        <v>Gir</v>
      </c>
      <c r="F207" s="9" t="s">
        <v>1364</v>
      </c>
      <c r="G207" s="12" t="n">
        <f aca="false">INDEX(Destination!$F$2:$F$501,MATCH(B207,Destination!$A$2:$A$501,0))</f>
        <v>20.89</v>
      </c>
      <c r="H207" s="12" t="n">
        <f aca="false">INDEX(Destination!$G$2:$G$501,MATCH(B207,Destination!$A$2:$A$501,0))</f>
        <v>70.4</v>
      </c>
      <c r="I207" s="12" t="n">
        <f aca="false">INDEX(Destination!$F$2:$F$501,MATCH(D207,Destination!$A$2:$A$501,0))</f>
        <v>21.13</v>
      </c>
      <c r="J207" s="12" t="n">
        <f aca="false">INDEX(Destination!$G$2:$G$501,MATCH(D207,Destination!$A$2:$A$501,0))</f>
        <v>70.8</v>
      </c>
      <c r="K207" s="17" t="n">
        <f aca="false">Assumptions!$B$2*2*ASIN(SQRT(SIN(RADIANS(I207-G207)/2)^2+COS(RADIANS(G207))*COS(RADIANS(I207))*SIN(RADIANS(J207-H207)/2)^2))</f>
        <v>49.3575892512483</v>
      </c>
      <c r="L207" s="18" t="n">
        <f aca="false">K207*Assumptions!$B$3</f>
        <v>64.1648660266228</v>
      </c>
      <c r="M207" s="19" t="n">
        <f aca="false">L207/Assumptions!$B$4</f>
        <v>1.42588591170273</v>
      </c>
      <c r="N207" s="9" t="s">
        <v>1365</v>
      </c>
    </row>
    <row r="208" customFormat="false" ht="15" hidden="false" customHeight="false" outlineLevel="0" collapsed="false">
      <c r="A208" s="9" t="s">
        <v>1571</v>
      </c>
      <c r="B208" s="9" t="s">
        <v>258</v>
      </c>
      <c r="C208" s="9" t="str">
        <f aca="false">IFERROR(INDEX(Destination!$B$2:$B$501,MATCH(B208,Destination!$A$2:$A$501,0)),"")</f>
        <v>Somnath</v>
      </c>
      <c r="D208" s="9" t="s">
        <v>278</v>
      </c>
      <c r="E208" s="9" t="str">
        <f aca="false">IFERROR(INDEX(Destination!$B$2:$B$501,MATCH(D208,Destination!$A$2:$A$501,0)),"")</f>
        <v>Junagadh</v>
      </c>
      <c r="F208" s="9" t="s">
        <v>1364</v>
      </c>
      <c r="G208" s="12" t="n">
        <f aca="false">INDEX(Destination!$F$2:$F$501,MATCH(B208,Destination!$A$2:$A$501,0))</f>
        <v>20.89</v>
      </c>
      <c r="H208" s="12" t="n">
        <f aca="false">INDEX(Destination!$G$2:$G$501,MATCH(B208,Destination!$A$2:$A$501,0))</f>
        <v>70.4</v>
      </c>
      <c r="I208" s="12" t="n">
        <f aca="false">INDEX(Destination!$F$2:$F$501,MATCH(D208,Destination!$A$2:$A$501,0))</f>
        <v>21.52</v>
      </c>
      <c r="J208" s="12" t="n">
        <f aca="false">INDEX(Destination!$G$2:$G$501,MATCH(D208,Destination!$A$2:$A$501,0))</f>
        <v>70.46</v>
      </c>
      <c r="K208" s="17" t="n">
        <f aca="false">Assumptions!$B$2*2*ASIN(SQRT(SIN(RADIANS(I208-G208)/2)^2+COS(RADIANS(G208))*COS(RADIANS(I208))*SIN(RADIANS(J208-H208)/2)^2))</f>
        <v>70.3283924118852</v>
      </c>
      <c r="L208" s="18" t="n">
        <f aca="false">K208*Assumptions!$B$3</f>
        <v>91.4269101354508</v>
      </c>
      <c r="M208" s="19" t="n">
        <f aca="false">L208/Assumptions!$B$4</f>
        <v>2.03170911412113</v>
      </c>
      <c r="N208" s="9" t="s">
        <v>1365</v>
      </c>
    </row>
    <row r="209" customFormat="false" ht="15" hidden="false" customHeight="false" outlineLevel="0" collapsed="false">
      <c r="A209" s="9" t="s">
        <v>1572</v>
      </c>
      <c r="B209" s="9" t="s">
        <v>258</v>
      </c>
      <c r="C209" s="9" t="str">
        <f aca="false">IFERROR(INDEX(Destination!$B$2:$B$501,MATCH(B209,Destination!$A$2:$A$501,0)),"")</f>
        <v>Somnath</v>
      </c>
      <c r="D209" s="9" t="s">
        <v>282</v>
      </c>
      <c r="E209" s="9" t="str">
        <f aca="false">IFERROR(INDEX(Destination!$B$2:$B$501,MATCH(D209,Destination!$A$2:$A$501,0)),"")</f>
        <v>Porbandar</v>
      </c>
      <c r="F209" s="9" t="s">
        <v>1364</v>
      </c>
      <c r="G209" s="12" t="n">
        <f aca="false">INDEX(Destination!$F$2:$F$501,MATCH(B209,Destination!$A$2:$A$501,0))</f>
        <v>20.89</v>
      </c>
      <c r="H209" s="12" t="n">
        <f aca="false">INDEX(Destination!$G$2:$G$501,MATCH(B209,Destination!$A$2:$A$501,0))</f>
        <v>70.4</v>
      </c>
      <c r="I209" s="12" t="n">
        <f aca="false">INDEX(Destination!$F$2:$F$501,MATCH(D209,Destination!$A$2:$A$501,0))</f>
        <v>21.64</v>
      </c>
      <c r="J209" s="12" t="n">
        <f aca="false">INDEX(Destination!$G$2:$G$501,MATCH(D209,Destination!$A$2:$A$501,0))</f>
        <v>69.61</v>
      </c>
      <c r="K209" s="17" t="n">
        <f aca="false">Assumptions!$B$2*2*ASIN(SQRT(SIN(RADIANS(I209-G209)/2)^2+COS(RADIANS(G209))*COS(RADIANS(I209))*SIN(RADIANS(J209-H209)/2)^2))</f>
        <v>116.86023882306</v>
      </c>
      <c r="L209" s="18" t="n">
        <f aca="false">K209*Assumptions!$B$3</f>
        <v>151.918310469978</v>
      </c>
      <c r="M209" s="19" t="n">
        <f aca="false">L209/Assumptions!$B$4</f>
        <v>3.3759624548884</v>
      </c>
      <c r="N209" s="9" t="s">
        <v>1365</v>
      </c>
    </row>
    <row r="210" customFormat="false" ht="15" hidden="false" customHeight="false" outlineLevel="0" collapsed="false">
      <c r="A210" s="9" t="s">
        <v>1573</v>
      </c>
      <c r="B210" s="9" t="s">
        <v>258</v>
      </c>
      <c r="C210" s="9" t="str">
        <f aca="false">IFERROR(INDEX(Destination!$B$2:$B$501,MATCH(B210,Destination!$A$2:$A$501,0)),"")</f>
        <v>Somnath</v>
      </c>
      <c r="D210" s="9" t="s">
        <v>985</v>
      </c>
      <c r="E210" s="9" t="str">
        <f aca="false">IFERROR(INDEX(Destination!$B$2:$B$501,MATCH(D210,Destination!$A$2:$A$501,0)),"")</f>
        <v>Diu</v>
      </c>
      <c r="F210" s="9" t="s">
        <v>1364</v>
      </c>
      <c r="G210" s="12" t="n">
        <f aca="false">INDEX(Destination!$F$2:$F$501,MATCH(B210,Destination!$A$2:$A$501,0))</f>
        <v>20.89</v>
      </c>
      <c r="H210" s="12" t="n">
        <f aca="false">INDEX(Destination!$G$2:$G$501,MATCH(B210,Destination!$A$2:$A$501,0))</f>
        <v>70.4</v>
      </c>
      <c r="I210" s="12" t="n">
        <f aca="false">INDEX(Destination!$F$2:$F$501,MATCH(D210,Destination!$A$2:$A$501,0))</f>
        <v>20.71</v>
      </c>
      <c r="J210" s="12" t="n">
        <f aca="false">INDEX(Destination!$G$2:$G$501,MATCH(D210,Destination!$A$2:$A$501,0))</f>
        <v>70.99</v>
      </c>
      <c r="K210" s="17" t="n">
        <f aca="false">Assumptions!$B$2*2*ASIN(SQRT(SIN(RADIANS(I210-G210)/2)^2+COS(RADIANS(G210))*COS(RADIANS(I210))*SIN(RADIANS(J210-H210)/2)^2))</f>
        <v>64.5125673117355</v>
      </c>
      <c r="L210" s="18" t="n">
        <f aca="false">K210*Assumptions!$B$3</f>
        <v>83.8663375052562</v>
      </c>
      <c r="M210" s="19" t="n">
        <f aca="false">L210/Assumptions!$B$4</f>
        <v>1.86369638900569</v>
      </c>
      <c r="N210" s="9" t="s">
        <v>1365</v>
      </c>
    </row>
    <row r="211" customFormat="false" ht="15" hidden="false" customHeight="false" outlineLevel="0" collapsed="false">
      <c r="A211" s="9" t="s">
        <v>1574</v>
      </c>
      <c r="B211" s="9" t="s">
        <v>260</v>
      </c>
      <c r="C211" s="9" t="str">
        <f aca="false">IFERROR(INDEX(Destination!$B$2:$B$501,MATCH(B211,Destination!$A$2:$A$501,0)),"")</f>
        <v>Gir</v>
      </c>
      <c r="D211" s="9" t="s">
        <v>278</v>
      </c>
      <c r="E211" s="9" t="str">
        <f aca="false">IFERROR(INDEX(Destination!$B$2:$B$501,MATCH(D211,Destination!$A$2:$A$501,0)),"")</f>
        <v>Junagadh</v>
      </c>
      <c r="F211" s="9" t="s">
        <v>1364</v>
      </c>
      <c r="G211" s="12" t="n">
        <f aca="false">INDEX(Destination!$F$2:$F$501,MATCH(B211,Destination!$A$2:$A$501,0))</f>
        <v>21.13</v>
      </c>
      <c r="H211" s="12" t="n">
        <f aca="false">INDEX(Destination!$G$2:$G$501,MATCH(B211,Destination!$A$2:$A$501,0))</f>
        <v>70.8</v>
      </c>
      <c r="I211" s="12" t="n">
        <f aca="false">INDEX(Destination!$F$2:$F$501,MATCH(D211,Destination!$A$2:$A$501,0))</f>
        <v>21.52</v>
      </c>
      <c r="J211" s="12" t="n">
        <f aca="false">INDEX(Destination!$G$2:$G$501,MATCH(D211,Destination!$A$2:$A$501,0))</f>
        <v>70.46</v>
      </c>
      <c r="K211" s="17" t="n">
        <f aca="false">Assumptions!$B$2*2*ASIN(SQRT(SIN(RADIANS(I211-G211)/2)^2+COS(RADIANS(G211))*COS(RADIANS(I211))*SIN(RADIANS(J211-H211)/2)^2))</f>
        <v>55.864983005793</v>
      </c>
      <c r="L211" s="18" t="n">
        <f aca="false">K211*Assumptions!$B$3</f>
        <v>72.6244779075309</v>
      </c>
      <c r="M211" s="19" t="n">
        <f aca="false">L211/Assumptions!$B$4</f>
        <v>1.61387728683402</v>
      </c>
      <c r="N211" s="9" t="s">
        <v>1365</v>
      </c>
    </row>
    <row r="212" customFormat="false" ht="15" hidden="false" customHeight="false" outlineLevel="0" collapsed="false">
      <c r="A212" s="9" t="s">
        <v>1575</v>
      </c>
      <c r="B212" s="9" t="s">
        <v>260</v>
      </c>
      <c r="C212" s="9" t="str">
        <f aca="false">IFERROR(INDEX(Destination!$B$2:$B$501,MATCH(B212,Destination!$A$2:$A$501,0)),"")</f>
        <v>Gir</v>
      </c>
      <c r="D212" s="9" t="s">
        <v>280</v>
      </c>
      <c r="E212" s="9" t="str">
        <f aca="false">IFERROR(INDEX(Destination!$B$2:$B$501,MATCH(D212,Destination!$A$2:$A$501,0)),"")</f>
        <v>Palitana</v>
      </c>
      <c r="F212" s="9" t="s">
        <v>1364</v>
      </c>
      <c r="G212" s="12" t="n">
        <f aca="false">INDEX(Destination!$F$2:$F$501,MATCH(B212,Destination!$A$2:$A$501,0))</f>
        <v>21.13</v>
      </c>
      <c r="H212" s="12" t="n">
        <f aca="false">INDEX(Destination!$G$2:$G$501,MATCH(B212,Destination!$A$2:$A$501,0))</f>
        <v>70.8</v>
      </c>
      <c r="I212" s="12" t="n">
        <f aca="false">INDEX(Destination!$F$2:$F$501,MATCH(D212,Destination!$A$2:$A$501,0))</f>
        <v>21.52</v>
      </c>
      <c r="J212" s="12" t="n">
        <f aca="false">INDEX(Destination!$G$2:$G$501,MATCH(D212,Destination!$A$2:$A$501,0))</f>
        <v>71.82</v>
      </c>
      <c r="K212" s="17" t="n">
        <f aca="false">Assumptions!$B$2*2*ASIN(SQRT(SIN(RADIANS(I212-G212)/2)^2+COS(RADIANS(G212))*COS(RADIANS(I212))*SIN(RADIANS(J212-H212)/2)^2))</f>
        <v>114.20655755522</v>
      </c>
      <c r="L212" s="18" t="n">
        <f aca="false">K212*Assumptions!$B$3</f>
        <v>148.468524821786</v>
      </c>
      <c r="M212" s="19" t="n">
        <f aca="false">L212/Assumptions!$B$4</f>
        <v>3.29930055159525</v>
      </c>
      <c r="N212" s="9" t="s">
        <v>1365</v>
      </c>
    </row>
    <row r="213" customFormat="false" ht="15" hidden="false" customHeight="false" outlineLevel="0" collapsed="false">
      <c r="A213" s="9" t="s">
        <v>1576</v>
      </c>
      <c r="B213" s="9" t="s">
        <v>260</v>
      </c>
      <c r="C213" s="9" t="str">
        <f aca="false">IFERROR(INDEX(Destination!$B$2:$B$501,MATCH(B213,Destination!$A$2:$A$501,0)),"")</f>
        <v>Gir</v>
      </c>
      <c r="D213" s="9" t="s">
        <v>985</v>
      </c>
      <c r="E213" s="9" t="str">
        <f aca="false">IFERROR(INDEX(Destination!$B$2:$B$501,MATCH(D213,Destination!$A$2:$A$501,0)),"")</f>
        <v>Diu</v>
      </c>
      <c r="F213" s="9" t="s">
        <v>1364</v>
      </c>
      <c r="G213" s="12" t="n">
        <f aca="false">INDEX(Destination!$F$2:$F$501,MATCH(B213,Destination!$A$2:$A$501,0))</f>
        <v>21.13</v>
      </c>
      <c r="H213" s="12" t="n">
        <f aca="false">INDEX(Destination!$G$2:$G$501,MATCH(B213,Destination!$A$2:$A$501,0))</f>
        <v>70.8</v>
      </c>
      <c r="I213" s="12" t="n">
        <f aca="false">INDEX(Destination!$F$2:$F$501,MATCH(D213,Destination!$A$2:$A$501,0))</f>
        <v>20.71</v>
      </c>
      <c r="J213" s="12" t="n">
        <f aca="false">INDEX(Destination!$G$2:$G$501,MATCH(D213,Destination!$A$2:$A$501,0))</f>
        <v>70.99</v>
      </c>
      <c r="K213" s="17" t="n">
        <f aca="false">Assumptions!$B$2*2*ASIN(SQRT(SIN(RADIANS(I213-G213)/2)^2+COS(RADIANS(G213))*COS(RADIANS(I213))*SIN(RADIANS(J213-H213)/2)^2))</f>
        <v>50.7001596678721</v>
      </c>
      <c r="L213" s="18" t="n">
        <f aca="false">K213*Assumptions!$B$3</f>
        <v>65.9102075682337</v>
      </c>
      <c r="M213" s="19" t="n">
        <f aca="false">L213/Assumptions!$B$4</f>
        <v>1.46467127929408</v>
      </c>
      <c r="N213" s="9" t="s">
        <v>1365</v>
      </c>
    </row>
    <row r="214" customFormat="false" ht="15" hidden="false" customHeight="false" outlineLevel="0" collapsed="false">
      <c r="A214" s="9" t="s">
        <v>1577</v>
      </c>
      <c r="B214" s="9" t="s">
        <v>262</v>
      </c>
      <c r="C214" s="9" t="str">
        <f aca="false">IFERROR(INDEX(Destination!$B$2:$B$501,MATCH(B214,Destination!$A$2:$A$501,0)),"")</f>
        <v>Kutch</v>
      </c>
      <c r="D214" s="9" t="s">
        <v>264</v>
      </c>
      <c r="E214" s="9" t="str">
        <f aca="false">IFERROR(INDEX(Destination!$B$2:$B$501,MATCH(D214,Destination!$A$2:$A$501,0)),"")</f>
        <v>Bhuj</v>
      </c>
      <c r="F214" s="9" t="s">
        <v>1364</v>
      </c>
      <c r="G214" s="12" t="n">
        <f aca="false">INDEX(Destination!$F$2:$F$501,MATCH(B214,Destination!$A$2:$A$501,0))</f>
        <v>23.5</v>
      </c>
      <c r="H214" s="12" t="n">
        <f aca="false">INDEX(Destination!$G$2:$G$501,MATCH(B214,Destination!$A$2:$A$501,0))</f>
        <v>69.8</v>
      </c>
      <c r="I214" s="12" t="n">
        <f aca="false">INDEX(Destination!$F$2:$F$501,MATCH(D214,Destination!$A$2:$A$501,0))</f>
        <v>23.25</v>
      </c>
      <c r="J214" s="12" t="n">
        <f aca="false">INDEX(Destination!$G$2:$G$501,MATCH(D214,Destination!$A$2:$A$501,0))</f>
        <v>69.67</v>
      </c>
      <c r="K214" s="17" t="n">
        <f aca="false">Assumptions!$B$2*2*ASIN(SQRT(SIN(RADIANS(I214-G214)/2)^2+COS(RADIANS(G214))*COS(RADIANS(I214))*SIN(RADIANS(J214-H214)/2)^2))</f>
        <v>30.8031542858595</v>
      </c>
      <c r="L214" s="18" t="n">
        <f aca="false">K214*Assumptions!$B$3</f>
        <v>40.0441005716173</v>
      </c>
      <c r="M214" s="19" t="n">
        <f aca="false">L214/Assumptions!$B$4</f>
        <v>0.889868901591496</v>
      </c>
      <c r="N214" s="9" t="s">
        <v>1365</v>
      </c>
    </row>
    <row r="215" customFormat="false" ht="15" hidden="false" customHeight="false" outlineLevel="0" collapsed="false">
      <c r="A215" s="9" t="s">
        <v>1578</v>
      </c>
      <c r="B215" s="9" t="s">
        <v>262</v>
      </c>
      <c r="C215" s="9" t="str">
        <f aca="false">IFERROR(INDEX(Destination!$B$2:$B$501,MATCH(B215,Destination!$A$2:$A$501,0)),"")</f>
        <v>Kutch</v>
      </c>
      <c r="D215" s="9" t="s">
        <v>266</v>
      </c>
      <c r="E215" s="9" t="str">
        <f aca="false">IFERROR(INDEX(Destination!$B$2:$B$501,MATCH(D215,Destination!$A$2:$A$501,0)),"")</f>
        <v>Mandvi</v>
      </c>
      <c r="F215" s="9" t="s">
        <v>1364</v>
      </c>
      <c r="G215" s="12" t="n">
        <f aca="false">INDEX(Destination!$F$2:$F$501,MATCH(B215,Destination!$A$2:$A$501,0))</f>
        <v>23.5</v>
      </c>
      <c r="H215" s="12" t="n">
        <f aca="false">INDEX(Destination!$G$2:$G$501,MATCH(B215,Destination!$A$2:$A$501,0))</f>
        <v>69.8</v>
      </c>
      <c r="I215" s="12" t="n">
        <f aca="false">INDEX(Destination!$F$2:$F$501,MATCH(D215,Destination!$A$2:$A$501,0))</f>
        <v>22.83</v>
      </c>
      <c r="J215" s="12" t="n">
        <f aca="false">INDEX(Destination!$G$2:$G$501,MATCH(D215,Destination!$A$2:$A$501,0))</f>
        <v>69.35</v>
      </c>
      <c r="K215" s="17" t="n">
        <f aca="false">Assumptions!$B$2*2*ASIN(SQRT(SIN(RADIANS(I215-G215)/2)^2+COS(RADIANS(G215))*COS(RADIANS(I215))*SIN(RADIANS(J215-H215)/2)^2))</f>
        <v>87.5592338645733</v>
      </c>
      <c r="L215" s="18" t="n">
        <f aca="false">K215*Assumptions!$B$3</f>
        <v>113.827004023945</v>
      </c>
      <c r="M215" s="19" t="n">
        <f aca="false">L215/Assumptions!$B$4</f>
        <v>2.5294889783099</v>
      </c>
      <c r="N215" s="9" t="s">
        <v>1365</v>
      </c>
    </row>
    <row r="216" customFormat="false" ht="15" hidden="false" customHeight="false" outlineLevel="0" collapsed="false">
      <c r="A216" s="9" t="s">
        <v>1579</v>
      </c>
      <c r="B216" s="9" t="s">
        <v>262</v>
      </c>
      <c r="C216" s="9" t="str">
        <f aca="false">IFERROR(INDEX(Destination!$B$2:$B$501,MATCH(B216,Destination!$A$2:$A$501,0)),"")</f>
        <v>Kutch</v>
      </c>
      <c r="D216" s="9" t="s">
        <v>268</v>
      </c>
      <c r="E216" s="9" t="str">
        <f aca="false">IFERROR(INDEX(Destination!$B$2:$B$501,MATCH(D216,Destination!$A$2:$A$501,0)),"")</f>
        <v>Dholavira</v>
      </c>
      <c r="F216" s="9" t="s">
        <v>1364</v>
      </c>
      <c r="G216" s="12" t="n">
        <f aca="false">INDEX(Destination!$F$2:$F$501,MATCH(B216,Destination!$A$2:$A$501,0))</f>
        <v>23.5</v>
      </c>
      <c r="H216" s="12" t="n">
        <f aca="false">INDEX(Destination!$G$2:$G$501,MATCH(B216,Destination!$A$2:$A$501,0))</f>
        <v>69.8</v>
      </c>
      <c r="I216" s="12" t="n">
        <f aca="false">INDEX(Destination!$F$2:$F$501,MATCH(D216,Destination!$A$2:$A$501,0))</f>
        <v>23.89</v>
      </c>
      <c r="J216" s="12" t="n">
        <f aca="false">INDEX(Destination!$G$2:$G$501,MATCH(D216,Destination!$A$2:$A$501,0))</f>
        <v>70.22</v>
      </c>
      <c r="K216" s="17" t="n">
        <f aca="false">Assumptions!$B$2*2*ASIN(SQRT(SIN(RADIANS(I216-G216)/2)^2+COS(RADIANS(G216))*COS(RADIANS(I216))*SIN(RADIANS(J216-H216)/2)^2))</f>
        <v>60.9050641302738</v>
      </c>
      <c r="L216" s="18" t="n">
        <f aca="false">K216*Assumptions!$B$3</f>
        <v>79.1765833693559</v>
      </c>
      <c r="M216" s="19" t="n">
        <f aca="false">L216/Assumptions!$B$4</f>
        <v>1.75947963043013</v>
      </c>
      <c r="N216" s="9" t="s">
        <v>1365</v>
      </c>
    </row>
    <row r="217" customFormat="false" ht="15" hidden="false" customHeight="false" outlineLevel="0" collapsed="false">
      <c r="A217" s="9" t="s">
        <v>1580</v>
      </c>
      <c r="B217" s="9" t="s">
        <v>264</v>
      </c>
      <c r="C217" s="9" t="str">
        <f aca="false">IFERROR(INDEX(Destination!$B$2:$B$501,MATCH(B217,Destination!$A$2:$A$501,0)),"")</f>
        <v>Bhuj</v>
      </c>
      <c r="D217" s="9" t="s">
        <v>266</v>
      </c>
      <c r="E217" s="9" t="str">
        <f aca="false">IFERROR(INDEX(Destination!$B$2:$B$501,MATCH(D217,Destination!$A$2:$A$501,0)),"")</f>
        <v>Mandvi</v>
      </c>
      <c r="F217" s="9" t="s">
        <v>1364</v>
      </c>
      <c r="G217" s="12" t="n">
        <f aca="false">INDEX(Destination!$F$2:$F$501,MATCH(B217,Destination!$A$2:$A$501,0))</f>
        <v>23.25</v>
      </c>
      <c r="H217" s="12" t="n">
        <f aca="false">INDEX(Destination!$G$2:$G$501,MATCH(B217,Destination!$A$2:$A$501,0))</f>
        <v>69.67</v>
      </c>
      <c r="I217" s="12" t="n">
        <f aca="false">INDEX(Destination!$F$2:$F$501,MATCH(D217,Destination!$A$2:$A$501,0))</f>
        <v>22.83</v>
      </c>
      <c r="J217" s="12" t="n">
        <f aca="false">INDEX(Destination!$G$2:$G$501,MATCH(D217,Destination!$A$2:$A$501,0))</f>
        <v>69.35</v>
      </c>
      <c r="K217" s="17" t="n">
        <f aca="false">Assumptions!$B$2*2*ASIN(SQRT(SIN(RADIANS(I217-G217)/2)^2+COS(RADIANS(G217))*COS(RADIANS(I217))*SIN(RADIANS(J217-H217)/2)^2))</f>
        <v>57.0370813752158</v>
      </c>
      <c r="L217" s="18" t="n">
        <f aca="false">K217*Assumptions!$B$3</f>
        <v>74.1482057877805</v>
      </c>
      <c r="M217" s="19" t="n">
        <f aca="false">L217/Assumptions!$B$4</f>
        <v>1.64773790639512</v>
      </c>
      <c r="N217" s="9" t="s">
        <v>1365</v>
      </c>
    </row>
    <row r="218" customFormat="false" ht="15" hidden="false" customHeight="false" outlineLevel="0" collapsed="false">
      <c r="A218" s="9" t="s">
        <v>1581</v>
      </c>
      <c r="B218" s="9" t="s">
        <v>264</v>
      </c>
      <c r="C218" s="9" t="str">
        <f aca="false">IFERROR(INDEX(Destination!$B$2:$B$501,MATCH(B218,Destination!$A$2:$A$501,0)),"")</f>
        <v>Bhuj</v>
      </c>
      <c r="D218" s="9" t="s">
        <v>268</v>
      </c>
      <c r="E218" s="9" t="str">
        <f aca="false">IFERROR(INDEX(Destination!$B$2:$B$501,MATCH(D218,Destination!$A$2:$A$501,0)),"")</f>
        <v>Dholavira</v>
      </c>
      <c r="F218" s="9" t="s">
        <v>1364</v>
      </c>
      <c r="G218" s="12" t="n">
        <f aca="false">INDEX(Destination!$F$2:$F$501,MATCH(B218,Destination!$A$2:$A$501,0))</f>
        <v>23.25</v>
      </c>
      <c r="H218" s="12" t="n">
        <f aca="false">INDEX(Destination!$G$2:$G$501,MATCH(B218,Destination!$A$2:$A$501,0))</f>
        <v>69.67</v>
      </c>
      <c r="I218" s="12" t="n">
        <f aca="false">INDEX(Destination!$F$2:$F$501,MATCH(D218,Destination!$A$2:$A$501,0))</f>
        <v>23.89</v>
      </c>
      <c r="J218" s="12" t="n">
        <f aca="false">INDEX(Destination!$G$2:$G$501,MATCH(D218,Destination!$A$2:$A$501,0))</f>
        <v>70.22</v>
      </c>
      <c r="K218" s="17" t="n">
        <f aca="false">Assumptions!$B$2*2*ASIN(SQRT(SIN(RADIANS(I218-G218)/2)^2+COS(RADIANS(G218))*COS(RADIANS(I218))*SIN(RADIANS(J218-H218)/2)^2))</f>
        <v>90.589899524086</v>
      </c>
      <c r="L218" s="18" t="n">
        <f aca="false">K218*Assumptions!$B$3</f>
        <v>117.766869381312</v>
      </c>
      <c r="M218" s="19" t="n">
        <f aca="false">L218/Assumptions!$B$4</f>
        <v>2.61704154180693</v>
      </c>
      <c r="N218" s="9" t="s">
        <v>1365</v>
      </c>
    </row>
    <row r="219" customFormat="false" ht="15" hidden="false" customHeight="false" outlineLevel="0" collapsed="false">
      <c r="A219" s="9" t="s">
        <v>1582</v>
      </c>
      <c r="B219" s="9" t="s">
        <v>266</v>
      </c>
      <c r="C219" s="9" t="str">
        <f aca="false">IFERROR(INDEX(Destination!$B$2:$B$501,MATCH(B219,Destination!$A$2:$A$501,0)),"")</f>
        <v>Mandvi</v>
      </c>
      <c r="D219" s="9" t="s">
        <v>268</v>
      </c>
      <c r="E219" s="9" t="str">
        <f aca="false">IFERROR(INDEX(Destination!$B$2:$B$501,MATCH(D219,Destination!$A$2:$A$501,0)),"")</f>
        <v>Dholavira</v>
      </c>
      <c r="F219" s="9" t="s">
        <v>1364</v>
      </c>
      <c r="G219" s="12" t="n">
        <f aca="false">INDEX(Destination!$F$2:$F$501,MATCH(B219,Destination!$A$2:$A$501,0))</f>
        <v>22.83</v>
      </c>
      <c r="H219" s="12" t="n">
        <f aca="false">INDEX(Destination!$G$2:$G$501,MATCH(B219,Destination!$A$2:$A$501,0))</f>
        <v>69.35</v>
      </c>
      <c r="I219" s="12" t="n">
        <f aca="false">INDEX(Destination!$F$2:$F$501,MATCH(D219,Destination!$A$2:$A$501,0))</f>
        <v>23.89</v>
      </c>
      <c r="J219" s="12" t="n">
        <f aca="false">INDEX(Destination!$G$2:$G$501,MATCH(D219,Destination!$A$2:$A$501,0))</f>
        <v>70.22</v>
      </c>
      <c r="K219" s="17" t="n">
        <f aca="false">Assumptions!$B$2*2*ASIN(SQRT(SIN(RADIANS(I219-G219)/2)^2+COS(RADIANS(G219))*COS(RADIANS(I219))*SIN(RADIANS(J219-H219)/2)^2))</f>
        <v>147.578394832999</v>
      </c>
      <c r="L219" s="18" t="n">
        <f aca="false">K219*Assumptions!$B$3</f>
        <v>191.851913282899</v>
      </c>
      <c r="M219" s="19" t="n">
        <f aca="false">L219/Assumptions!$B$4</f>
        <v>4.26337585073108</v>
      </c>
      <c r="N219" s="9" t="s">
        <v>1365</v>
      </c>
    </row>
    <row r="220" customFormat="false" ht="15" hidden="false" customHeight="false" outlineLevel="0" collapsed="false">
      <c r="A220" s="9" t="s">
        <v>1583</v>
      </c>
      <c r="B220" s="9" t="s">
        <v>270</v>
      </c>
      <c r="C220" s="9" t="str">
        <f aca="false">IFERROR(INDEX(Destination!$B$2:$B$501,MATCH(B220,Destination!$A$2:$A$501,0)),"")</f>
        <v>Modhera</v>
      </c>
      <c r="D220" s="9" t="s">
        <v>272</v>
      </c>
      <c r="E220" s="9" t="str">
        <f aca="false">IFERROR(INDEX(Destination!$B$2:$B$501,MATCH(D220,Destination!$A$2:$A$501,0)),"")</f>
        <v>Patan</v>
      </c>
      <c r="F220" s="9" t="s">
        <v>1364</v>
      </c>
      <c r="G220" s="12" t="n">
        <f aca="false">INDEX(Destination!$F$2:$F$501,MATCH(B220,Destination!$A$2:$A$501,0))</f>
        <v>23.58</v>
      </c>
      <c r="H220" s="12" t="n">
        <f aca="false">INDEX(Destination!$G$2:$G$501,MATCH(B220,Destination!$A$2:$A$501,0))</f>
        <v>72.13</v>
      </c>
      <c r="I220" s="12" t="n">
        <f aca="false">INDEX(Destination!$F$2:$F$501,MATCH(D220,Destination!$A$2:$A$501,0))</f>
        <v>23.85</v>
      </c>
      <c r="J220" s="12" t="n">
        <f aca="false">INDEX(Destination!$G$2:$G$501,MATCH(D220,Destination!$A$2:$A$501,0))</f>
        <v>72.13</v>
      </c>
      <c r="K220" s="17" t="n">
        <f aca="false">Assumptions!$B$2*2*ASIN(SQRT(SIN(RADIANS(I220-G220)/2)^2+COS(RADIANS(G220))*COS(RADIANS(I220))*SIN(RADIANS(J220-H220)/2)^2))</f>
        <v>30.0226301940312</v>
      </c>
      <c r="L220" s="18" t="n">
        <f aca="false">K220*Assumptions!$B$3</f>
        <v>39.0294192522406</v>
      </c>
      <c r="M220" s="19" t="n">
        <f aca="false">L220/Assumptions!$B$4</f>
        <v>0.867320427827568</v>
      </c>
      <c r="N220" s="9" t="s">
        <v>1365</v>
      </c>
    </row>
    <row r="221" customFormat="false" ht="15" hidden="false" customHeight="false" outlineLevel="0" collapsed="false">
      <c r="A221" s="9" t="s">
        <v>1584</v>
      </c>
      <c r="B221" s="9" t="s">
        <v>270</v>
      </c>
      <c r="C221" s="9" t="str">
        <f aca="false">IFERROR(INDEX(Destination!$B$2:$B$501,MATCH(B221,Destination!$A$2:$A$501,0)),"")</f>
        <v>Modhera</v>
      </c>
      <c r="D221" s="9" t="s">
        <v>284</v>
      </c>
      <c r="E221" s="9" t="str">
        <f aca="false">IFERROR(INDEX(Destination!$B$2:$B$501,MATCH(D221,Destination!$A$2:$A$501,0)),"")</f>
        <v>Gandhinagar</v>
      </c>
      <c r="F221" s="9" t="s">
        <v>1364</v>
      </c>
      <c r="G221" s="12" t="n">
        <f aca="false">INDEX(Destination!$F$2:$F$501,MATCH(B221,Destination!$A$2:$A$501,0))</f>
        <v>23.58</v>
      </c>
      <c r="H221" s="12" t="n">
        <f aca="false">INDEX(Destination!$G$2:$G$501,MATCH(B221,Destination!$A$2:$A$501,0))</f>
        <v>72.13</v>
      </c>
      <c r="I221" s="12" t="n">
        <f aca="false">INDEX(Destination!$F$2:$F$501,MATCH(D221,Destination!$A$2:$A$501,0))</f>
        <v>23.22</v>
      </c>
      <c r="J221" s="12" t="n">
        <f aca="false">INDEX(Destination!$G$2:$G$501,MATCH(D221,Destination!$A$2:$A$501,0))</f>
        <v>72.65</v>
      </c>
      <c r="K221" s="17" t="n">
        <f aca="false">Assumptions!$B$2*2*ASIN(SQRT(SIN(RADIANS(I221-G221)/2)^2+COS(RADIANS(G221))*COS(RADIANS(I221))*SIN(RADIANS(J221-H221)/2)^2))</f>
        <v>66.4708866897111</v>
      </c>
      <c r="L221" s="18" t="n">
        <f aca="false">K221*Assumptions!$B$3</f>
        <v>86.4121526966244</v>
      </c>
      <c r="M221" s="19" t="n">
        <f aca="false">L221/Assumptions!$B$4</f>
        <v>1.92027005992499</v>
      </c>
      <c r="N221" s="9" t="s">
        <v>1365</v>
      </c>
    </row>
    <row r="222" customFormat="false" ht="15" hidden="false" customHeight="false" outlineLevel="0" collapsed="false">
      <c r="A222" s="9" t="s">
        <v>1585</v>
      </c>
      <c r="B222" s="9" t="s">
        <v>270</v>
      </c>
      <c r="C222" s="9" t="str">
        <f aca="false">IFERROR(INDEX(Destination!$B$2:$B$501,MATCH(B222,Destination!$A$2:$A$501,0)),"")</f>
        <v>Modhera</v>
      </c>
      <c r="D222" s="9" t="s">
        <v>286</v>
      </c>
      <c r="E222" s="9" t="str">
        <f aca="false">IFERROR(INDEX(Destination!$B$2:$B$501,MATCH(D222,Destination!$A$2:$A$501,0)),"")</f>
        <v>Siddhpur</v>
      </c>
      <c r="F222" s="9" t="s">
        <v>1364</v>
      </c>
      <c r="G222" s="12" t="n">
        <f aca="false">INDEX(Destination!$F$2:$F$501,MATCH(B222,Destination!$A$2:$A$501,0))</f>
        <v>23.58</v>
      </c>
      <c r="H222" s="12" t="n">
        <f aca="false">INDEX(Destination!$G$2:$G$501,MATCH(B222,Destination!$A$2:$A$501,0))</f>
        <v>72.13</v>
      </c>
      <c r="I222" s="12" t="n">
        <f aca="false">INDEX(Destination!$F$2:$F$501,MATCH(D222,Destination!$A$2:$A$501,0))</f>
        <v>23.92</v>
      </c>
      <c r="J222" s="12" t="n">
        <f aca="false">INDEX(Destination!$G$2:$G$501,MATCH(D222,Destination!$A$2:$A$501,0))</f>
        <v>72.38</v>
      </c>
      <c r="K222" s="17" t="n">
        <f aca="false">Assumptions!$B$2*2*ASIN(SQRT(SIN(RADIANS(I222-G222)/2)^2+COS(RADIANS(G222))*COS(RADIANS(I222))*SIN(RADIANS(J222-H222)/2)^2))</f>
        <v>45.5711943255981</v>
      </c>
      <c r="L222" s="18" t="n">
        <f aca="false">K222*Assumptions!$B$3</f>
        <v>59.2425526232775</v>
      </c>
      <c r="M222" s="19" t="n">
        <f aca="false">L222/Assumptions!$B$4</f>
        <v>1.31650116940617</v>
      </c>
      <c r="N222" s="9" t="s">
        <v>1365</v>
      </c>
    </row>
    <row r="223" customFormat="false" ht="15" hidden="false" customHeight="false" outlineLevel="0" collapsed="false">
      <c r="A223" s="9" t="s">
        <v>1586</v>
      </c>
      <c r="B223" s="9" t="s">
        <v>270</v>
      </c>
      <c r="C223" s="9" t="str">
        <f aca="false">IFERROR(INDEX(Destination!$B$2:$B$501,MATCH(B223,Destination!$A$2:$A$501,0)),"")</f>
        <v>Modhera</v>
      </c>
      <c r="D223" s="9" t="s">
        <v>999</v>
      </c>
      <c r="E223" s="9" t="str">
        <f aca="false">IFERROR(INDEX(Destination!$B$2:$B$501,MATCH(D223,Destination!$A$2:$A$501,0)),"")</f>
        <v>Ahmedabad Heritage City</v>
      </c>
      <c r="F223" s="9" t="s">
        <v>1364</v>
      </c>
      <c r="G223" s="12" t="n">
        <f aca="false">INDEX(Destination!$F$2:$F$501,MATCH(B223,Destination!$A$2:$A$501,0))</f>
        <v>23.58</v>
      </c>
      <c r="H223" s="12" t="n">
        <f aca="false">INDEX(Destination!$G$2:$G$501,MATCH(B223,Destination!$A$2:$A$501,0))</f>
        <v>72.13</v>
      </c>
      <c r="I223" s="12" t="n">
        <f aca="false">INDEX(Destination!$F$2:$F$501,MATCH(D223,Destination!$A$2:$A$501,0))</f>
        <v>23.02</v>
      </c>
      <c r="J223" s="12" t="n">
        <f aca="false">INDEX(Destination!$G$2:$G$501,MATCH(D223,Destination!$A$2:$A$501,0))</f>
        <v>72.58</v>
      </c>
      <c r="K223" s="17" t="n">
        <f aca="false">Assumptions!$B$2*2*ASIN(SQRT(SIN(RADIANS(I223-G223)/2)^2+COS(RADIANS(G223))*COS(RADIANS(I223))*SIN(RADIANS(J223-H223)/2)^2))</f>
        <v>77.3916175501543</v>
      </c>
      <c r="L223" s="18" t="n">
        <f aca="false">K223*Assumptions!$B$3</f>
        <v>100.609102815201</v>
      </c>
      <c r="M223" s="19" t="n">
        <f aca="false">L223/Assumptions!$B$4</f>
        <v>2.23575784033779</v>
      </c>
      <c r="N223" s="9" t="s">
        <v>1365</v>
      </c>
    </row>
    <row r="224" customFormat="false" ht="15" hidden="false" customHeight="false" outlineLevel="0" collapsed="false">
      <c r="A224" s="9" t="s">
        <v>1587</v>
      </c>
      <c r="B224" s="9" t="s">
        <v>272</v>
      </c>
      <c r="C224" s="9" t="str">
        <f aca="false">IFERROR(INDEX(Destination!$B$2:$B$501,MATCH(B224,Destination!$A$2:$A$501,0)),"")</f>
        <v>Patan</v>
      </c>
      <c r="D224" s="9" t="s">
        <v>284</v>
      </c>
      <c r="E224" s="9" t="str">
        <f aca="false">IFERROR(INDEX(Destination!$B$2:$B$501,MATCH(D224,Destination!$A$2:$A$501,0)),"")</f>
        <v>Gandhinagar</v>
      </c>
      <c r="F224" s="9" t="s">
        <v>1364</v>
      </c>
      <c r="G224" s="12" t="n">
        <f aca="false">INDEX(Destination!$F$2:$F$501,MATCH(B224,Destination!$A$2:$A$501,0))</f>
        <v>23.85</v>
      </c>
      <c r="H224" s="12" t="n">
        <f aca="false">INDEX(Destination!$G$2:$G$501,MATCH(B224,Destination!$A$2:$A$501,0))</f>
        <v>72.13</v>
      </c>
      <c r="I224" s="12" t="n">
        <f aca="false">INDEX(Destination!$F$2:$F$501,MATCH(D224,Destination!$A$2:$A$501,0))</f>
        <v>23.22</v>
      </c>
      <c r="J224" s="12" t="n">
        <f aca="false">INDEX(Destination!$G$2:$G$501,MATCH(D224,Destination!$A$2:$A$501,0))</f>
        <v>72.65</v>
      </c>
      <c r="K224" s="17" t="n">
        <f aca="false">Assumptions!$B$2*2*ASIN(SQRT(SIN(RADIANS(I224-G224)/2)^2+COS(RADIANS(G224))*COS(RADIANS(I224))*SIN(RADIANS(J224-H224)/2)^2))</f>
        <v>87.8497250221201</v>
      </c>
      <c r="L224" s="18" t="n">
        <f aca="false">K224*Assumptions!$B$3</f>
        <v>114.204642528756</v>
      </c>
      <c r="M224" s="19" t="n">
        <f aca="false">L224/Assumptions!$B$4</f>
        <v>2.53788094508347</v>
      </c>
      <c r="N224" s="9" t="s">
        <v>1365</v>
      </c>
    </row>
    <row r="225" customFormat="false" ht="15" hidden="false" customHeight="false" outlineLevel="0" collapsed="false">
      <c r="A225" s="9" t="s">
        <v>1588</v>
      </c>
      <c r="B225" s="9" t="s">
        <v>272</v>
      </c>
      <c r="C225" s="9" t="str">
        <f aca="false">IFERROR(INDEX(Destination!$B$2:$B$501,MATCH(B225,Destination!$A$2:$A$501,0)),"")</f>
        <v>Patan</v>
      </c>
      <c r="D225" s="9" t="s">
        <v>286</v>
      </c>
      <c r="E225" s="9" t="str">
        <f aca="false">IFERROR(INDEX(Destination!$B$2:$B$501,MATCH(D225,Destination!$A$2:$A$501,0)),"")</f>
        <v>Siddhpur</v>
      </c>
      <c r="F225" s="9" t="s">
        <v>1364</v>
      </c>
      <c r="G225" s="12" t="n">
        <f aca="false">INDEX(Destination!$F$2:$F$501,MATCH(B225,Destination!$A$2:$A$501,0))</f>
        <v>23.85</v>
      </c>
      <c r="H225" s="12" t="n">
        <f aca="false">INDEX(Destination!$G$2:$G$501,MATCH(B225,Destination!$A$2:$A$501,0))</f>
        <v>72.13</v>
      </c>
      <c r="I225" s="12" t="n">
        <f aca="false">INDEX(Destination!$F$2:$F$501,MATCH(D225,Destination!$A$2:$A$501,0))</f>
        <v>23.92</v>
      </c>
      <c r="J225" s="12" t="n">
        <f aca="false">INDEX(Destination!$G$2:$G$501,MATCH(D225,Destination!$A$2:$A$501,0))</f>
        <v>72.38</v>
      </c>
      <c r="K225" s="17" t="n">
        <f aca="false">Assumptions!$B$2*2*ASIN(SQRT(SIN(RADIANS(I225-G225)/2)^2+COS(RADIANS(G225))*COS(RADIANS(I225))*SIN(RADIANS(J225-H225)/2)^2))</f>
        <v>26.5831148592831</v>
      </c>
      <c r="L225" s="18" t="n">
        <f aca="false">K225*Assumptions!$B$3</f>
        <v>34.5580493170681</v>
      </c>
      <c r="M225" s="19" t="n">
        <f aca="false">L225/Assumptions!$B$4</f>
        <v>0.767956651490401</v>
      </c>
      <c r="N225" s="9" t="s">
        <v>1365</v>
      </c>
    </row>
    <row r="226" customFormat="false" ht="15" hidden="false" customHeight="false" outlineLevel="0" collapsed="false">
      <c r="A226" s="9" t="s">
        <v>1589</v>
      </c>
      <c r="B226" s="9" t="s">
        <v>274</v>
      </c>
      <c r="C226" s="9" t="str">
        <f aca="false">IFERROR(INDEX(Destination!$B$2:$B$501,MATCH(B226,Destination!$A$2:$A$501,0)),"")</f>
        <v>Champaner</v>
      </c>
      <c r="D226" s="9" t="s">
        <v>999</v>
      </c>
      <c r="E226" s="9" t="str">
        <f aca="false">IFERROR(INDEX(Destination!$B$2:$B$501,MATCH(D226,Destination!$A$2:$A$501,0)),"")</f>
        <v>Ahmedabad Heritage City</v>
      </c>
      <c r="F226" s="9" t="s">
        <v>1364</v>
      </c>
      <c r="G226" s="12" t="n">
        <f aca="false">INDEX(Destination!$F$2:$F$501,MATCH(B226,Destination!$A$2:$A$501,0))</f>
        <v>22.49</v>
      </c>
      <c r="H226" s="12" t="n">
        <f aca="false">INDEX(Destination!$G$2:$G$501,MATCH(B226,Destination!$A$2:$A$501,0))</f>
        <v>73.53</v>
      </c>
      <c r="I226" s="12" t="n">
        <f aca="false">INDEX(Destination!$F$2:$F$501,MATCH(D226,Destination!$A$2:$A$501,0))</f>
        <v>23.02</v>
      </c>
      <c r="J226" s="12" t="n">
        <f aca="false">INDEX(Destination!$G$2:$G$501,MATCH(D226,Destination!$A$2:$A$501,0))</f>
        <v>72.58</v>
      </c>
      <c r="K226" s="17" t="n">
        <f aca="false">Assumptions!$B$2*2*ASIN(SQRT(SIN(RADIANS(I226-G226)/2)^2+COS(RADIANS(G226))*COS(RADIANS(I226))*SIN(RADIANS(J226-H226)/2)^2))</f>
        <v>113.852318418067</v>
      </c>
      <c r="L226" s="18" t="n">
        <f aca="false">K226*Assumptions!$B$3</f>
        <v>148.008013943488</v>
      </c>
      <c r="M226" s="19" t="n">
        <f aca="false">L226/Assumptions!$B$4</f>
        <v>3.28906697652195</v>
      </c>
      <c r="N226" s="9" t="s">
        <v>1365</v>
      </c>
    </row>
    <row r="227" customFormat="false" ht="15" hidden="false" customHeight="false" outlineLevel="0" collapsed="false">
      <c r="A227" s="9" t="s">
        <v>1590</v>
      </c>
      <c r="B227" s="9" t="s">
        <v>276</v>
      </c>
      <c r="C227" s="9" t="str">
        <f aca="false">IFERROR(INDEX(Destination!$B$2:$B$501,MATCH(B227,Destination!$A$2:$A$501,0)),"")</f>
        <v>Saputara</v>
      </c>
      <c r="D227" s="9" t="s">
        <v>301</v>
      </c>
      <c r="E227" s="9" t="str">
        <f aca="false">IFERROR(INDEX(Destination!$B$2:$B$501,MATCH(D227,Destination!$A$2:$A$501,0)),"")</f>
        <v>Nashik</v>
      </c>
      <c r="F227" s="9" t="s">
        <v>1364</v>
      </c>
      <c r="G227" s="12" t="n">
        <f aca="false">INDEX(Destination!$F$2:$F$501,MATCH(B227,Destination!$A$2:$A$501,0))</f>
        <v>20.57</v>
      </c>
      <c r="H227" s="12" t="n">
        <f aca="false">INDEX(Destination!$G$2:$G$501,MATCH(B227,Destination!$A$2:$A$501,0))</f>
        <v>73.75</v>
      </c>
      <c r="I227" s="12" t="n">
        <f aca="false">INDEX(Destination!$F$2:$F$501,MATCH(D227,Destination!$A$2:$A$501,0))</f>
        <v>20</v>
      </c>
      <c r="J227" s="12" t="n">
        <f aca="false">INDEX(Destination!$G$2:$G$501,MATCH(D227,Destination!$A$2:$A$501,0))</f>
        <v>73.79</v>
      </c>
      <c r="K227" s="17" t="n">
        <f aca="false">Assumptions!$B$2*2*ASIN(SQRT(SIN(RADIANS(I227-G227)/2)^2+COS(RADIANS(G227))*COS(RADIANS(I227))*SIN(RADIANS(J227-H227)/2)^2))</f>
        <v>63.5182633979149</v>
      </c>
      <c r="L227" s="18" t="n">
        <f aca="false">K227*Assumptions!$B$3</f>
        <v>82.5737424172894</v>
      </c>
      <c r="M227" s="19" t="n">
        <f aca="false">L227/Assumptions!$B$4</f>
        <v>1.83497205371754</v>
      </c>
      <c r="N227" s="9" t="s">
        <v>1365</v>
      </c>
    </row>
    <row r="228" customFormat="false" ht="15" hidden="false" customHeight="false" outlineLevel="0" collapsed="false">
      <c r="A228" s="9" t="s">
        <v>1591</v>
      </c>
      <c r="B228" s="9" t="s">
        <v>276</v>
      </c>
      <c r="C228" s="9" t="str">
        <f aca="false">IFERROR(INDEX(Destination!$B$2:$B$501,MATCH(B228,Destination!$A$2:$A$501,0)),"")</f>
        <v>Saputara</v>
      </c>
      <c r="D228" s="9" t="s">
        <v>988</v>
      </c>
      <c r="E228" s="9" t="str">
        <f aca="false">IFERROR(INDEX(Destination!$B$2:$B$501,MATCH(D228,Destination!$A$2:$A$501,0)),"")</f>
        <v>Silvassa</v>
      </c>
      <c r="F228" s="9" t="s">
        <v>1364</v>
      </c>
      <c r="G228" s="12" t="n">
        <f aca="false">INDEX(Destination!$F$2:$F$501,MATCH(B228,Destination!$A$2:$A$501,0))</f>
        <v>20.57</v>
      </c>
      <c r="H228" s="12" t="n">
        <f aca="false">INDEX(Destination!$G$2:$G$501,MATCH(B228,Destination!$A$2:$A$501,0))</f>
        <v>73.75</v>
      </c>
      <c r="I228" s="12" t="n">
        <f aca="false">INDEX(Destination!$F$2:$F$501,MATCH(D228,Destination!$A$2:$A$501,0))</f>
        <v>20.27</v>
      </c>
      <c r="J228" s="12" t="n">
        <f aca="false">INDEX(Destination!$G$2:$G$501,MATCH(D228,Destination!$A$2:$A$501,0))</f>
        <v>73.01</v>
      </c>
      <c r="K228" s="17" t="n">
        <f aca="false">Assumptions!$B$2*2*ASIN(SQRT(SIN(RADIANS(I228-G228)/2)^2+COS(RADIANS(G228))*COS(RADIANS(I228))*SIN(RADIANS(J228-H228)/2)^2))</f>
        <v>84.0193696944353</v>
      </c>
      <c r="L228" s="18" t="n">
        <f aca="false">K228*Assumptions!$B$3</f>
        <v>109.225180602766</v>
      </c>
      <c r="M228" s="19" t="n">
        <f aca="false">L228/Assumptions!$B$4</f>
        <v>2.42722623561702</v>
      </c>
      <c r="N228" s="9" t="s">
        <v>1365</v>
      </c>
    </row>
    <row r="229" customFormat="false" ht="15" hidden="false" customHeight="false" outlineLevel="0" collapsed="false">
      <c r="A229" s="9" t="s">
        <v>1592</v>
      </c>
      <c r="B229" s="9" t="s">
        <v>276</v>
      </c>
      <c r="C229" s="9" t="str">
        <f aca="false">IFERROR(INDEX(Destination!$B$2:$B$501,MATCH(B229,Destination!$A$2:$A$501,0)),"")</f>
        <v>Saputara</v>
      </c>
      <c r="D229" s="9" t="s">
        <v>990</v>
      </c>
      <c r="E229" s="9" t="str">
        <f aca="false">IFERROR(INDEX(Destination!$B$2:$B$501,MATCH(D229,Destination!$A$2:$A$501,0)),"")</f>
        <v>Daman</v>
      </c>
      <c r="F229" s="9" t="s">
        <v>1364</v>
      </c>
      <c r="G229" s="12" t="n">
        <f aca="false">INDEX(Destination!$F$2:$F$501,MATCH(B229,Destination!$A$2:$A$501,0))</f>
        <v>20.57</v>
      </c>
      <c r="H229" s="12" t="n">
        <f aca="false">INDEX(Destination!$G$2:$G$501,MATCH(B229,Destination!$A$2:$A$501,0))</f>
        <v>73.75</v>
      </c>
      <c r="I229" s="12" t="n">
        <f aca="false">INDEX(Destination!$F$2:$F$501,MATCH(D229,Destination!$A$2:$A$501,0))</f>
        <v>20.4</v>
      </c>
      <c r="J229" s="12" t="n">
        <f aca="false">INDEX(Destination!$G$2:$G$501,MATCH(D229,Destination!$A$2:$A$501,0))</f>
        <v>72.83</v>
      </c>
      <c r="K229" s="17" t="n">
        <f aca="false">Assumptions!$B$2*2*ASIN(SQRT(SIN(RADIANS(I229-G229)/2)^2+COS(RADIANS(G229))*COS(RADIANS(I229))*SIN(RADIANS(J229-H229)/2)^2))</f>
        <v>97.676733604124</v>
      </c>
      <c r="L229" s="18" t="n">
        <f aca="false">K229*Assumptions!$B$3</f>
        <v>126.979753685361</v>
      </c>
      <c r="M229" s="19" t="n">
        <f aca="false">L229/Assumptions!$B$4</f>
        <v>2.82177230411914</v>
      </c>
      <c r="N229" s="9" t="s">
        <v>1365</v>
      </c>
    </row>
    <row r="230" customFormat="false" ht="15" hidden="false" customHeight="false" outlineLevel="0" collapsed="false">
      <c r="A230" s="9" t="s">
        <v>1593</v>
      </c>
      <c r="B230" s="9" t="s">
        <v>278</v>
      </c>
      <c r="C230" s="9" t="str">
        <f aca="false">IFERROR(INDEX(Destination!$B$2:$B$501,MATCH(B230,Destination!$A$2:$A$501,0)),"")</f>
        <v>Junagadh</v>
      </c>
      <c r="D230" s="9" t="s">
        <v>282</v>
      </c>
      <c r="E230" s="9" t="str">
        <f aca="false">IFERROR(INDEX(Destination!$B$2:$B$501,MATCH(D230,Destination!$A$2:$A$501,0)),"")</f>
        <v>Porbandar</v>
      </c>
      <c r="F230" s="9" t="s">
        <v>1364</v>
      </c>
      <c r="G230" s="12" t="n">
        <f aca="false">INDEX(Destination!$F$2:$F$501,MATCH(B230,Destination!$A$2:$A$501,0))</f>
        <v>21.52</v>
      </c>
      <c r="H230" s="12" t="n">
        <f aca="false">INDEX(Destination!$G$2:$G$501,MATCH(B230,Destination!$A$2:$A$501,0))</f>
        <v>70.46</v>
      </c>
      <c r="I230" s="12" t="n">
        <f aca="false">INDEX(Destination!$F$2:$F$501,MATCH(D230,Destination!$A$2:$A$501,0))</f>
        <v>21.64</v>
      </c>
      <c r="J230" s="12" t="n">
        <f aca="false">INDEX(Destination!$G$2:$G$501,MATCH(D230,Destination!$A$2:$A$501,0))</f>
        <v>69.61</v>
      </c>
      <c r="K230" s="17" t="n">
        <f aca="false">Assumptions!$B$2*2*ASIN(SQRT(SIN(RADIANS(I230-G230)/2)^2+COS(RADIANS(G230))*COS(RADIANS(I230))*SIN(RADIANS(J230-H230)/2)^2))</f>
        <v>88.897587208019</v>
      </c>
      <c r="L230" s="18" t="n">
        <f aca="false">K230*Assumptions!$B$3</f>
        <v>115.566863370425</v>
      </c>
      <c r="M230" s="19" t="n">
        <f aca="false">L230/Assumptions!$B$4</f>
        <v>2.56815251934277</v>
      </c>
      <c r="N230" s="9" t="s">
        <v>1365</v>
      </c>
    </row>
    <row r="231" customFormat="false" ht="15" hidden="false" customHeight="false" outlineLevel="0" collapsed="false">
      <c r="A231" s="9" t="s">
        <v>1594</v>
      </c>
      <c r="B231" s="9" t="s">
        <v>278</v>
      </c>
      <c r="C231" s="9" t="str">
        <f aca="false">IFERROR(INDEX(Destination!$B$2:$B$501,MATCH(B231,Destination!$A$2:$A$501,0)),"")</f>
        <v>Junagadh</v>
      </c>
      <c r="D231" s="9" t="s">
        <v>985</v>
      </c>
      <c r="E231" s="9" t="str">
        <f aca="false">IFERROR(INDEX(Destination!$B$2:$B$501,MATCH(D231,Destination!$A$2:$A$501,0)),"")</f>
        <v>Diu</v>
      </c>
      <c r="F231" s="9" t="s">
        <v>1364</v>
      </c>
      <c r="G231" s="12" t="n">
        <f aca="false">INDEX(Destination!$F$2:$F$501,MATCH(B231,Destination!$A$2:$A$501,0))</f>
        <v>21.52</v>
      </c>
      <c r="H231" s="12" t="n">
        <f aca="false">INDEX(Destination!$G$2:$G$501,MATCH(B231,Destination!$A$2:$A$501,0))</f>
        <v>70.46</v>
      </c>
      <c r="I231" s="12" t="n">
        <f aca="false">INDEX(Destination!$F$2:$F$501,MATCH(D231,Destination!$A$2:$A$501,0))</f>
        <v>20.71</v>
      </c>
      <c r="J231" s="12" t="n">
        <f aca="false">INDEX(Destination!$G$2:$G$501,MATCH(D231,Destination!$A$2:$A$501,0))</f>
        <v>70.99</v>
      </c>
      <c r="K231" s="17" t="n">
        <f aca="false">Assumptions!$B$2*2*ASIN(SQRT(SIN(RADIANS(I231-G231)/2)^2+COS(RADIANS(G231))*COS(RADIANS(I231))*SIN(RADIANS(J231-H231)/2)^2))</f>
        <v>105.520439416656</v>
      </c>
      <c r="L231" s="18" t="n">
        <f aca="false">K231*Assumptions!$B$3</f>
        <v>137.176571241652</v>
      </c>
      <c r="M231" s="19" t="n">
        <f aca="false">L231/Assumptions!$B$4</f>
        <v>3.0483682498145</v>
      </c>
      <c r="N231" s="9" t="s">
        <v>1365</v>
      </c>
    </row>
    <row r="232" customFormat="false" ht="15" hidden="false" customHeight="false" outlineLevel="0" collapsed="false">
      <c r="A232" s="9" t="s">
        <v>1595</v>
      </c>
      <c r="B232" s="9" t="s">
        <v>280</v>
      </c>
      <c r="C232" s="9" t="str">
        <f aca="false">IFERROR(INDEX(Destination!$B$2:$B$501,MATCH(B232,Destination!$A$2:$A$501,0)),"")</f>
        <v>Palitana</v>
      </c>
      <c r="D232" s="9" t="s">
        <v>985</v>
      </c>
      <c r="E232" s="9" t="str">
        <f aca="false">IFERROR(INDEX(Destination!$B$2:$B$501,MATCH(D232,Destination!$A$2:$A$501,0)),"")</f>
        <v>Diu</v>
      </c>
      <c r="F232" s="9" t="s">
        <v>1364</v>
      </c>
      <c r="G232" s="12" t="n">
        <f aca="false">INDEX(Destination!$F$2:$F$501,MATCH(B232,Destination!$A$2:$A$501,0))</f>
        <v>21.52</v>
      </c>
      <c r="H232" s="12" t="n">
        <f aca="false">INDEX(Destination!$G$2:$G$501,MATCH(B232,Destination!$A$2:$A$501,0))</f>
        <v>71.82</v>
      </c>
      <c r="I232" s="12" t="n">
        <f aca="false">INDEX(Destination!$F$2:$F$501,MATCH(D232,Destination!$A$2:$A$501,0))</f>
        <v>20.71</v>
      </c>
      <c r="J232" s="12" t="n">
        <f aca="false">INDEX(Destination!$G$2:$G$501,MATCH(D232,Destination!$A$2:$A$501,0))</f>
        <v>70.99</v>
      </c>
      <c r="K232" s="17" t="n">
        <f aca="false">Assumptions!$B$2*2*ASIN(SQRT(SIN(RADIANS(I232-G232)/2)^2+COS(RADIANS(G232))*COS(RADIANS(I232))*SIN(RADIANS(J232-H232)/2)^2))</f>
        <v>124.597036203392</v>
      </c>
      <c r="L232" s="18" t="n">
        <f aca="false">K232*Assumptions!$B$3</f>
        <v>161.97614706441</v>
      </c>
      <c r="M232" s="19" t="n">
        <f aca="false">L232/Assumptions!$B$4</f>
        <v>3.59946993476466</v>
      </c>
      <c r="N232" s="9" t="s">
        <v>1365</v>
      </c>
    </row>
    <row r="233" customFormat="false" ht="15" hidden="false" customHeight="false" outlineLevel="0" collapsed="false">
      <c r="A233" s="9" t="s">
        <v>1596</v>
      </c>
      <c r="B233" s="9" t="s">
        <v>284</v>
      </c>
      <c r="C233" s="9" t="str">
        <f aca="false">IFERROR(INDEX(Destination!$B$2:$B$501,MATCH(B233,Destination!$A$2:$A$501,0)),"")</f>
        <v>Gandhinagar</v>
      </c>
      <c r="D233" s="9" t="s">
        <v>999</v>
      </c>
      <c r="E233" s="9" t="str">
        <f aca="false">IFERROR(INDEX(Destination!$B$2:$B$501,MATCH(D233,Destination!$A$2:$A$501,0)),"")</f>
        <v>Ahmedabad Heritage City</v>
      </c>
      <c r="F233" s="9" t="s">
        <v>1364</v>
      </c>
      <c r="G233" s="12" t="n">
        <f aca="false">INDEX(Destination!$F$2:$F$501,MATCH(B233,Destination!$A$2:$A$501,0))</f>
        <v>23.22</v>
      </c>
      <c r="H233" s="12" t="n">
        <f aca="false">INDEX(Destination!$G$2:$G$501,MATCH(B233,Destination!$A$2:$A$501,0))</f>
        <v>72.65</v>
      </c>
      <c r="I233" s="12" t="n">
        <f aca="false">INDEX(Destination!$F$2:$F$501,MATCH(D233,Destination!$A$2:$A$501,0))</f>
        <v>23.02</v>
      </c>
      <c r="J233" s="12" t="n">
        <f aca="false">INDEX(Destination!$G$2:$G$501,MATCH(D233,Destination!$A$2:$A$501,0))</f>
        <v>72.58</v>
      </c>
      <c r="K233" s="17" t="n">
        <f aca="false">Assumptions!$B$2*2*ASIN(SQRT(SIN(RADIANS(I233-G233)/2)^2+COS(RADIANS(G233))*COS(RADIANS(I233))*SIN(RADIANS(J233-H233)/2)^2))</f>
        <v>23.3627154420186</v>
      </c>
      <c r="L233" s="18" t="n">
        <f aca="false">K233*Assumptions!$B$3</f>
        <v>30.3715300746242</v>
      </c>
      <c r="M233" s="19" t="n">
        <f aca="false">L233/Assumptions!$B$4</f>
        <v>0.674922890547205</v>
      </c>
      <c r="N233" s="9" t="s">
        <v>1365</v>
      </c>
    </row>
    <row r="234" customFormat="false" ht="15" hidden="false" customHeight="false" outlineLevel="0" collapsed="false">
      <c r="A234" s="9" t="s">
        <v>1597</v>
      </c>
      <c r="B234" s="9" t="s">
        <v>288</v>
      </c>
      <c r="C234" s="9" t="str">
        <f aca="false">IFERROR(INDEX(Destination!$B$2:$B$501,MATCH(B234,Destination!$A$2:$A$501,0)),"")</f>
        <v>Mumbai</v>
      </c>
      <c r="D234" s="9" t="s">
        <v>311</v>
      </c>
      <c r="E234" s="9" t="str">
        <f aca="false">IFERROR(INDEX(Destination!$B$2:$B$501,MATCH(D234,Destination!$A$2:$A$501,0)),"")</f>
        <v>Alibaug</v>
      </c>
      <c r="F234" s="9" t="s">
        <v>1364</v>
      </c>
      <c r="G234" s="12" t="n">
        <f aca="false">INDEX(Destination!$F$2:$F$501,MATCH(B234,Destination!$A$2:$A$501,0))</f>
        <v>19.08</v>
      </c>
      <c r="H234" s="12" t="n">
        <f aca="false">INDEX(Destination!$G$2:$G$501,MATCH(B234,Destination!$A$2:$A$501,0))</f>
        <v>72.88</v>
      </c>
      <c r="I234" s="12" t="n">
        <f aca="false">INDEX(Destination!$F$2:$F$501,MATCH(D234,Destination!$A$2:$A$501,0))</f>
        <v>18.64</v>
      </c>
      <c r="J234" s="12" t="n">
        <f aca="false">INDEX(Destination!$G$2:$G$501,MATCH(D234,Destination!$A$2:$A$501,0))</f>
        <v>72.87</v>
      </c>
      <c r="K234" s="17" t="n">
        <f aca="false">Assumptions!$B$2*2*ASIN(SQRT(SIN(RADIANS(I234-G234)/2)^2+COS(RADIANS(G234))*COS(RADIANS(I234))*SIN(RADIANS(J234-H234)/2)^2))</f>
        <v>48.937081751028</v>
      </c>
      <c r="L234" s="18" t="n">
        <f aca="false">K234*Assumptions!$B$3</f>
        <v>63.6182062763364</v>
      </c>
      <c r="M234" s="19" t="n">
        <f aca="false">L234/Assumptions!$B$4</f>
        <v>1.41373791725192</v>
      </c>
      <c r="N234" s="9" t="s">
        <v>1365</v>
      </c>
    </row>
    <row r="235" customFormat="false" ht="15" hidden="false" customHeight="false" outlineLevel="0" collapsed="false">
      <c r="A235" s="9" t="s">
        <v>1598</v>
      </c>
      <c r="B235" s="9" t="s">
        <v>288</v>
      </c>
      <c r="C235" s="9" t="str">
        <f aca="false">IFERROR(INDEX(Destination!$B$2:$B$501,MATCH(B235,Destination!$A$2:$A$501,0)),"")</f>
        <v>Mumbai</v>
      </c>
      <c r="D235" s="9" t="s">
        <v>313</v>
      </c>
      <c r="E235" s="9" t="str">
        <f aca="false">IFERROR(INDEX(Destination!$B$2:$B$501,MATCH(D235,Destination!$A$2:$A$501,0)),"")</f>
        <v>Matheran</v>
      </c>
      <c r="F235" s="9" t="s">
        <v>1364</v>
      </c>
      <c r="G235" s="12" t="n">
        <f aca="false">INDEX(Destination!$F$2:$F$501,MATCH(B235,Destination!$A$2:$A$501,0))</f>
        <v>19.08</v>
      </c>
      <c r="H235" s="12" t="n">
        <f aca="false">INDEX(Destination!$G$2:$G$501,MATCH(B235,Destination!$A$2:$A$501,0))</f>
        <v>72.88</v>
      </c>
      <c r="I235" s="12" t="n">
        <f aca="false">INDEX(Destination!$F$2:$F$501,MATCH(D235,Destination!$A$2:$A$501,0))</f>
        <v>18.99</v>
      </c>
      <c r="J235" s="12" t="n">
        <f aca="false">INDEX(Destination!$G$2:$G$501,MATCH(D235,Destination!$A$2:$A$501,0))</f>
        <v>73.27</v>
      </c>
      <c r="K235" s="17" t="n">
        <f aca="false">Assumptions!$B$2*2*ASIN(SQRT(SIN(RADIANS(I235-G235)/2)^2+COS(RADIANS(G235))*COS(RADIANS(I235))*SIN(RADIANS(J235-H235)/2)^2))</f>
        <v>42.1985664654378</v>
      </c>
      <c r="L235" s="18" t="n">
        <f aca="false">K235*Assumptions!$B$3</f>
        <v>54.8581364050692</v>
      </c>
      <c r="M235" s="19" t="n">
        <f aca="false">L235/Assumptions!$B$4</f>
        <v>1.21906969789043</v>
      </c>
      <c r="N235" s="9" t="s">
        <v>1365</v>
      </c>
    </row>
    <row r="236" customFormat="false" ht="15" hidden="false" customHeight="false" outlineLevel="0" collapsed="false">
      <c r="A236" s="9" t="s">
        <v>1599</v>
      </c>
      <c r="B236" s="9" t="s">
        <v>288</v>
      </c>
      <c r="C236" s="9" t="str">
        <f aca="false">IFERROR(INDEX(Destination!$B$2:$B$501,MATCH(B236,Destination!$A$2:$A$501,0)),"")</f>
        <v>Mumbai</v>
      </c>
      <c r="D236" s="9" t="s">
        <v>1002</v>
      </c>
      <c r="E236" s="9" t="str">
        <f aca="false">IFERROR(INDEX(Destination!$B$2:$B$501,MATCH(D236,Destination!$A$2:$A$501,0)),"")</f>
        <v>Mumbai Heritage District</v>
      </c>
      <c r="F236" s="9" t="s">
        <v>1364</v>
      </c>
      <c r="G236" s="12" t="n">
        <f aca="false">INDEX(Destination!$F$2:$F$501,MATCH(B236,Destination!$A$2:$A$501,0))</f>
        <v>19.08</v>
      </c>
      <c r="H236" s="12" t="n">
        <f aca="false">INDEX(Destination!$G$2:$G$501,MATCH(B236,Destination!$A$2:$A$501,0))</f>
        <v>72.88</v>
      </c>
      <c r="I236" s="12" t="n">
        <f aca="false">INDEX(Destination!$F$2:$F$501,MATCH(D236,Destination!$A$2:$A$501,0))</f>
        <v>18.93</v>
      </c>
      <c r="J236" s="12" t="n">
        <f aca="false">INDEX(Destination!$G$2:$G$501,MATCH(D236,Destination!$A$2:$A$501,0))</f>
        <v>72.83</v>
      </c>
      <c r="K236" s="17" t="n">
        <f aca="false">Assumptions!$B$2*2*ASIN(SQRT(SIN(RADIANS(I236-G236)/2)^2+COS(RADIANS(G236))*COS(RADIANS(I236))*SIN(RADIANS(J236-H236)/2)^2))</f>
        <v>17.487988274323</v>
      </c>
      <c r="L236" s="18" t="n">
        <f aca="false">K236*Assumptions!$B$3</f>
        <v>22.7343847566199</v>
      </c>
      <c r="M236" s="19" t="n">
        <f aca="false">L236/Assumptions!$B$4</f>
        <v>0.505208550147109</v>
      </c>
      <c r="N236" s="9" t="s">
        <v>1365</v>
      </c>
    </row>
    <row r="237" customFormat="false" ht="15" hidden="false" customHeight="false" outlineLevel="0" collapsed="false">
      <c r="A237" s="9" t="s">
        <v>1600</v>
      </c>
      <c r="B237" s="9" t="s">
        <v>291</v>
      </c>
      <c r="C237" s="9" t="str">
        <f aca="false">IFERROR(INDEX(Destination!$B$2:$B$501,MATCH(B237,Destination!$A$2:$A$501,0)),"")</f>
        <v>Pune</v>
      </c>
      <c r="D237" s="9" t="s">
        <v>293</v>
      </c>
      <c r="E237" s="9" t="str">
        <f aca="false">IFERROR(INDEX(Destination!$B$2:$B$501,MATCH(D237,Destination!$A$2:$A$501,0)),"")</f>
        <v>Lonavala</v>
      </c>
      <c r="F237" s="9" t="s">
        <v>1364</v>
      </c>
      <c r="G237" s="12" t="n">
        <f aca="false">INDEX(Destination!$F$2:$F$501,MATCH(B237,Destination!$A$2:$A$501,0))</f>
        <v>18.52</v>
      </c>
      <c r="H237" s="12" t="n">
        <f aca="false">INDEX(Destination!$G$2:$G$501,MATCH(B237,Destination!$A$2:$A$501,0))</f>
        <v>73.86</v>
      </c>
      <c r="I237" s="12" t="n">
        <f aca="false">INDEX(Destination!$F$2:$F$501,MATCH(D237,Destination!$A$2:$A$501,0))</f>
        <v>18.75</v>
      </c>
      <c r="J237" s="12" t="n">
        <f aca="false">INDEX(Destination!$G$2:$G$501,MATCH(D237,Destination!$A$2:$A$501,0))</f>
        <v>73.41</v>
      </c>
      <c r="K237" s="17" t="n">
        <f aca="false">Assumptions!$B$2*2*ASIN(SQRT(SIN(RADIANS(I237-G237)/2)^2+COS(RADIANS(G237))*COS(RADIANS(I237))*SIN(RADIANS(J237-H237)/2)^2))</f>
        <v>53.8720062950766</v>
      </c>
      <c r="L237" s="18" t="n">
        <f aca="false">K237*Assumptions!$B$3</f>
        <v>70.0336081835996</v>
      </c>
      <c r="M237" s="19" t="n">
        <f aca="false">L237/Assumptions!$B$4</f>
        <v>1.55630240407999</v>
      </c>
      <c r="N237" s="9" t="s">
        <v>1365</v>
      </c>
    </row>
    <row r="238" customFormat="false" ht="15" hidden="false" customHeight="false" outlineLevel="0" collapsed="false">
      <c r="A238" s="9" t="s">
        <v>1601</v>
      </c>
      <c r="B238" s="9" t="s">
        <v>291</v>
      </c>
      <c r="C238" s="9" t="str">
        <f aca="false">IFERROR(INDEX(Destination!$B$2:$B$501,MATCH(B238,Destination!$A$2:$A$501,0)),"")</f>
        <v>Pune</v>
      </c>
      <c r="D238" s="9" t="s">
        <v>295</v>
      </c>
      <c r="E238" s="9" t="str">
        <f aca="false">IFERROR(INDEX(Destination!$B$2:$B$501,MATCH(D238,Destination!$A$2:$A$501,0)),"")</f>
        <v>Khandala</v>
      </c>
      <c r="F238" s="9" t="s">
        <v>1364</v>
      </c>
      <c r="G238" s="12" t="n">
        <f aca="false">INDEX(Destination!$F$2:$F$501,MATCH(B238,Destination!$A$2:$A$501,0))</f>
        <v>18.52</v>
      </c>
      <c r="H238" s="12" t="n">
        <f aca="false">INDEX(Destination!$G$2:$G$501,MATCH(B238,Destination!$A$2:$A$501,0))</f>
        <v>73.86</v>
      </c>
      <c r="I238" s="12" t="n">
        <f aca="false">INDEX(Destination!$F$2:$F$501,MATCH(D238,Destination!$A$2:$A$501,0))</f>
        <v>18.76</v>
      </c>
      <c r="J238" s="12" t="n">
        <f aca="false">INDEX(Destination!$G$2:$G$501,MATCH(D238,Destination!$A$2:$A$501,0))</f>
        <v>73.38</v>
      </c>
      <c r="K238" s="17" t="n">
        <f aca="false">Assumptions!$B$2*2*ASIN(SQRT(SIN(RADIANS(I238-G238)/2)^2+COS(RADIANS(G238))*COS(RADIANS(I238))*SIN(RADIANS(J238-H238)/2)^2))</f>
        <v>57.1829981877871</v>
      </c>
      <c r="L238" s="18" t="n">
        <f aca="false">K238*Assumptions!$B$3</f>
        <v>74.3378976441232</v>
      </c>
      <c r="M238" s="19" t="n">
        <f aca="false">L238/Assumptions!$B$4</f>
        <v>1.65195328098052</v>
      </c>
      <c r="N238" s="9" t="s">
        <v>1365</v>
      </c>
    </row>
    <row r="239" customFormat="false" ht="15" hidden="false" customHeight="false" outlineLevel="0" collapsed="false">
      <c r="A239" s="9" t="s">
        <v>1602</v>
      </c>
      <c r="B239" s="9" t="s">
        <v>291</v>
      </c>
      <c r="C239" s="9" t="str">
        <f aca="false">IFERROR(INDEX(Destination!$B$2:$B$501,MATCH(B239,Destination!$A$2:$A$501,0)),"")</f>
        <v>Pune</v>
      </c>
      <c r="D239" s="9" t="s">
        <v>297</v>
      </c>
      <c r="E239" s="9" t="str">
        <f aca="false">IFERROR(INDEX(Destination!$B$2:$B$501,MATCH(D239,Destination!$A$2:$A$501,0)),"")</f>
        <v>Mahabaleshwar</v>
      </c>
      <c r="F239" s="9" t="s">
        <v>1364</v>
      </c>
      <c r="G239" s="12" t="n">
        <f aca="false">INDEX(Destination!$F$2:$F$501,MATCH(B239,Destination!$A$2:$A$501,0))</f>
        <v>18.52</v>
      </c>
      <c r="H239" s="12" t="n">
        <f aca="false">INDEX(Destination!$G$2:$G$501,MATCH(B239,Destination!$A$2:$A$501,0))</f>
        <v>73.86</v>
      </c>
      <c r="I239" s="12" t="n">
        <f aca="false">INDEX(Destination!$F$2:$F$501,MATCH(D239,Destination!$A$2:$A$501,0))</f>
        <v>17.92</v>
      </c>
      <c r="J239" s="12" t="n">
        <f aca="false">INDEX(Destination!$G$2:$G$501,MATCH(D239,Destination!$A$2:$A$501,0))</f>
        <v>73.66</v>
      </c>
      <c r="K239" s="17" t="n">
        <f aca="false">Assumptions!$B$2*2*ASIN(SQRT(SIN(RADIANS(I239-G239)/2)^2+COS(RADIANS(G239))*COS(RADIANS(I239))*SIN(RADIANS(J239-H239)/2)^2))</f>
        <v>69.9812093596926</v>
      </c>
      <c r="L239" s="18" t="n">
        <f aca="false">K239*Assumptions!$B$3</f>
        <v>90.9755721676004</v>
      </c>
      <c r="M239" s="19" t="n">
        <f aca="false">L239/Assumptions!$B$4</f>
        <v>2.02167938150223</v>
      </c>
      <c r="N239" s="9" t="s">
        <v>1365</v>
      </c>
    </row>
    <row r="240" customFormat="false" ht="15" hidden="false" customHeight="false" outlineLevel="0" collapsed="false">
      <c r="A240" s="9" t="s">
        <v>1603</v>
      </c>
      <c r="B240" s="9" t="s">
        <v>291</v>
      </c>
      <c r="C240" s="9" t="str">
        <f aca="false">IFERROR(INDEX(Destination!$B$2:$B$501,MATCH(B240,Destination!$A$2:$A$501,0)),"")</f>
        <v>Pune</v>
      </c>
      <c r="D240" s="9" t="s">
        <v>299</v>
      </c>
      <c r="E240" s="9" t="str">
        <f aca="false">IFERROR(INDEX(Destination!$B$2:$B$501,MATCH(D240,Destination!$A$2:$A$501,0)),"")</f>
        <v>Panchgani</v>
      </c>
      <c r="F240" s="9" t="s">
        <v>1364</v>
      </c>
      <c r="G240" s="12" t="n">
        <f aca="false">INDEX(Destination!$F$2:$F$501,MATCH(B240,Destination!$A$2:$A$501,0))</f>
        <v>18.52</v>
      </c>
      <c r="H240" s="12" t="n">
        <f aca="false">INDEX(Destination!$G$2:$G$501,MATCH(B240,Destination!$A$2:$A$501,0))</f>
        <v>73.86</v>
      </c>
      <c r="I240" s="12" t="n">
        <f aca="false">INDEX(Destination!$F$2:$F$501,MATCH(D240,Destination!$A$2:$A$501,0))</f>
        <v>17.92</v>
      </c>
      <c r="J240" s="12" t="n">
        <f aca="false">INDEX(Destination!$G$2:$G$501,MATCH(D240,Destination!$A$2:$A$501,0))</f>
        <v>73.8</v>
      </c>
      <c r="K240" s="17" t="n">
        <f aca="false">Assumptions!$B$2*2*ASIN(SQRT(SIN(RADIANS(I240-G240)/2)^2+COS(RADIANS(G240))*COS(RADIANS(I240))*SIN(RADIANS(J240-H240)/2)^2))</f>
        <v>67.0172499437391</v>
      </c>
      <c r="L240" s="18" t="n">
        <f aca="false">K240*Assumptions!$B$3</f>
        <v>87.1224249268608</v>
      </c>
      <c r="M240" s="19" t="n">
        <f aca="false">L240/Assumptions!$B$4</f>
        <v>1.93605388726357</v>
      </c>
      <c r="N240" s="9" t="s">
        <v>1365</v>
      </c>
    </row>
    <row r="241" customFormat="false" ht="15" hidden="false" customHeight="false" outlineLevel="0" collapsed="false">
      <c r="A241" s="9" t="s">
        <v>1604</v>
      </c>
      <c r="B241" s="9" t="s">
        <v>291</v>
      </c>
      <c r="C241" s="9" t="str">
        <f aca="false">IFERROR(INDEX(Destination!$B$2:$B$501,MATCH(B241,Destination!$A$2:$A$501,0)),"")</f>
        <v>Pune</v>
      </c>
      <c r="D241" s="9" t="s">
        <v>335</v>
      </c>
      <c r="E241" s="9" t="str">
        <f aca="false">IFERROR(INDEX(Destination!$B$2:$B$501,MATCH(D241,Destination!$A$2:$A$501,0)),"")</f>
        <v>Satara</v>
      </c>
      <c r="F241" s="9" t="s">
        <v>1364</v>
      </c>
      <c r="G241" s="12" t="n">
        <f aca="false">INDEX(Destination!$F$2:$F$501,MATCH(B241,Destination!$A$2:$A$501,0))</f>
        <v>18.52</v>
      </c>
      <c r="H241" s="12" t="n">
        <f aca="false">INDEX(Destination!$G$2:$G$501,MATCH(B241,Destination!$A$2:$A$501,0))</f>
        <v>73.86</v>
      </c>
      <c r="I241" s="12" t="n">
        <f aca="false">INDEX(Destination!$F$2:$F$501,MATCH(D241,Destination!$A$2:$A$501,0))</f>
        <v>17.68</v>
      </c>
      <c r="J241" s="12" t="n">
        <f aca="false">INDEX(Destination!$G$2:$G$501,MATCH(D241,Destination!$A$2:$A$501,0))</f>
        <v>74</v>
      </c>
      <c r="K241" s="17" t="n">
        <f aca="false">Assumptions!$B$2*2*ASIN(SQRT(SIN(RADIANS(I241-G241)/2)^2+COS(RADIANS(G241))*COS(RADIANS(I241))*SIN(RADIANS(J241-H241)/2)^2))</f>
        <v>94.5685095359653</v>
      </c>
      <c r="L241" s="18" t="n">
        <f aca="false">K241*Assumptions!$B$3</f>
        <v>122.939062396755</v>
      </c>
      <c r="M241" s="19" t="n">
        <f aca="false">L241/Assumptions!$B$4</f>
        <v>2.73197916437233</v>
      </c>
      <c r="N241" s="9" t="s">
        <v>1365</v>
      </c>
    </row>
    <row r="242" customFormat="false" ht="15" hidden="false" customHeight="false" outlineLevel="0" collapsed="false">
      <c r="A242" s="9" t="s">
        <v>1605</v>
      </c>
      <c r="B242" s="9" t="s">
        <v>293</v>
      </c>
      <c r="C242" s="9" t="str">
        <f aca="false">IFERROR(INDEX(Destination!$B$2:$B$501,MATCH(B242,Destination!$A$2:$A$501,0)),"")</f>
        <v>Lonavala</v>
      </c>
      <c r="D242" s="9" t="s">
        <v>311</v>
      </c>
      <c r="E242" s="9" t="str">
        <f aca="false">IFERROR(INDEX(Destination!$B$2:$B$501,MATCH(D242,Destination!$A$2:$A$501,0)),"")</f>
        <v>Alibaug</v>
      </c>
      <c r="F242" s="9" t="s">
        <v>1364</v>
      </c>
      <c r="G242" s="12" t="n">
        <f aca="false">INDEX(Destination!$F$2:$F$501,MATCH(B242,Destination!$A$2:$A$501,0))</f>
        <v>18.75</v>
      </c>
      <c r="H242" s="12" t="n">
        <f aca="false">INDEX(Destination!$G$2:$G$501,MATCH(B242,Destination!$A$2:$A$501,0))</f>
        <v>73.41</v>
      </c>
      <c r="I242" s="12" t="n">
        <f aca="false">INDEX(Destination!$F$2:$F$501,MATCH(D242,Destination!$A$2:$A$501,0))</f>
        <v>18.64</v>
      </c>
      <c r="J242" s="12" t="n">
        <f aca="false">INDEX(Destination!$G$2:$G$501,MATCH(D242,Destination!$A$2:$A$501,0))</f>
        <v>72.87</v>
      </c>
      <c r="K242" s="17" t="n">
        <f aca="false">Assumptions!$B$2*2*ASIN(SQRT(SIN(RADIANS(I242-G242)/2)^2+COS(RADIANS(G242))*COS(RADIANS(I242))*SIN(RADIANS(J242-H242)/2)^2))</f>
        <v>58.1774575279286</v>
      </c>
      <c r="L242" s="18" t="n">
        <f aca="false">K242*Assumptions!$B$3</f>
        <v>75.6306947863072</v>
      </c>
      <c r="M242" s="19" t="n">
        <f aca="false">L242/Assumptions!$B$4</f>
        <v>1.68068210636238</v>
      </c>
      <c r="N242" s="9" t="s">
        <v>1365</v>
      </c>
    </row>
    <row r="243" customFormat="false" ht="15" hidden="false" customHeight="false" outlineLevel="0" collapsed="false">
      <c r="A243" s="9" t="s">
        <v>1606</v>
      </c>
      <c r="B243" s="9" t="s">
        <v>293</v>
      </c>
      <c r="C243" s="9" t="str">
        <f aca="false">IFERROR(INDEX(Destination!$B$2:$B$501,MATCH(B243,Destination!$A$2:$A$501,0)),"")</f>
        <v>Lonavala</v>
      </c>
      <c r="D243" s="9" t="s">
        <v>313</v>
      </c>
      <c r="E243" s="9" t="str">
        <f aca="false">IFERROR(INDEX(Destination!$B$2:$B$501,MATCH(D243,Destination!$A$2:$A$501,0)),"")</f>
        <v>Matheran</v>
      </c>
      <c r="F243" s="9" t="s">
        <v>1364</v>
      </c>
      <c r="G243" s="12" t="n">
        <f aca="false">INDEX(Destination!$F$2:$F$501,MATCH(B243,Destination!$A$2:$A$501,0))</f>
        <v>18.75</v>
      </c>
      <c r="H243" s="12" t="n">
        <f aca="false">INDEX(Destination!$G$2:$G$501,MATCH(B243,Destination!$A$2:$A$501,0))</f>
        <v>73.41</v>
      </c>
      <c r="I243" s="12" t="n">
        <f aca="false">INDEX(Destination!$F$2:$F$501,MATCH(D243,Destination!$A$2:$A$501,0))</f>
        <v>18.99</v>
      </c>
      <c r="J243" s="12" t="n">
        <f aca="false">INDEX(Destination!$G$2:$G$501,MATCH(D243,Destination!$A$2:$A$501,0))</f>
        <v>73.27</v>
      </c>
      <c r="K243" s="17" t="n">
        <f aca="false">Assumptions!$B$2*2*ASIN(SQRT(SIN(RADIANS(I243-G243)/2)^2+COS(RADIANS(G243))*COS(RADIANS(I243))*SIN(RADIANS(J243-H243)/2)^2))</f>
        <v>30.4823747847857</v>
      </c>
      <c r="L243" s="18" t="n">
        <f aca="false">K243*Assumptions!$B$3</f>
        <v>39.6270872202214</v>
      </c>
      <c r="M243" s="19" t="n">
        <f aca="false">L243/Assumptions!$B$4</f>
        <v>0.880601938227143</v>
      </c>
      <c r="N243" s="9" t="s">
        <v>1365</v>
      </c>
    </row>
    <row r="244" customFormat="false" ht="15" hidden="false" customHeight="false" outlineLevel="0" collapsed="false">
      <c r="A244" s="9" t="s">
        <v>1607</v>
      </c>
      <c r="B244" s="9" t="s">
        <v>293</v>
      </c>
      <c r="C244" s="9" t="str">
        <f aca="false">IFERROR(INDEX(Destination!$B$2:$B$501,MATCH(B244,Destination!$A$2:$A$501,0)),"")</f>
        <v>Lonavala</v>
      </c>
      <c r="D244" s="9" t="s">
        <v>331</v>
      </c>
      <c r="E244" s="9" t="str">
        <f aca="false">IFERROR(INDEX(Destination!$B$2:$B$501,MATCH(D244,Destination!$A$2:$A$501,0)),"")</f>
        <v>Murud-Janjira</v>
      </c>
      <c r="F244" s="9" t="s">
        <v>1364</v>
      </c>
      <c r="G244" s="12" t="n">
        <f aca="false">INDEX(Destination!$F$2:$F$501,MATCH(B244,Destination!$A$2:$A$501,0))</f>
        <v>18.75</v>
      </c>
      <c r="H244" s="12" t="n">
        <f aca="false">INDEX(Destination!$G$2:$G$501,MATCH(B244,Destination!$A$2:$A$501,0))</f>
        <v>73.41</v>
      </c>
      <c r="I244" s="12" t="n">
        <f aca="false">INDEX(Destination!$F$2:$F$501,MATCH(D244,Destination!$A$2:$A$501,0))</f>
        <v>18.3</v>
      </c>
      <c r="J244" s="12" t="n">
        <f aca="false">INDEX(Destination!$G$2:$G$501,MATCH(D244,Destination!$A$2:$A$501,0))</f>
        <v>72.96</v>
      </c>
      <c r="K244" s="17" t="n">
        <f aca="false">Assumptions!$B$2*2*ASIN(SQRT(SIN(RADIANS(I244-G244)/2)^2+COS(RADIANS(G244))*COS(RADIANS(I244))*SIN(RADIANS(J244-H244)/2)^2))</f>
        <v>68.9549581802035</v>
      </c>
      <c r="L244" s="18" t="n">
        <f aca="false">K244*Assumptions!$B$3</f>
        <v>89.6414456342645</v>
      </c>
      <c r="M244" s="19" t="n">
        <f aca="false">L244/Assumptions!$B$4</f>
        <v>1.99203212520588</v>
      </c>
      <c r="N244" s="9" t="s">
        <v>1365</v>
      </c>
    </row>
    <row r="245" customFormat="false" ht="15" hidden="false" customHeight="false" outlineLevel="0" collapsed="false">
      <c r="A245" s="9" t="s">
        <v>1608</v>
      </c>
      <c r="B245" s="9" t="s">
        <v>295</v>
      </c>
      <c r="C245" s="9" t="str">
        <f aca="false">IFERROR(INDEX(Destination!$B$2:$B$501,MATCH(B245,Destination!$A$2:$A$501,0)),"")</f>
        <v>Khandala</v>
      </c>
      <c r="D245" s="9" t="s">
        <v>311</v>
      </c>
      <c r="E245" s="9" t="str">
        <f aca="false">IFERROR(INDEX(Destination!$B$2:$B$501,MATCH(D245,Destination!$A$2:$A$501,0)),"")</f>
        <v>Alibaug</v>
      </c>
      <c r="F245" s="9" t="s">
        <v>1364</v>
      </c>
      <c r="G245" s="12" t="n">
        <f aca="false">INDEX(Destination!$F$2:$F$501,MATCH(B245,Destination!$A$2:$A$501,0))</f>
        <v>18.76</v>
      </c>
      <c r="H245" s="12" t="n">
        <f aca="false">INDEX(Destination!$G$2:$G$501,MATCH(B245,Destination!$A$2:$A$501,0))</f>
        <v>73.38</v>
      </c>
      <c r="I245" s="12" t="n">
        <f aca="false">INDEX(Destination!$F$2:$F$501,MATCH(D245,Destination!$A$2:$A$501,0))</f>
        <v>18.64</v>
      </c>
      <c r="J245" s="12" t="n">
        <f aca="false">INDEX(Destination!$G$2:$G$501,MATCH(D245,Destination!$A$2:$A$501,0))</f>
        <v>72.87</v>
      </c>
      <c r="K245" s="17" t="n">
        <f aca="false">Assumptions!$B$2*2*ASIN(SQRT(SIN(RADIANS(I245-G245)/2)^2+COS(RADIANS(G245))*COS(RADIANS(I245))*SIN(RADIANS(J245-H245)/2)^2))</f>
        <v>55.3482002436034</v>
      </c>
      <c r="L245" s="18" t="n">
        <f aca="false">K245*Assumptions!$B$3</f>
        <v>71.9526603166845</v>
      </c>
      <c r="M245" s="19" t="n">
        <f aca="false">L245/Assumptions!$B$4</f>
        <v>1.59894800703743</v>
      </c>
      <c r="N245" s="9" t="s">
        <v>1365</v>
      </c>
    </row>
    <row r="246" customFormat="false" ht="15" hidden="false" customHeight="false" outlineLevel="0" collapsed="false">
      <c r="A246" s="9" t="s">
        <v>1609</v>
      </c>
      <c r="B246" s="9" t="s">
        <v>295</v>
      </c>
      <c r="C246" s="9" t="str">
        <f aca="false">IFERROR(INDEX(Destination!$B$2:$B$501,MATCH(B246,Destination!$A$2:$A$501,0)),"")</f>
        <v>Khandala</v>
      </c>
      <c r="D246" s="9" t="s">
        <v>313</v>
      </c>
      <c r="E246" s="9" t="str">
        <f aca="false">IFERROR(INDEX(Destination!$B$2:$B$501,MATCH(D246,Destination!$A$2:$A$501,0)),"")</f>
        <v>Matheran</v>
      </c>
      <c r="F246" s="9" t="s">
        <v>1364</v>
      </c>
      <c r="G246" s="12" t="n">
        <f aca="false">INDEX(Destination!$F$2:$F$501,MATCH(B246,Destination!$A$2:$A$501,0))</f>
        <v>18.76</v>
      </c>
      <c r="H246" s="12" t="n">
        <f aca="false">INDEX(Destination!$G$2:$G$501,MATCH(B246,Destination!$A$2:$A$501,0))</f>
        <v>73.38</v>
      </c>
      <c r="I246" s="12" t="n">
        <f aca="false">INDEX(Destination!$F$2:$F$501,MATCH(D246,Destination!$A$2:$A$501,0))</f>
        <v>18.99</v>
      </c>
      <c r="J246" s="12" t="n">
        <f aca="false">INDEX(Destination!$G$2:$G$501,MATCH(D246,Destination!$A$2:$A$501,0))</f>
        <v>73.27</v>
      </c>
      <c r="K246" s="17" t="n">
        <f aca="false">Assumptions!$B$2*2*ASIN(SQRT(SIN(RADIANS(I246-G246)/2)^2+COS(RADIANS(G246))*COS(RADIANS(I246))*SIN(RADIANS(J246-H246)/2)^2))</f>
        <v>28.0717427120543</v>
      </c>
      <c r="L246" s="18" t="n">
        <f aca="false">K246*Assumptions!$B$3</f>
        <v>36.4932655256705</v>
      </c>
      <c r="M246" s="19" t="n">
        <f aca="false">L246/Assumptions!$B$4</f>
        <v>0.810961456126012</v>
      </c>
      <c r="N246" s="9" t="s">
        <v>1365</v>
      </c>
    </row>
    <row r="247" customFormat="false" ht="15" hidden="false" customHeight="false" outlineLevel="0" collapsed="false">
      <c r="A247" s="9" t="s">
        <v>1610</v>
      </c>
      <c r="B247" s="9" t="s">
        <v>295</v>
      </c>
      <c r="C247" s="9" t="str">
        <f aca="false">IFERROR(INDEX(Destination!$B$2:$B$501,MATCH(B247,Destination!$A$2:$A$501,0)),"")</f>
        <v>Khandala</v>
      </c>
      <c r="D247" s="9" t="s">
        <v>331</v>
      </c>
      <c r="E247" s="9" t="str">
        <f aca="false">IFERROR(INDEX(Destination!$B$2:$B$501,MATCH(D247,Destination!$A$2:$A$501,0)),"")</f>
        <v>Murud-Janjira</v>
      </c>
      <c r="F247" s="9" t="s">
        <v>1364</v>
      </c>
      <c r="G247" s="12" t="n">
        <f aca="false">INDEX(Destination!$F$2:$F$501,MATCH(B247,Destination!$A$2:$A$501,0))</f>
        <v>18.76</v>
      </c>
      <c r="H247" s="12" t="n">
        <f aca="false">INDEX(Destination!$G$2:$G$501,MATCH(B247,Destination!$A$2:$A$501,0))</f>
        <v>73.38</v>
      </c>
      <c r="I247" s="12" t="n">
        <f aca="false">INDEX(Destination!$F$2:$F$501,MATCH(D247,Destination!$A$2:$A$501,0))</f>
        <v>18.3</v>
      </c>
      <c r="J247" s="12" t="n">
        <f aca="false">INDEX(Destination!$G$2:$G$501,MATCH(D247,Destination!$A$2:$A$501,0))</f>
        <v>72.96</v>
      </c>
      <c r="K247" s="17" t="n">
        <f aca="false">Assumptions!$B$2*2*ASIN(SQRT(SIN(RADIANS(I247-G247)/2)^2+COS(RADIANS(G247))*COS(RADIANS(I247))*SIN(RADIANS(J247-H247)/2)^2))</f>
        <v>67.6539410868688</v>
      </c>
      <c r="L247" s="18" t="n">
        <f aca="false">K247*Assumptions!$B$3</f>
        <v>87.9501234129295</v>
      </c>
      <c r="M247" s="19" t="n">
        <f aca="false">L247/Assumptions!$B$4</f>
        <v>1.95444718695399</v>
      </c>
      <c r="N247" s="9" t="s">
        <v>1365</v>
      </c>
    </row>
    <row r="248" customFormat="false" ht="15" hidden="false" customHeight="false" outlineLevel="0" collapsed="false">
      <c r="A248" s="9" t="s">
        <v>1611</v>
      </c>
      <c r="B248" s="9" t="s">
        <v>297</v>
      </c>
      <c r="C248" s="9" t="str">
        <f aca="false">IFERROR(INDEX(Destination!$B$2:$B$501,MATCH(B248,Destination!$A$2:$A$501,0)),"")</f>
        <v>Mahabaleshwar</v>
      </c>
      <c r="D248" s="9" t="s">
        <v>299</v>
      </c>
      <c r="E248" s="9" t="str">
        <f aca="false">IFERROR(INDEX(Destination!$B$2:$B$501,MATCH(D248,Destination!$A$2:$A$501,0)),"")</f>
        <v>Panchgani</v>
      </c>
      <c r="F248" s="9" t="s">
        <v>1364</v>
      </c>
      <c r="G248" s="12" t="n">
        <f aca="false">INDEX(Destination!$F$2:$F$501,MATCH(B248,Destination!$A$2:$A$501,0))</f>
        <v>17.92</v>
      </c>
      <c r="H248" s="12" t="n">
        <f aca="false">INDEX(Destination!$G$2:$G$501,MATCH(B248,Destination!$A$2:$A$501,0))</f>
        <v>73.66</v>
      </c>
      <c r="I248" s="12" t="n">
        <f aca="false">INDEX(Destination!$F$2:$F$501,MATCH(D248,Destination!$A$2:$A$501,0))</f>
        <v>17.92</v>
      </c>
      <c r="J248" s="12" t="n">
        <f aca="false">INDEX(Destination!$G$2:$G$501,MATCH(D248,Destination!$A$2:$A$501,0))</f>
        <v>73.8</v>
      </c>
      <c r="K248" s="17" t="n">
        <f aca="false">Assumptions!$B$2*2*ASIN(SQRT(SIN(RADIANS(I248-G248)/2)^2+COS(RADIANS(G248))*COS(RADIANS(I248))*SIN(RADIANS(J248-H248)/2)^2))</f>
        <v>14.8120743608459</v>
      </c>
      <c r="L248" s="18" t="n">
        <f aca="false">K248*Assumptions!$B$3</f>
        <v>19.2556966690997</v>
      </c>
      <c r="M248" s="19" t="n">
        <f aca="false">L248/Assumptions!$B$4</f>
        <v>0.427904370424437</v>
      </c>
      <c r="N248" s="9" t="s">
        <v>1365</v>
      </c>
    </row>
    <row r="249" customFormat="false" ht="15" hidden="false" customHeight="false" outlineLevel="0" collapsed="false">
      <c r="A249" s="9" t="s">
        <v>1612</v>
      </c>
      <c r="B249" s="9" t="s">
        <v>297</v>
      </c>
      <c r="C249" s="9" t="str">
        <f aca="false">IFERROR(INDEX(Destination!$B$2:$B$501,MATCH(B249,Destination!$A$2:$A$501,0)),"")</f>
        <v>Mahabaleshwar</v>
      </c>
      <c r="D249" s="9" t="s">
        <v>319</v>
      </c>
      <c r="E249" s="9" t="str">
        <f aca="false">IFERROR(INDEX(Destination!$B$2:$B$501,MATCH(D249,Destination!$A$2:$A$501,0)),"")</f>
        <v>Ganpatipule</v>
      </c>
      <c r="F249" s="9" t="s">
        <v>1364</v>
      </c>
      <c r="G249" s="12" t="n">
        <f aca="false">INDEX(Destination!$F$2:$F$501,MATCH(B249,Destination!$A$2:$A$501,0))</f>
        <v>17.92</v>
      </c>
      <c r="H249" s="12" t="n">
        <f aca="false">INDEX(Destination!$G$2:$G$501,MATCH(B249,Destination!$A$2:$A$501,0))</f>
        <v>73.66</v>
      </c>
      <c r="I249" s="12" t="n">
        <f aca="false">INDEX(Destination!$F$2:$F$501,MATCH(D249,Destination!$A$2:$A$501,0))</f>
        <v>17.14</v>
      </c>
      <c r="J249" s="12" t="n">
        <f aca="false">INDEX(Destination!$G$2:$G$501,MATCH(D249,Destination!$A$2:$A$501,0))</f>
        <v>73.27</v>
      </c>
      <c r="K249" s="17" t="n">
        <f aca="false">Assumptions!$B$2*2*ASIN(SQRT(SIN(RADIANS(I249-G249)/2)^2+COS(RADIANS(G249))*COS(RADIANS(I249))*SIN(RADIANS(J249-H249)/2)^2))</f>
        <v>96.0854126659758</v>
      </c>
      <c r="L249" s="18" t="n">
        <f aca="false">K249*Assumptions!$B$3</f>
        <v>124.911036465769</v>
      </c>
      <c r="M249" s="19" t="n">
        <f aca="false">L249/Assumptions!$B$4</f>
        <v>2.77580081035041</v>
      </c>
      <c r="N249" s="9" t="s">
        <v>1365</v>
      </c>
    </row>
    <row r="250" customFormat="false" ht="15" hidden="false" customHeight="false" outlineLevel="0" collapsed="false">
      <c r="A250" s="9" t="s">
        <v>1613</v>
      </c>
      <c r="B250" s="9" t="s">
        <v>297</v>
      </c>
      <c r="C250" s="9" t="str">
        <f aca="false">IFERROR(INDEX(Destination!$B$2:$B$501,MATCH(B250,Destination!$A$2:$A$501,0)),"")</f>
        <v>Mahabaleshwar</v>
      </c>
      <c r="D250" s="9" t="s">
        <v>335</v>
      </c>
      <c r="E250" s="9" t="str">
        <f aca="false">IFERROR(INDEX(Destination!$B$2:$B$501,MATCH(D250,Destination!$A$2:$A$501,0)),"")</f>
        <v>Satara</v>
      </c>
      <c r="F250" s="9" t="s">
        <v>1364</v>
      </c>
      <c r="G250" s="12" t="n">
        <f aca="false">INDEX(Destination!$F$2:$F$501,MATCH(B250,Destination!$A$2:$A$501,0))</f>
        <v>17.92</v>
      </c>
      <c r="H250" s="12" t="n">
        <f aca="false">INDEX(Destination!$G$2:$G$501,MATCH(B250,Destination!$A$2:$A$501,0))</f>
        <v>73.66</v>
      </c>
      <c r="I250" s="12" t="n">
        <f aca="false">INDEX(Destination!$F$2:$F$501,MATCH(D250,Destination!$A$2:$A$501,0))</f>
        <v>17.68</v>
      </c>
      <c r="J250" s="12" t="n">
        <f aca="false">INDEX(Destination!$G$2:$G$501,MATCH(D250,Destination!$A$2:$A$501,0))</f>
        <v>74</v>
      </c>
      <c r="K250" s="17" t="n">
        <f aca="false">Assumptions!$B$2*2*ASIN(SQRT(SIN(RADIANS(I250-G250)/2)^2+COS(RADIANS(G250))*COS(RADIANS(I250))*SIN(RADIANS(J250-H250)/2)^2))</f>
        <v>44.8098991591383</v>
      </c>
      <c r="L250" s="18" t="n">
        <f aca="false">K250*Assumptions!$B$3</f>
        <v>58.2528689068798</v>
      </c>
      <c r="M250" s="19" t="n">
        <f aca="false">L250/Assumptions!$B$4</f>
        <v>1.29450819793066</v>
      </c>
      <c r="N250" s="9" t="s">
        <v>1365</v>
      </c>
    </row>
    <row r="251" customFormat="false" ht="15" hidden="false" customHeight="false" outlineLevel="0" collapsed="false">
      <c r="A251" s="9" t="s">
        <v>1614</v>
      </c>
      <c r="B251" s="9" t="s">
        <v>299</v>
      </c>
      <c r="C251" s="9" t="str">
        <f aca="false">IFERROR(INDEX(Destination!$B$2:$B$501,MATCH(B251,Destination!$A$2:$A$501,0)),"")</f>
        <v>Panchgani</v>
      </c>
      <c r="D251" s="9" t="s">
        <v>335</v>
      </c>
      <c r="E251" s="9" t="str">
        <f aca="false">IFERROR(INDEX(Destination!$B$2:$B$501,MATCH(D251,Destination!$A$2:$A$501,0)),"")</f>
        <v>Satara</v>
      </c>
      <c r="F251" s="9" t="s">
        <v>1364</v>
      </c>
      <c r="G251" s="12" t="n">
        <f aca="false">INDEX(Destination!$F$2:$F$501,MATCH(B251,Destination!$A$2:$A$501,0))</f>
        <v>17.92</v>
      </c>
      <c r="H251" s="12" t="n">
        <f aca="false">INDEX(Destination!$G$2:$G$501,MATCH(B251,Destination!$A$2:$A$501,0))</f>
        <v>73.8</v>
      </c>
      <c r="I251" s="12" t="n">
        <f aca="false">INDEX(Destination!$F$2:$F$501,MATCH(D251,Destination!$A$2:$A$501,0))</f>
        <v>17.68</v>
      </c>
      <c r="J251" s="12" t="n">
        <f aca="false">INDEX(Destination!$G$2:$G$501,MATCH(D251,Destination!$A$2:$A$501,0))</f>
        <v>74</v>
      </c>
      <c r="K251" s="17" t="n">
        <f aca="false">Assumptions!$B$2*2*ASIN(SQRT(SIN(RADIANS(I251-G251)/2)^2+COS(RADIANS(G251))*COS(RADIANS(I251))*SIN(RADIANS(J251-H251)/2)^2))</f>
        <v>34.0666745253295</v>
      </c>
      <c r="L251" s="18" t="n">
        <f aca="false">K251*Assumptions!$B$3</f>
        <v>44.2866768829283</v>
      </c>
      <c r="M251" s="19" t="n">
        <f aca="false">L251/Assumptions!$B$4</f>
        <v>0.984148375176184</v>
      </c>
      <c r="N251" s="9" t="s">
        <v>1365</v>
      </c>
    </row>
    <row r="252" customFormat="false" ht="15" hidden="false" customHeight="false" outlineLevel="0" collapsed="false">
      <c r="A252" s="9" t="s">
        <v>1615</v>
      </c>
      <c r="B252" s="9" t="s">
        <v>301</v>
      </c>
      <c r="C252" s="9" t="str">
        <f aca="false">IFERROR(INDEX(Destination!$B$2:$B$501,MATCH(B252,Destination!$A$2:$A$501,0)),"")</f>
        <v>Nashik</v>
      </c>
      <c r="D252" s="9" t="s">
        <v>303</v>
      </c>
      <c r="E252" s="9" t="str">
        <f aca="false">IFERROR(INDEX(Destination!$B$2:$B$501,MATCH(D252,Destination!$A$2:$A$501,0)),"")</f>
        <v>Shirdi</v>
      </c>
      <c r="F252" s="9" t="s">
        <v>1364</v>
      </c>
      <c r="G252" s="12" t="n">
        <f aca="false">INDEX(Destination!$F$2:$F$501,MATCH(B252,Destination!$A$2:$A$501,0))</f>
        <v>20</v>
      </c>
      <c r="H252" s="12" t="n">
        <f aca="false">INDEX(Destination!$G$2:$G$501,MATCH(B252,Destination!$A$2:$A$501,0))</f>
        <v>73.79</v>
      </c>
      <c r="I252" s="12" t="n">
        <f aca="false">INDEX(Destination!$F$2:$F$501,MATCH(D252,Destination!$A$2:$A$501,0))</f>
        <v>19.77</v>
      </c>
      <c r="J252" s="12" t="n">
        <f aca="false">INDEX(Destination!$G$2:$G$501,MATCH(D252,Destination!$A$2:$A$501,0))</f>
        <v>74.48</v>
      </c>
      <c r="K252" s="17" t="n">
        <f aca="false">Assumptions!$B$2*2*ASIN(SQRT(SIN(RADIANS(I252-G252)/2)^2+COS(RADIANS(G252))*COS(RADIANS(I252))*SIN(RADIANS(J252-H252)/2)^2))</f>
        <v>76.5485029228091</v>
      </c>
      <c r="L252" s="18" t="n">
        <f aca="false">K252*Assumptions!$B$3</f>
        <v>99.5130537996518</v>
      </c>
      <c r="M252" s="19" t="n">
        <f aca="false">L252/Assumptions!$B$4</f>
        <v>2.21140119554782</v>
      </c>
      <c r="N252" s="9" t="s">
        <v>1365</v>
      </c>
    </row>
    <row r="253" customFormat="false" ht="15" hidden="false" customHeight="false" outlineLevel="0" collapsed="false">
      <c r="A253" s="9" t="s">
        <v>1616</v>
      </c>
      <c r="B253" s="9" t="s">
        <v>301</v>
      </c>
      <c r="C253" s="9" t="str">
        <f aca="false">IFERROR(INDEX(Destination!$B$2:$B$501,MATCH(B253,Destination!$A$2:$A$501,0)),"")</f>
        <v>Nashik</v>
      </c>
      <c r="D253" s="9" t="s">
        <v>327</v>
      </c>
      <c r="E253" s="9" t="str">
        <f aca="false">IFERROR(INDEX(Destination!$B$2:$B$501,MATCH(D253,Destination!$A$2:$A$501,0)),"")</f>
        <v>Bhandardara</v>
      </c>
      <c r="F253" s="9" t="s">
        <v>1364</v>
      </c>
      <c r="G253" s="12" t="n">
        <f aca="false">INDEX(Destination!$F$2:$F$501,MATCH(B253,Destination!$A$2:$A$501,0))</f>
        <v>20</v>
      </c>
      <c r="H253" s="12" t="n">
        <f aca="false">INDEX(Destination!$G$2:$G$501,MATCH(B253,Destination!$A$2:$A$501,0))</f>
        <v>73.79</v>
      </c>
      <c r="I253" s="12" t="n">
        <f aca="false">INDEX(Destination!$F$2:$F$501,MATCH(D253,Destination!$A$2:$A$501,0))</f>
        <v>19.54</v>
      </c>
      <c r="J253" s="12" t="n">
        <f aca="false">INDEX(Destination!$G$2:$G$501,MATCH(D253,Destination!$A$2:$A$501,0))</f>
        <v>73.76</v>
      </c>
      <c r="K253" s="17" t="n">
        <f aca="false">Assumptions!$B$2*2*ASIN(SQRT(SIN(RADIANS(I253-G253)/2)^2+COS(RADIANS(G253))*COS(RADIANS(I253))*SIN(RADIANS(J253-H253)/2)^2))</f>
        <v>51.2459074096048</v>
      </c>
      <c r="L253" s="18" t="n">
        <f aca="false">K253*Assumptions!$B$3</f>
        <v>66.6196796324863</v>
      </c>
      <c r="M253" s="19" t="n">
        <f aca="false">L253/Assumptions!$B$4</f>
        <v>1.48043732516636</v>
      </c>
      <c r="N253" s="9" t="s">
        <v>1365</v>
      </c>
    </row>
    <row r="254" customFormat="false" ht="15" hidden="false" customHeight="false" outlineLevel="0" collapsed="false">
      <c r="A254" s="9" t="s">
        <v>1617</v>
      </c>
      <c r="B254" s="9" t="s">
        <v>301</v>
      </c>
      <c r="C254" s="9" t="str">
        <f aca="false">IFERROR(INDEX(Destination!$B$2:$B$501,MATCH(B254,Destination!$A$2:$A$501,0)),"")</f>
        <v>Nashik</v>
      </c>
      <c r="D254" s="9" t="s">
        <v>329</v>
      </c>
      <c r="E254" s="9" t="str">
        <f aca="false">IFERROR(INDEX(Destination!$B$2:$B$501,MATCH(D254,Destination!$A$2:$A$501,0)),"")</f>
        <v>Igatpuri</v>
      </c>
      <c r="F254" s="9" t="s">
        <v>1364</v>
      </c>
      <c r="G254" s="12" t="n">
        <f aca="false">INDEX(Destination!$F$2:$F$501,MATCH(B254,Destination!$A$2:$A$501,0))</f>
        <v>20</v>
      </c>
      <c r="H254" s="12" t="n">
        <f aca="false">INDEX(Destination!$G$2:$G$501,MATCH(B254,Destination!$A$2:$A$501,0))</f>
        <v>73.79</v>
      </c>
      <c r="I254" s="12" t="n">
        <f aca="false">INDEX(Destination!$F$2:$F$501,MATCH(D254,Destination!$A$2:$A$501,0))</f>
        <v>19.7</v>
      </c>
      <c r="J254" s="12" t="n">
        <f aca="false">INDEX(Destination!$G$2:$G$501,MATCH(D254,Destination!$A$2:$A$501,0))</f>
        <v>73.56</v>
      </c>
      <c r="K254" s="17" t="n">
        <f aca="false">Assumptions!$B$2*2*ASIN(SQRT(SIN(RADIANS(I254-G254)/2)^2+COS(RADIANS(G254))*COS(RADIANS(I254))*SIN(RADIANS(J254-H254)/2)^2))</f>
        <v>41.1271632577911</v>
      </c>
      <c r="L254" s="18" t="n">
        <f aca="false">K254*Assumptions!$B$3</f>
        <v>53.4653122351285</v>
      </c>
      <c r="M254" s="19" t="n">
        <f aca="false">L254/Assumptions!$B$4</f>
        <v>1.18811804966952</v>
      </c>
      <c r="N254" s="9" t="s">
        <v>1365</v>
      </c>
    </row>
    <row r="255" customFormat="false" ht="15" hidden="false" customHeight="false" outlineLevel="0" collapsed="false">
      <c r="A255" s="9" t="s">
        <v>1618</v>
      </c>
      <c r="B255" s="9" t="s">
        <v>303</v>
      </c>
      <c r="C255" s="9" t="str">
        <f aca="false">IFERROR(INDEX(Destination!$B$2:$B$501,MATCH(B255,Destination!$A$2:$A$501,0)),"")</f>
        <v>Shirdi</v>
      </c>
      <c r="D255" s="9" t="s">
        <v>305</v>
      </c>
      <c r="E255" s="9" t="str">
        <f aca="false">IFERROR(INDEX(Destination!$B$2:$B$501,MATCH(D255,Destination!$A$2:$A$501,0)),"")</f>
        <v>Chhatrapati Sambhajinagar</v>
      </c>
      <c r="F255" s="9" t="s">
        <v>1364</v>
      </c>
      <c r="G255" s="12" t="n">
        <f aca="false">INDEX(Destination!$F$2:$F$501,MATCH(B255,Destination!$A$2:$A$501,0))</f>
        <v>19.77</v>
      </c>
      <c r="H255" s="12" t="n">
        <f aca="false">INDEX(Destination!$G$2:$G$501,MATCH(B255,Destination!$A$2:$A$501,0))</f>
        <v>74.48</v>
      </c>
      <c r="I255" s="12" t="n">
        <f aca="false">INDEX(Destination!$F$2:$F$501,MATCH(D255,Destination!$A$2:$A$501,0))</f>
        <v>19.88</v>
      </c>
      <c r="J255" s="12" t="n">
        <f aca="false">INDEX(Destination!$G$2:$G$501,MATCH(D255,Destination!$A$2:$A$501,0))</f>
        <v>75.34</v>
      </c>
      <c r="K255" s="17" t="n">
        <f aca="false">Assumptions!$B$2*2*ASIN(SQRT(SIN(RADIANS(I255-G255)/2)^2+COS(RADIANS(G255))*COS(RADIANS(I255))*SIN(RADIANS(J255-H255)/2)^2))</f>
        <v>90.78766433744</v>
      </c>
      <c r="L255" s="18" t="n">
        <f aca="false">K255*Assumptions!$B$3</f>
        <v>118.023963638672</v>
      </c>
      <c r="M255" s="19" t="n">
        <f aca="false">L255/Assumptions!$B$4</f>
        <v>2.62275474752605</v>
      </c>
      <c r="N255" s="9" t="s">
        <v>1365</v>
      </c>
    </row>
    <row r="256" customFormat="false" ht="15" hidden="false" customHeight="false" outlineLevel="0" collapsed="false">
      <c r="A256" s="9" t="s">
        <v>1619</v>
      </c>
      <c r="B256" s="9" t="s">
        <v>303</v>
      </c>
      <c r="C256" s="9" t="str">
        <f aca="false">IFERROR(INDEX(Destination!$B$2:$B$501,MATCH(B256,Destination!$A$2:$A$501,0)),"")</f>
        <v>Shirdi</v>
      </c>
      <c r="D256" s="9" t="s">
        <v>309</v>
      </c>
      <c r="E256" s="9" t="str">
        <f aca="false">IFERROR(INDEX(Destination!$B$2:$B$501,MATCH(D256,Destination!$A$2:$A$501,0)),"")</f>
        <v>Ellora</v>
      </c>
      <c r="F256" s="9" t="s">
        <v>1364</v>
      </c>
      <c r="G256" s="12" t="n">
        <f aca="false">INDEX(Destination!$F$2:$F$501,MATCH(B256,Destination!$A$2:$A$501,0))</f>
        <v>19.77</v>
      </c>
      <c r="H256" s="12" t="n">
        <f aca="false">INDEX(Destination!$G$2:$G$501,MATCH(B256,Destination!$A$2:$A$501,0))</f>
        <v>74.48</v>
      </c>
      <c r="I256" s="12" t="n">
        <f aca="false">INDEX(Destination!$F$2:$F$501,MATCH(D256,Destination!$A$2:$A$501,0))</f>
        <v>20.03</v>
      </c>
      <c r="J256" s="12" t="n">
        <f aca="false">INDEX(Destination!$G$2:$G$501,MATCH(D256,Destination!$A$2:$A$501,0))</f>
        <v>75.18</v>
      </c>
      <c r="K256" s="17" t="n">
        <f aca="false">Assumptions!$B$2*2*ASIN(SQRT(SIN(RADIANS(I256-G256)/2)^2+COS(RADIANS(G256))*COS(RADIANS(I256))*SIN(RADIANS(J256-H256)/2)^2))</f>
        <v>78.6917471735156</v>
      </c>
      <c r="L256" s="18" t="n">
        <f aca="false">K256*Assumptions!$B$3</f>
        <v>102.29927132557</v>
      </c>
      <c r="M256" s="19" t="n">
        <f aca="false">L256/Assumptions!$B$4</f>
        <v>2.27331714056823</v>
      </c>
      <c r="N256" s="9" t="s">
        <v>1365</v>
      </c>
    </row>
    <row r="257" customFormat="false" ht="15" hidden="false" customHeight="false" outlineLevel="0" collapsed="false">
      <c r="A257" s="9" t="s">
        <v>1620</v>
      </c>
      <c r="B257" s="9" t="s">
        <v>303</v>
      </c>
      <c r="C257" s="9" t="str">
        <f aca="false">IFERROR(INDEX(Destination!$B$2:$B$501,MATCH(B257,Destination!$A$2:$A$501,0)),"")</f>
        <v>Shirdi</v>
      </c>
      <c r="D257" s="9" t="s">
        <v>327</v>
      </c>
      <c r="E257" s="9" t="str">
        <f aca="false">IFERROR(INDEX(Destination!$B$2:$B$501,MATCH(D257,Destination!$A$2:$A$501,0)),"")</f>
        <v>Bhandardara</v>
      </c>
      <c r="F257" s="9" t="s">
        <v>1364</v>
      </c>
      <c r="G257" s="12" t="n">
        <f aca="false">INDEX(Destination!$F$2:$F$501,MATCH(B257,Destination!$A$2:$A$501,0))</f>
        <v>19.77</v>
      </c>
      <c r="H257" s="12" t="n">
        <f aca="false">INDEX(Destination!$G$2:$G$501,MATCH(B257,Destination!$A$2:$A$501,0))</f>
        <v>74.48</v>
      </c>
      <c r="I257" s="12" t="n">
        <f aca="false">INDEX(Destination!$F$2:$F$501,MATCH(D257,Destination!$A$2:$A$501,0))</f>
        <v>19.54</v>
      </c>
      <c r="J257" s="12" t="n">
        <f aca="false">INDEX(Destination!$G$2:$G$501,MATCH(D257,Destination!$A$2:$A$501,0))</f>
        <v>73.76</v>
      </c>
      <c r="K257" s="17" t="n">
        <f aca="false">Assumptions!$B$2*2*ASIN(SQRT(SIN(RADIANS(I257-G257)/2)^2+COS(RADIANS(G257))*COS(RADIANS(I257))*SIN(RADIANS(J257-H257)/2)^2))</f>
        <v>79.615038499309</v>
      </c>
      <c r="L257" s="18" t="n">
        <f aca="false">K257*Assumptions!$B$3</f>
        <v>103.499550049102</v>
      </c>
      <c r="M257" s="19" t="n">
        <f aca="false">L257/Assumptions!$B$4</f>
        <v>2.29999000109115</v>
      </c>
      <c r="N257" s="9" t="s">
        <v>1365</v>
      </c>
    </row>
    <row r="258" customFormat="false" ht="15" hidden="false" customHeight="false" outlineLevel="0" collapsed="false">
      <c r="A258" s="9" t="s">
        <v>1621</v>
      </c>
      <c r="B258" s="9" t="s">
        <v>305</v>
      </c>
      <c r="C258" s="9" t="str">
        <f aca="false">IFERROR(INDEX(Destination!$B$2:$B$501,MATCH(B258,Destination!$A$2:$A$501,0)),"")</f>
        <v>Chhatrapati Sambhajinagar</v>
      </c>
      <c r="D258" s="9" t="s">
        <v>307</v>
      </c>
      <c r="E258" s="9" t="str">
        <f aca="false">IFERROR(INDEX(Destination!$B$2:$B$501,MATCH(D258,Destination!$A$2:$A$501,0)),"")</f>
        <v>Ajanta</v>
      </c>
      <c r="F258" s="9" t="s">
        <v>1364</v>
      </c>
      <c r="G258" s="12" t="n">
        <f aca="false">INDEX(Destination!$F$2:$F$501,MATCH(B258,Destination!$A$2:$A$501,0))</f>
        <v>19.88</v>
      </c>
      <c r="H258" s="12" t="n">
        <f aca="false">INDEX(Destination!$G$2:$G$501,MATCH(B258,Destination!$A$2:$A$501,0))</f>
        <v>75.34</v>
      </c>
      <c r="I258" s="12" t="n">
        <f aca="false">INDEX(Destination!$F$2:$F$501,MATCH(D258,Destination!$A$2:$A$501,0))</f>
        <v>20.55</v>
      </c>
      <c r="J258" s="12" t="n">
        <f aca="false">INDEX(Destination!$G$2:$G$501,MATCH(D258,Destination!$A$2:$A$501,0))</f>
        <v>75.7</v>
      </c>
      <c r="K258" s="17" t="n">
        <f aca="false">Assumptions!$B$2*2*ASIN(SQRT(SIN(RADIANS(I258-G258)/2)^2+COS(RADIANS(G258))*COS(RADIANS(I258))*SIN(RADIANS(J258-H258)/2)^2))</f>
        <v>83.4350160349791</v>
      </c>
      <c r="L258" s="18" t="n">
        <f aca="false">K258*Assumptions!$B$3</f>
        <v>108.465520845473</v>
      </c>
      <c r="M258" s="19" t="n">
        <f aca="false">L258/Assumptions!$B$4</f>
        <v>2.41034490767717</v>
      </c>
      <c r="N258" s="9" t="s">
        <v>1365</v>
      </c>
    </row>
    <row r="259" customFormat="false" ht="15" hidden="false" customHeight="false" outlineLevel="0" collapsed="false">
      <c r="A259" s="9" t="s">
        <v>1622</v>
      </c>
      <c r="B259" s="9" t="s">
        <v>305</v>
      </c>
      <c r="C259" s="9" t="str">
        <f aca="false">IFERROR(INDEX(Destination!$B$2:$B$501,MATCH(B259,Destination!$A$2:$A$501,0)),"")</f>
        <v>Chhatrapati Sambhajinagar</v>
      </c>
      <c r="D259" s="9" t="s">
        <v>309</v>
      </c>
      <c r="E259" s="9" t="str">
        <f aca="false">IFERROR(INDEX(Destination!$B$2:$B$501,MATCH(D259,Destination!$A$2:$A$501,0)),"")</f>
        <v>Ellora</v>
      </c>
      <c r="F259" s="9" t="s">
        <v>1364</v>
      </c>
      <c r="G259" s="12" t="n">
        <f aca="false">INDEX(Destination!$F$2:$F$501,MATCH(B259,Destination!$A$2:$A$501,0))</f>
        <v>19.88</v>
      </c>
      <c r="H259" s="12" t="n">
        <f aca="false">INDEX(Destination!$G$2:$G$501,MATCH(B259,Destination!$A$2:$A$501,0))</f>
        <v>75.34</v>
      </c>
      <c r="I259" s="12" t="n">
        <f aca="false">INDEX(Destination!$F$2:$F$501,MATCH(D259,Destination!$A$2:$A$501,0))</f>
        <v>20.03</v>
      </c>
      <c r="J259" s="12" t="n">
        <f aca="false">INDEX(Destination!$G$2:$G$501,MATCH(D259,Destination!$A$2:$A$501,0))</f>
        <v>75.18</v>
      </c>
      <c r="K259" s="17" t="n">
        <f aca="false">Assumptions!$B$2*2*ASIN(SQRT(SIN(RADIANS(I259-G259)/2)^2+COS(RADIANS(G259))*COS(RADIANS(I259))*SIN(RADIANS(J259-H259)/2)^2))</f>
        <v>23.6189805749654</v>
      </c>
      <c r="L259" s="18" t="n">
        <f aca="false">K259*Assumptions!$B$3</f>
        <v>30.704674747455</v>
      </c>
      <c r="M259" s="19" t="n">
        <f aca="false">L259/Assumptions!$B$4</f>
        <v>0.682326105499</v>
      </c>
      <c r="N259" s="9" t="s">
        <v>1365</v>
      </c>
    </row>
    <row r="260" customFormat="false" ht="15" hidden="false" customHeight="false" outlineLevel="0" collapsed="false">
      <c r="A260" s="9" t="s">
        <v>1623</v>
      </c>
      <c r="B260" s="9" t="s">
        <v>305</v>
      </c>
      <c r="C260" s="9" t="str">
        <f aca="false">IFERROR(INDEX(Destination!$B$2:$B$501,MATCH(B260,Destination!$A$2:$A$501,0)),"")</f>
        <v>Chhatrapati Sambhajinagar</v>
      </c>
      <c r="D260" s="9" t="s">
        <v>325</v>
      </c>
      <c r="E260" s="9" t="str">
        <f aca="false">IFERROR(INDEX(Destination!$B$2:$B$501,MATCH(D260,Destination!$A$2:$A$501,0)),"")</f>
        <v>Lonar</v>
      </c>
      <c r="F260" s="9" t="s">
        <v>1364</v>
      </c>
      <c r="G260" s="12" t="n">
        <f aca="false">INDEX(Destination!$F$2:$F$501,MATCH(B260,Destination!$A$2:$A$501,0))</f>
        <v>19.88</v>
      </c>
      <c r="H260" s="12" t="n">
        <f aca="false">INDEX(Destination!$G$2:$G$501,MATCH(B260,Destination!$A$2:$A$501,0))</f>
        <v>75.34</v>
      </c>
      <c r="I260" s="12" t="n">
        <f aca="false">INDEX(Destination!$F$2:$F$501,MATCH(D260,Destination!$A$2:$A$501,0))</f>
        <v>19.98</v>
      </c>
      <c r="J260" s="12" t="n">
        <f aca="false">INDEX(Destination!$G$2:$G$501,MATCH(D260,Destination!$A$2:$A$501,0))</f>
        <v>76.51</v>
      </c>
      <c r="K260" s="17" t="n">
        <f aca="false">Assumptions!$B$2*2*ASIN(SQRT(SIN(RADIANS(I260-G260)/2)^2+COS(RADIANS(G260))*COS(RADIANS(I260))*SIN(RADIANS(J260-H260)/2)^2))</f>
        <v>122.810618656312</v>
      </c>
      <c r="L260" s="18" t="n">
        <f aca="false">K260*Assumptions!$B$3</f>
        <v>159.653804253206</v>
      </c>
      <c r="M260" s="19" t="n">
        <f aca="false">L260/Assumptions!$B$4</f>
        <v>3.54786231673791</v>
      </c>
      <c r="N260" s="9" t="s">
        <v>1365</v>
      </c>
    </row>
    <row r="261" customFormat="false" ht="15" hidden="false" customHeight="false" outlineLevel="0" collapsed="false">
      <c r="A261" s="9" t="s">
        <v>1624</v>
      </c>
      <c r="B261" s="9" t="s">
        <v>307</v>
      </c>
      <c r="C261" s="9" t="str">
        <f aca="false">IFERROR(INDEX(Destination!$B$2:$B$501,MATCH(B261,Destination!$A$2:$A$501,0)),"")</f>
        <v>Ajanta</v>
      </c>
      <c r="D261" s="9" t="s">
        <v>309</v>
      </c>
      <c r="E261" s="9" t="str">
        <f aca="false">IFERROR(INDEX(Destination!$B$2:$B$501,MATCH(D261,Destination!$A$2:$A$501,0)),"")</f>
        <v>Ellora</v>
      </c>
      <c r="F261" s="9" t="s">
        <v>1364</v>
      </c>
      <c r="G261" s="12" t="n">
        <f aca="false">INDEX(Destination!$F$2:$F$501,MATCH(B261,Destination!$A$2:$A$501,0))</f>
        <v>20.55</v>
      </c>
      <c r="H261" s="12" t="n">
        <f aca="false">INDEX(Destination!$G$2:$G$501,MATCH(B261,Destination!$A$2:$A$501,0))</f>
        <v>75.7</v>
      </c>
      <c r="I261" s="12" t="n">
        <f aca="false">INDEX(Destination!$F$2:$F$501,MATCH(D261,Destination!$A$2:$A$501,0))</f>
        <v>20.03</v>
      </c>
      <c r="J261" s="12" t="n">
        <f aca="false">INDEX(Destination!$G$2:$G$501,MATCH(D261,Destination!$A$2:$A$501,0))</f>
        <v>75.18</v>
      </c>
      <c r="K261" s="17" t="n">
        <f aca="false">Assumptions!$B$2*2*ASIN(SQRT(SIN(RADIANS(I261-G261)/2)^2+COS(RADIANS(G261))*COS(RADIANS(I261))*SIN(RADIANS(J261-H261)/2)^2))</f>
        <v>79.2751741067685</v>
      </c>
      <c r="L261" s="18" t="n">
        <f aca="false">K261*Assumptions!$B$3</f>
        <v>103.057726338799</v>
      </c>
      <c r="M261" s="19" t="n">
        <f aca="false">L261/Assumptions!$B$4</f>
        <v>2.29017169641776</v>
      </c>
      <c r="N261" s="9" t="s">
        <v>1365</v>
      </c>
    </row>
    <row r="262" customFormat="false" ht="15" hidden="false" customHeight="false" outlineLevel="0" collapsed="false">
      <c r="A262" s="9" t="s">
        <v>1625</v>
      </c>
      <c r="B262" s="9" t="s">
        <v>307</v>
      </c>
      <c r="C262" s="9" t="str">
        <f aca="false">IFERROR(INDEX(Destination!$B$2:$B$501,MATCH(B262,Destination!$A$2:$A$501,0)),"")</f>
        <v>Ajanta</v>
      </c>
      <c r="D262" s="9" t="s">
        <v>325</v>
      </c>
      <c r="E262" s="9" t="str">
        <f aca="false">IFERROR(INDEX(Destination!$B$2:$B$501,MATCH(D262,Destination!$A$2:$A$501,0)),"")</f>
        <v>Lonar</v>
      </c>
      <c r="F262" s="9" t="s">
        <v>1364</v>
      </c>
      <c r="G262" s="12" t="n">
        <f aca="false">INDEX(Destination!$F$2:$F$501,MATCH(B262,Destination!$A$2:$A$501,0))</f>
        <v>20.55</v>
      </c>
      <c r="H262" s="12" t="n">
        <f aca="false">INDEX(Destination!$G$2:$G$501,MATCH(B262,Destination!$A$2:$A$501,0))</f>
        <v>75.7</v>
      </c>
      <c r="I262" s="12" t="n">
        <f aca="false">INDEX(Destination!$F$2:$F$501,MATCH(D262,Destination!$A$2:$A$501,0))</f>
        <v>19.98</v>
      </c>
      <c r="J262" s="12" t="n">
        <f aca="false">INDEX(Destination!$G$2:$G$501,MATCH(D262,Destination!$A$2:$A$501,0))</f>
        <v>76.51</v>
      </c>
      <c r="K262" s="17" t="n">
        <f aca="false">Assumptions!$B$2*2*ASIN(SQRT(SIN(RADIANS(I262-G262)/2)^2+COS(RADIANS(G262))*COS(RADIANS(I262))*SIN(RADIANS(J262-H262)/2)^2))</f>
        <v>105.622405355879</v>
      </c>
      <c r="L262" s="18" t="n">
        <f aca="false">K262*Assumptions!$B$3</f>
        <v>137.309126962642</v>
      </c>
      <c r="M262" s="19" t="n">
        <f aca="false">L262/Assumptions!$B$4</f>
        <v>3.05131393250316</v>
      </c>
      <c r="N262" s="9" t="s">
        <v>1365</v>
      </c>
    </row>
    <row r="263" customFormat="false" ht="15" hidden="false" customHeight="false" outlineLevel="0" collapsed="false">
      <c r="A263" s="9" t="s">
        <v>1626</v>
      </c>
      <c r="B263" s="9" t="s">
        <v>307</v>
      </c>
      <c r="C263" s="9" t="str">
        <f aca="false">IFERROR(INDEX(Destination!$B$2:$B$501,MATCH(B263,Destination!$A$2:$A$501,0)),"")</f>
        <v>Ajanta</v>
      </c>
      <c r="D263" s="9" t="s">
        <v>777</v>
      </c>
      <c r="E263" s="9" t="str">
        <f aca="false">IFERROR(INDEX(Destination!$B$2:$B$501,MATCH(D263,Destination!$A$2:$A$501,0)),"")</f>
        <v>Burhanpur</v>
      </c>
      <c r="F263" s="9" t="s">
        <v>1364</v>
      </c>
      <c r="G263" s="12" t="n">
        <f aca="false">INDEX(Destination!$F$2:$F$501,MATCH(B263,Destination!$A$2:$A$501,0))</f>
        <v>20.55</v>
      </c>
      <c r="H263" s="12" t="n">
        <f aca="false">INDEX(Destination!$G$2:$G$501,MATCH(B263,Destination!$A$2:$A$501,0))</f>
        <v>75.7</v>
      </c>
      <c r="I263" s="12" t="n">
        <f aca="false">INDEX(Destination!$F$2:$F$501,MATCH(D263,Destination!$A$2:$A$501,0))</f>
        <v>21.31</v>
      </c>
      <c r="J263" s="12" t="n">
        <f aca="false">INDEX(Destination!$G$2:$G$501,MATCH(D263,Destination!$A$2:$A$501,0))</f>
        <v>76.23</v>
      </c>
      <c r="K263" s="17" t="n">
        <f aca="false">Assumptions!$B$2*2*ASIN(SQRT(SIN(RADIANS(I263-G263)/2)^2+COS(RADIANS(G263))*COS(RADIANS(I263))*SIN(RADIANS(J263-H263)/2)^2))</f>
        <v>100.853775239617</v>
      </c>
      <c r="L263" s="18" t="n">
        <f aca="false">K263*Assumptions!$B$3</f>
        <v>131.109907811503</v>
      </c>
      <c r="M263" s="19" t="n">
        <f aca="false">L263/Assumptions!$B$4</f>
        <v>2.91355350692228</v>
      </c>
      <c r="N263" s="9" t="s">
        <v>1365</v>
      </c>
    </row>
    <row r="264" customFormat="false" ht="15" hidden="false" customHeight="false" outlineLevel="0" collapsed="false">
      <c r="A264" s="9" t="s">
        <v>1627</v>
      </c>
      <c r="B264" s="9" t="s">
        <v>309</v>
      </c>
      <c r="C264" s="9" t="str">
        <f aca="false">IFERROR(INDEX(Destination!$B$2:$B$501,MATCH(B264,Destination!$A$2:$A$501,0)),"")</f>
        <v>Ellora</v>
      </c>
      <c r="D264" s="9" t="s">
        <v>325</v>
      </c>
      <c r="E264" s="9" t="str">
        <f aca="false">IFERROR(INDEX(Destination!$B$2:$B$501,MATCH(D264,Destination!$A$2:$A$501,0)),"")</f>
        <v>Lonar</v>
      </c>
      <c r="F264" s="9" t="s">
        <v>1364</v>
      </c>
      <c r="G264" s="12" t="n">
        <f aca="false">INDEX(Destination!$F$2:$F$501,MATCH(B264,Destination!$A$2:$A$501,0))</f>
        <v>20.03</v>
      </c>
      <c r="H264" s="12" t="n">
        <f aca="false">INDEX(Destination!$G$2:$G$501,MATCH(B264,Destination!$A$2:$A$501,0))</f>
        <v>75.18</v>
      </c>
      <c r="I264" s="12" t="n">
        <f aca="false">INDEX(Destination!$F$2:$F$501,MATCH(D264,Destination!$A$2:$A$501,0))</f>
        <v>19.98</v>
      </c>
      <c r="J264" s="12" t="n">
        <f aca="false">INDEX(Destination!$G$2:$G$501,MATCH(D264,Destination!$A$2:$A$501,0))</f>
        <v>76.51</v>
      </c>
      <c r="K264" s="17" t="n">
        <f aca="false">Assumptions!$B$2*2*ASIN(SQRT(SIN(RADIANS(I264-G264)/2)^2+COS(RADIANS(G264))*COS(RADIANS(I264))*SIN(RADIANS(J264-H264)/2)^2))</f>
        <v>139.076826185103</v>
      </c>
      <c r="L264" s="18" t="n">
        <f aca="false">K264*Assumptions!$B$3</f>
        <v>180.799874040633</v>
      </c>
      <c r="M264" s="19" t="n">
        <f aca="false">L264/Assumptions!$B$4</f>
        <v>4.01777497868074</v>
      </c>
      <c r="N264" s="9" t="s">
        <v>1365</v>
      </c>
    </row>
    <row r="265" customFormat="false" ht="15" hidden="false" customHeight="false" outlineLevel="0" collapsed="false">
      <c r="A265" s="9" t="s">
        <v>1628</v>
      </c>
      <c r="B265" s="9" t="s">
        <v>311</v>
      </c>
      <c r="C265" s="9" t="str">
        <f aca="false">IFERROR(INDEX(Destination!$B$2:$B$501,MATCH(B265,Destination!$A$2:$A$501,0)),"")</f>
        <v>Alibaug</v>
      </c>
      <c r="D265" s="9" t="s">
        <v>331</v>
      </c>
      <c r="E265" s="9" t="str">
        <f aca="false">IFERROR(INDEX(Destination!$B$2:$B$501,MATCH(D265,Destination!$A$2:$A$501,0)),"")</f>
        <v>Murud-Janjira</v>
      </c>
      <c r="F265" s="9" t="s">
        <v>1364</v>
      </c>
      <c r="G265" s="12" t="n">
        <f aca="false">INDEX(Destination!$F$2:$F$501,MATCH(B265,Destination!$A$2:$A$501,0))</f>
        <v>18.64</v>
      </c>
      <c r="H265" s="12" t="n">
        <f aca="false">INDEX(Destination!$G$2:$G$501,MATCH(B265,Destination!$A$2:$A$501,0))</f>
        <v>72.87</v>
      </c>
      <c r="I265" s="12" t="n">
        <f aca="false">INDEX(Destination!$F$2:$F$501,MATCH(D265,Destination!$A$2:$A$501,0))</f>
        <v>18.3</v>
      </c>
      <c r="J265" s="12" t="n">
        <f aca="false">INDEX(Destination!$G$2:$G$501,MATCH(D265,Destination!$A$2:$A$501,0))</f>
        <v>72.96</v>
      </c>
      <c r="K265" s="17" t="n">
        <f aca="false">Assumptions!$B$2*2*ASIN(SQRT(SIN(RADIANS(I265-G265)/2)^2+COS(RADIANS(G265))*COS(RADIANS(I265))*SIN(RADIANS(J265-H265)/2)^2))</f>
        <v>38.9796500830813</v>
      </c>
      <c r="L265" s="18" t="n">
        <f aca="false">K265*Assumptions!$B$3</f>
        <v>50.6735451080057</v>
      </c>
      <c r="M265" s="19" t="n">
        <f aca="false">L265/Assumptions!$B$4</f>
        <v>1.12607878017791</v>
      </c>
      <c r="N265" s="9" t="s">
        <v>1365</v>
      </c>
    </row>
    <row r="266" customFormat="false" ht="15" hidden="false" customHeight="false" outlineLevel="0" collapsed="false">
      <c r="A266" s="9" t="s">
        <v>1629</v>
      </c>
      <c r="B266" s="9" t="s">
        <v>311</v>
      </c>
      <c r="C266" s="9" t="str">
        <f aca="false">IFERROR(INDEX(Destination!$B$2:$B$501,MATCH(B266,Destination!$A$2:$A$501,0)),"")</f>
        <v>Alibaug</v>
      </c>
      <c r="D266" s="9" t="s">
        <v>1002</v>
      </c>
      <c r="E266" s="9" t="str">
        <f aca="false">IFERROR(INDEX(Destination!$B$2:$B$501,MATCH(D266,Destination!$A$2:$A$501,0)),"")</f>
        <v>Mumbai Heritage District</v>
      </c>
      <c r="F266" s="9" t="s">
        <v>1364</v>
      </c>
      <c r="G266" s="12" t="n">
        <f aca="false">INDEX(Destination!$F$2:$F$501,MATCH(B266,Destination!$A$2:$A$501,0))</f>
        <v>18.64</v>
      </c>
      <c r="H266" s="12" t="n">
        <f aca="false">INDEX(Destination!$G$2:$G$501,MATCH(B266,Destination!$A$2:$A$501,0))</f>
        <v>72.87</v>
      </c>
      <c r="I266" s="12" t="n">
        <f aca="false">INDEX(Destination!$F$2:$F$501,MATCH(D266,Destination!$A$2:$A$501,0))</f>
        <v>18.93</v>
      </c>
      <c r="J266" s="12" t="n">
        <f aca="false">INDEX(Destination!$G$2:$G$501,MATCH(D266,Destination!$A$2:$A$501,0))</f>
        <v>72.83</v>
      </c>
      <c r="K266" s="17" t="n">
        <f aca="false">Assumptions!$B$2*2*ASIN(SQRT(SIN(RADIANS(I266-G266)/2)^2+COS(RADIANS(G266))*COS(RADIANS(I266))*SIN(RADIANS(J266-H266)/2)^2))</f>
        <v>32.5203023523833</v>
      </c>
      <c r="L266" s="18" t="n">
        <f aca="false">K266*Assumptions!$B$3</f>
        <v>42.2763930580983</v>
      </c>
      <c r="M266" s="19" t="n">
        <f aca="false">L266/Assumptions!$B$4</f>
        <v>0.939475401291073</v>
      </c>
      <c r="N266" s="9" t="s">
        <v>1365</v>
      </c>
    </row>
    <row r="267" customFormat="false" ht="15" hidden="false" customHeight="false" outlineLevel="0" collapsed="false">
      <c r="A267" s="9" t="s">
        <v>1630</v>
      </c>
      <c r="B267" s="9" t="s">
        <v>313</v>
      </c>
      <c r="C267" s="9" t="str">
        <f aca="false">IFERROR(INDEX(Destination!$B$2:$B$501,MATCH(B267,Destination!$A$2:$A$501,0)),"")</f>
        <v>Matheran</v>
      </c>
      <c r="D267" s="9" t="s">
        <v>329</v>
      </c>
      <c r="E267" s="9" t="str">
        <f aca="false">IFERROR(INDEX(Destination!$B$2:$B$501,MATCH(D267,Destination!$A$2:$A$501,0)),"")</f>
        <v>Igatpuri</v>
      </c>
      <c r="F267" s="9" t="s">
        <v>1364</v>
      </c>
      <c r="G267" s="12" t="n">
        <f aca="false">INDEX(Destination!$F$2:$F$501,MATCH(B267,Destination!$A$2:$A$501,0))</f>
        <v>18.99</v>
      </c>
      <c r="H267" s="12" t="n">
        <f aca="false">INDEX(Destination!$G$2:$G$501,MATCH(B267,Destination!$A$2:$A$501,0))</f>
        <v>73.27</v>
      </c>
      <c r="I267" s="12" t="n">
        <f aca="false">INDEX(Destination!$F$2:$F$501,MATCH(D267,Destination!$A$2:$A$501,0))</f>
        <v>19.7</v>
      </c>
      <c r="J267" s="12" t="n">
        <f aca="false">INDEX(Destination!$G$2:$G$501,MATCH(D267,Destination!$A$2:$A$501,0))</f>
        <v>73.56</v>
      </c>
      <c r="K267" s="17" t="n">
        <f aca="false">Assumptions!$B$2*2*ASIN(SQRT(SIN(RADIANS(I267-G267)/2)^2+COS(RADIANS(G267))*COS(RADIANS(I267))*SIN(RADIANS(J267-H267)/2)^2))</f>
        <v>84.6083327158557</v>
      </c>
      <c r="L267" s="18" t="n">
        <f aca="false">K267*Assumptions!$B$3</f>
        <v>109.990832530612</v>
      </c>
      <c r="M267" s="19" t="n">
        <f aca="false">L267/Assumptions!$B$4</f>
        <v>2.4442407229025</v>
      </c>
      <c r="N267" s="9" t="s">
        <v>1365</v>
      </c>
    </row>
    <row r="268" customFormat="false" ht="15" hidden="false" customHeight="false" outlineLevel="0" collapsed="false">
      <c r="A268" s="9" t="s">
        <v>1631</v>
      </c>
      <c r="B268" s="9" t="s">
        <v>313</v>
      </c>
      <c r="C268" s="9" t="str">
        <f aca="false">IFERROR(INDEX(Destination!$B$2:$B$501,MATCH(B268,Destination!$A$2:$A$501,0)),"")</f>
        <v>Matheran</v>
      </c>
      <c r="D268" s="9" t="s">
        <v>1002</v>
      </c>
      <c r="E268" s="9" t="str">
        <f aca="false">IFERROR(INDEX(Destination!$B$2:$B$501,MATCH(D268,Destination!$A$2:$A$501,0)),"")</f>
        <v>Mumbai Heritage District</v>
      </c>
      <c r="F268" s="9" t="s">
        <v>1364</v>
      </c>
      <c r="G268" s="12" t="n">
        <f aca="false">INDEX(Destination!$F$2:$F$501,MATCH(B268,Destination!$A$2:$A$501,0))</f>
        <v>18.99</v>
      </c>
      <c r="H268" s="12" t="n">
        <f aca="false">INDEX(Destination!$G$2:$G$501,MATCH(B268,Destination!$A$2:$A$501,0))</f>
        <v>73.27</v>
      </c>
      <c r="I268" s="12" t="n">
        <f aca="false">INDEX(Destination!$F$2:$F$501,MATCH(D268,Destination!$A$2:$A$501,0))</f>
        <v>18.93</v>
      </c>
      <c r="J268" s="12" t="n">
        <f aca="false">INDEX(Destination!$G$2:$G$501,MATCH(D268,Destination!$A$2:$A$501,0))</f>
        <v>72.83</v>
      </c>
      <c r="K268" s="17" t="n">
        <f aca="false">Assumptions!$B$2*2*ASIN(SQRT(SIN(RADIANS(I268-G268)/2)^2+COS(RADIANS(G268))*COS(RADIANS(I268))*SIN(RADIANS(J268-H268)/2)^2))</f>
        <v>46.7498261131139</v>
      </c>
      <c r="L268" s="18" t="n">
        <f aca="false">K268*Assumptions!$B$3</f>
        <v>60.774773947048</v>
      </c>
      <c r="M268" s="19" t="n">
        <f aca="false">L268/Assumptions!$B$4</f>
        <v>1.35055053215662</v>
      </c>
      <c r="N268" s="9" t="s">
        <v>1365</v>
      </c>
    </row>
    <row r="269" customFormat="false" ht="15" hidden="false" customHeight="false" outlineLevel="0" collapsed="false">
      <c r="A269" s="9" t="s">
        <v>1632</v>
      </c>
      <c r="B269" s="9" t="s">
        <v>315</v>
      </c>
      <c r="C269" s="9" t="str">
        <f aca="false">IFERROR(INDEX(Destination!$B$2:$B$501,MATCH(B269,Destination!$A$2:$A$501,0)),"")</f>
        <v>Kolhapur</v>
      </c>
      <c r="D269" s="9" t="s">
        <v>317</v>
      </c>
      <c r="E269" s="9" t="str">
        <f aca="false">IFERROR(INDEX(Destination!$B$2:$B$501,MATCH(D269,Destination!$A$2:$A$501,0)),"")</f>
        <v>Ratnagiri</v>
      </c>
      <c r="F269" s="9" t="s">
        <v>1364</v>
      </c>
      <c r="G269" s="12" t="n">
        <f aca="false">INDEX(Destination!$F$2:$F$501,MATCH(B269,Destination!$A$2:$A$501,0))</f>
        <v>16.7</v>
      </c>
      <c r="H269" s="12" t="n">
        <f aca="false">INDEX(Destination!$G$2:$G$501,MATCH(B269,Destination!$A$2:$A$501,0))</f>
        <v>74.24</v>
      </c>
      <c r="I269" s="12" t="n">
        <f aca="false">INDEX(Destination!$F$2:$F$501,MATCH(D269,Destination!$A$2:$A$501,0))</f>
        <v>16.99</v>
      </c>
      <c r="J269" s="12" t="n">
        <f aca="false">INDEX(Destination!$G$2:$G$501,MATCH(D269,Destination!$A$2:$A$501,0))</f>
        <v>73.3</v>
      </c>
      <c r="K269" s="17" t="n">
        <f aca="false">Assumptions!$B$2*2*ASIN(SQRT(SIN(RADIANS(I269-G269)/2)^2+COS(RADIANS(G269))*COS(RADIANS(I269))*SIN(RADIANS(J269-H269)/2)^2))</f>
        <v>105.106934922944</v>
      </c>
      <c r="L269" s="18" t="n">
        <f aca="false">K269*Assumptions!$B$3</f>
        <v>136.639015399827</v>
      </c>
      <c r="M269" s="19" t="n">
        <f aca="false">L269/Assumptions!$B$4</f>
        <v>3.03642256444059</v>
      </c>
      <c r="N269" s="9" t="s">
        <v>1365</v>
      </c>
    </row>
    <row r="270" customFormat="false" ht="15" hidden="false" customHeight="false" outlineLevel="0" collapsed="false">
      <c r="A270" s="9" t="s">
        <v>1633</v>
      </c>
      <c r="B270" s="9" t="s">
        <v>315</v>
      </c>
      <c r="C270" s="9" t="str">
        <f aca="false">IFERROR(INDEX(Destination!$B$2:$B$501,MATCH(B270,Destination!$A$2:$A$501,0)),"")</f>
        <v>Kolhapur</v>
      </c>
      <c r="D270" s="9" t="s">
        <v>321</v>
      </c>
      <c r="E270" s="9" t="str">
        <f aca="false">IFERROR(INDEX(Destination!$B$2:$B$501,MATCH(D270,Destination!$A$2:$A$501,0)),"")</f>
        <v>Tarkarli</v>
      </c>
      <c r="F270" s="9" t="s">
        <v>1364</v>
      </c>
      <c r="G270" s="12" t="n">
        <f aca="false">INDEX(Destination!$F$2:$F$501,MATCH(B270,Destination!$A$2:$A$501,0))</f>
        <v>16.7</v>
      </c>
      <c r="H270" s="12" t="n">
        <f aca="false">INDEX(Destination!$G$2:$G$501,MATCH(B270,Destination!$A$2:$A$501,0))</f>
        <v>74.24</v>
      </c>
      <c r="I270" s="12" t="n">
        <f aca="false">INDEX(Destination!$F$2:$F$501,MATCH(D270,Destination!$A$2:$A$501,0))</f>
        <v>16.02</v>
      </c>
      <c r="J270" s="12" t="n">
        <f aca="false">INDEX(Destination!$G$2:$G$501,MATCH(D270,Destination!$A$2:$A$501,0))</f>
        <v>73.47</v>
      </c>
      <c r="K270" s="17" t="n">
        <f aca="false">Assumptions!$B$2*2*ASIN(SQRT(SIN(RADIANS(I270-G270)/2)^2+COS(RADIANS(G270))*COS(RADIANS(I270))*SIN(RADIANS(J270-H270)/2)^2))</f>
        <v>111.652732017352</v>
      </c>
      <c r="L270" s="18" t="n">
        <f aca="false">K270*Assumptions!$B$3</f>
        <v>145.148551622557</v>
      </c>
      <c r="M270" s="19" t="n">
        <f aca="false">L270/Assumptions!$B$4</f>
        <v>3.22552336939017</v>
      </c>
      <c r="N270" s="9" t="s">
        <v>1365</v>
      </c>
    </row>
    <row r="271" customFormat="false" ht="15" hidden="false" customHeight="false" outlineLevel="0" collapsed="false">
      <c r="A271" s="9" t="s">
        <v>1634</v>
      </c>
      <c r="B271" s="9" t="s">
        <v>315</v>
      </c>
      <c r="C271" s="9" t="str">
        <f aca="false">IFERROR(INDEX(Destination!$B$2:$B$501,MATCH(B271,Destination!$A$2:$A$501,0)),"")</f>
        <v>Kolhapur</v>
      </c>
      <c r="D271" s="9" t="s">
        <v>337</v>
      </c>
      <c r="E271" s="9" t="str">
        <f aca="false">IFERROR(INDEX(Destination!$B$2:$B$501,MATCH(D271,Destination!$A$2:$A$501,0)),"")</f>
        <v>Amboli</v>
      </c>
      <c r="F271" s="9" t="s">
        <v>1364</v>
      </c>
      <c r="G271" s="12" t="n">
        <f aca="false">INDEX(Destination!$F$2:$F$501,MATCH(B271,Destination!$A$2:$A$501,0))</f>
        <v>16.7</v>
      </c>
      <c r="H271" s="12" t="n">
        <f aca="false">INDEX(Destination!$G$2:$G$501,MATCH(B271,Destination!$A$2:$A$501,0))</f>
        <v>74.24</v>
      </c>
      <c r="I271" s="12" t="n">
        <f aca="false">INDEX(Destination!$F$2:$F$501,MATCH(D271,Destination!$A$2:$A$501,0))</f>
        <v>15.96</v>
      </c>
      <c r="J271" s="12" t="n">
        <f aca="false">INDEX(Destination!$G$2:$G$501,MATCH(D271,Destination!$A$2:$A$501,0))</f>
        <v>74</v>
      </c>
      <c r="K271" s="17" t="n">
        <f aca="false">Assumptions!$B$2*2*ASIN(SQRT(SIN(RADIANS(I271-G271)/2)^2+COS(RADIANS(G271))*COS(RADIANS(I271))*SIN(RADIANS(J271-H271)/2)^2))</f>
        <v>86.1775339999947</v>
      </c>
      <c r="L271" s="18" t="n">
        <f aca="false">K271*Assumptions!$B$3</f>
        <v>112.030794199993</v>
      </c>
      <c r="M271" s="19" t="n">
        <f aca="false">L271/Assumptions!$B$4</f>
        <v>2.48957320444429</v>
      </c>
      <c r="N271" s="9" t="s">
        <v>1365</v>
      </c>
    </row>
    <row r="272" customFormat="false" ht="15" hidden="false" customHeight="false" outlineLevel="0" collapsed="false">
      <c r="A272" s="9" t="s">
        <v>1635</v>
      </c>
      <c r="B272" s="9" t="s">
        <v>317</v>
      </c>
      <c r="C272" s="9" t="str">
        <f aca="false">IFERROR(INDEX(Destination!$B$2:$B$501,MATCH(B272,Destination!$A$2:$A$501,0)),"")</f>
        <v>Ratnagiri</v>
      </c>
      <c r="D272" s="9" t="s">
        <v>319</v>
      </c>
      <c r="E272" s="9" t="str">
        <f aca="false">IFERROR(INDEX(Destination!$B$2:$B$501,MATCH(D272,Destination!$A$2:$A$501,0)),"")</f>
        <v>Ganpatipule</v>
      </c>
      <c r="F272" s="9" t="s">
        <v>1364</v>
      </c>
      <c r="G272" s="12" t="n">
        <f aca="false">INDEX(Destination!$F$2:$F$501,MATCH(B272,Destination!$A$2:$A$501,0))</f>
        <v>16.99</v>
      </c>
      <c r="H272" s="12" t="n">
        <f aca="false">INDEX(Destination!$G$2:$G$501,MATCH(B272,Destination!$A$2:$A$501,0))</f>
        <v>73.3</v>
      </c>
      <c r="I272" s="12" t="n">
        <f aca="false">INDEX(Destination!$F$2:$F$501,MATCH(D272,Destination!$A$2:$A$501,0))</f>
        <v>17.14</v>
      </c>
      <c r="J272" s="12" t="n">
        <f aca="false">INDEX(Destination!$G$2:$G$501,MATCH(D272,Destination!$A$2:$A$501,0))</f>
        <v>73.27</v>
      </c>
      <c r="K272" s="17" t="n">
        <f aca="false">Assumptions!$B$2*2*ASIN(SQRT(SIN(RADIANS(I272-G272)/2)^2+COS(RADIANS(G272))*COS(RADIANS(I272))*SIN(RADIANS(J272-H272)/2)^2))</f>
        <v>16.9813600934852</v>
      </c>
      <c r="L272" s="18" t="n">
        <f aca="false">K272*Assumptions!$B$3</f>
        <v>22.0757681215307</v>
      </c>
      <c r="M272" s="19" t="n">
        <f aca="false">L272/Assumptions!$B$4</f>
        <v>0.490572624922906</v>
      </c>
      <c r="N272" s="9" t="s">
        <v>1365</v>
      </c>
    </row>
    <row r="273" customFormat="false" ht="15" hidden="false" customHeight="false" outlineLevel="0" collapsed="false">
      <c r="A273" s="9" t="s">
        <v>1636</v>
      </c>
      <c r="B273" s="9" t="s">
        <v>317</v>
      </c>
      <c r="C273" s="9" t="str">
        <f aca="false">IFERROR(INDEX(Destination!$B$2:$B$501,MATCH(B273,Destination!$A$2:$A$501,0)),"")</f>
        <v>Ratnagiri</v>
      </c>
      <c r="D273" s="9" t="s">
        <v>335</v>
      </c>
      <c r="E273" s="9" t="str">
        <f aca="false">IFERROR(INDEX(Destination!$B$2:$B$501,MATCH(D273,Destination!$A$2:$A$501,0)),"")</f>
        <v>Satara</v>
      </c>
      <c r="F273" s="9" t="s">
        <v>1364</v>
      </c>
      <c r="G273" s="12" t="n">
        <f aca="false">INDEX(Destination!$F$2:$F$501,MATCH(B273,Destination!$A$2:$A$501,0))</f>
        <v>16.99</v>
      </c>
      <c r="H273" s="12" t="n">
        <f aca="false">INDEX(Destination!$G$2:$G$501,MATCH(B273,Destination!$A$2:$A$501,0))</f>
        <v>73.3</v>
      </c>
      <c r="I273" s="12" t="n">
        <f aca="false">INDEX(Destination!$F$2:$F$501,MATCH(D273,Destination!$A$2:$A$501,0))</f>
        <v>17.68</v>
      </c>
      <c r="J273" s="12" t="n">
        <f aca="false">INDEX(Destination!$G$2:$G$501,MATCH(D273,Destination!$A$2:$A$501,0))</f>
        <v>74</v>
      </c>
      <c r="K273" s="17" t="n">
        <f aca="false">Assumptions!$B$2*2*ASIN(SQRT(SIN(RADIANS(I273-G273)/2)^2+COS(RADIANS(G273))*COS(RADIANS(I273))*SIN(RADIANS(J273-H273)/2)^2))</f>
        <v>106.804496767599</v>
      </c>
      <c r="L273" s="18" t="n">
        <f aca="false">K273*Assumptions!$B$3</f>
        <v>138.845845797878</v>
      </c>
      <c r="M273" s="19" t="n">
        <f aca="false">L273/Assumptions!$B$4</f>
        <v>3.08546323995285</v>
      </c>
      <c r="N273" s="9" t="s">
        <v>1365</v>
      </c>
    </row>
    <row r="274" customFormat="false" ht="15" hidden="false" customHeight="false" outlineLevel="0" collapsed="false">
      <c r="A274" s="9" t="s">
        <v>1637</v>
      </c>
      <c r="B274" s="9" t="s">
        <v>319</v>
      </c>
      <c r="C274" s="9" t="str">
        <f aca="false">IFERROR(INDEX(Destination!$B$2:$B$501,MATCH(B274,Destination!$A$2:$A$501,0)),"")</f>
        <v>Ganpatipule</v>
      </c>
      <c r="D274" s="9" t="s">
        <v>335</v>
      </c>
      <c r="E274" s="9" t="str">
        <f aca="false">IFERROR(INDEX(Destination!$B$2:$B$501,MATCH(D274,Destination!$A$2:$A$501,0)),"")</f>
        <v>Satara</v>
      </c>
      <c r="F274" s="9" t="s">
        <v>1364</v>
      </c>
      <c r="G274" s="12" t="n">
        <f aca="false">INDEX(Destination!$F$2:$F$501,MATCH(B274,Destination!$A$2:$A$501,0))</f>
        <v>17.14</v>
      </c>
      <c r="H274" s="12" t="n">
        <f aca="false">INDEX(Destination!$G$2:$G$501,MATCH(B274,Destination!$A$2:$A$501,0))</f>
        <v>73.27</v>
      </c>
      <c r="I274" s="12" t="n">
        <f aca="false">INDEX(Destination!$F$2:$F$501,MATCH(D274,Destination!$A$2:$A$501,0))</f>
        <v>17.68</v>
      </c>
      <c r="J274" s="12" t="n">
        <f aca="false">INDEX(Destination!$G$2:$G$501,MATCH(D274,Destination!$A$2:$A$501,0))</f>
        <v>74</v>
      </c>
      <c r="K274" s="17" t="n">
        <f aca="false">Assumptions!$B$2*2*ASIN(SQRT(SIN(RADIANS(I274-G274)/2)^2+COS(RADIANS(G274))*COS(RADIANS(I274))*SIN(RADIANS(J274-H274)/2)^2))</f>
        <v>98.0022195610143</v>
      </c>
      <c r="L274" s="18" t="n">
        <f aca="false">K274*Assumptions!$B$3</f>
        <v>127.402885429319</v>
      </c>
      <c r="M274" s="19" t="n">
        <f aca="false">L274/Assumptions!$B$4</f>
        <v>2.83117523176264</v>
      </c>
      <c r="N274" s="9" t="s">
        <v>1365</v>
      </c>
    </row>
    <row r="275" customFormat="false" ht="15" hidden="false" customHeight="false" outlineLevel="0" collapsed="false">
      <c r="A275" s="9" t="s">
        <v>1638</v>
      </c>
      <c r="B275" s="9" t="s">
        <v>321</v>
      </c>
      <c r="C275" s="9" t="str">
        <f aca="false">IFERROR(INDEX(Destination!$B$2:$B$501,MATCH(B275,Destination!$A$2:$A$501,0)),"")</f>
        <v>Tarkarli</v>
      </c>
      <c r="D275" s="9" t="s">
        <v>352</v>
      </c>
      <c r="E275" s="9" t="str">
        <f aca="false">IFERROR(INDEX(Destination!$B$2:$B$501,MATCH(D275,Destination!$A$2:$A$501,0)),"")</f>
        <v>Vagator</v>
      </c>
      <c r="F275" s="9" t="s">
        <v>1364</v>
      </c>
      <c r="G275" s="12" t="n">
        <f aca="false">INDEX(Destination!$F$2:$F$501,MATCH(B275,Destination!$A$2:$A$501,0))</f>
        <v>16.02</v>
      </c>
      <c r="H275" s="12" t="n">
        <f aca="false">INDEX(Destination!$G$2:$G$501,MATCH(B275,Destination!$A$2:$A$501,0))</f>
        <v>73.47</v>
      </c>
      <c r="I275" s="12" t="n">
        <f aca="false">INDEX(Destination!$F$2:$F$501,MATCH(D275,Destination!$A$2:$A$501,0))</f>
        <v>15.6</v>
      </c>
      <c r="J275" s="12" t="n">
        <f aca="false">INDEX(Destination!$G$2:$G$501,MATCH(D275,Destination!$A$2:$A$501,0))</f>
        <v>73.74</v>
      </c>
      <c r="K275" s="17" t="n">
        <f aca="false">Assumptions!$B$2*2*ASIN(SQRT(SIN(RADIANS(I275-G275)/2)^2+COS(RADIANS(G275))*COS(RADIANS(I275))*SIN(RADIANS(J275-H275)/2)^2))</f>
        <v>54.9136788378482</v>
      </c>
      <c r="L275" s="18" t="n">
        <f aca="false">K275*Assumptions!$B$3</f>
        <v>71.3877824892027</v>
      </c>
      <c r="M275" s="19" t="n">
        <f aca="false">L275/Assumptions!$B$4</f>
        <v>1.58639516642673</v>
      </c>
      <c r="N275" s="9" t="s">
        <v>1365</v>
      </c>
    </row>
    <row r="276" customFormat="false" ht="15" hidden="false" customHeight="false" outlineLevel="0" collapsed="false">
      <c r="A276" s="9" t="s">
        <v>1639</v>
      </c>
      <c r="B276" s="9" t="s">
        <v>321</v>
      </c>
      <c r="C276" s="9" t="str">
        <f aca="false">IFERROR(INDEX(Destination!$B$2:$B$501,MATCH(B276,Destination!$A$2:$A$501,0)),"")</f>
        <v>Tarkarli</v>
      </c>
      <c r="D276" s="9" t="s">
        <v>364</v>
      </c>
      <c r="E276" s="9" t="str">
        <f aca="false">IFERROR(INDEX(Destination!$B$2:$B$501,MATCH(D276,Destination!$A$2:$A$501,0)),"")</f>
        <v>Morjim</v>
      </c>
      <c r="F276" s="9" t="s">
        <v>1364</v>
      </c>
      <c r="G276" s="12" t="n">
        <f aca="false">INDEX(Destination!$F$2:$F$501,MATCH(B276,Destination!$A$2:$A$501,0))</f>
        <v>16.02</v>
      </c>
      <c r="H276" s="12" t="n">
        <f aca="false">INDEX(Destination!$G$2:$G$501,MATCH(B276,Destination!$A$2:$A$501,0))</f>
        <v>73.47</v>
      </c>
      <c r="I276" s="12" t="n">
        <f aca="false">INDEX(Destination!$F$2:$F$501,MATCH(D276,Destination!$A$2:$A$501,0))</f>
        <v>15.63</v>
      </c>
      <c r="J276" s="12" t="n">
        <f aca="false">INDEX(Destination!$G$2:$G$501,MATCH(D276,Destination!$A$2:$A$501,0))</f>
        <v>73.74</v>
      </c>
      <c r="K276" s="17" t="n">
        <f aca="false">Assumptions!$B$2*2*ASIN(SQRT(SIN(RADIANS(I276-G276)/2)^2+COS(RADIANS(G276))*COS(RADIANS(I276))*SIN(RADIANS(J276-H276)/2)^2))</f>
        <v>52.1050498124552</v>
      </c>
      <c r="L276" s="18" t="n">
        <f aca="false">K276*Assumptions!$B$3</f>
        <v>67.7365647561918</v>
      </c>
      <c r="M276" s="19" t="n">
        <f aca="false">L276/Assumptions!$B$4</f>
        <v>1.50525699458204</v>
      </c>
      <c r="N276" s="9" t="s">
        <v>1365</v>
      </c>
    </row>
    <row r="277" customFormat="false" ht="15" hidden="false" customHeight="false" outlineLevel="0" collapsed="false">
      <c r="A277" s="9" t="s">
        <v>1640</v>
      </c>
      <c r="B277" s="9" t="s">
        <v>321</v>
      </c>
      <c r="C277" s="9" t="str">
        <f aca="false">IFERROR(INDEX(Destination!$B$2:$B$501,MATCH(B277,Destination!$A$2:$A$501,0)),"")</f>
        <v>Tarkarli</v>
      </c>
      <c r="D277" s="9" t="s">
        <v>366</v>
      </c>
      <c r="E277" s="9" t="str">
        <f aca="false">IFERROR(INDEX(Destination!$B$2:$B$501,MATCH(D277,Destination!$A$2:$A$501,0)),"")</f>
        <v>Arambol</v>
      </c>
      <c r="F277" s="9" t="s">
        <v>1364</v>
      </c>
      <c r="G277" s="12" t="n">
        <f aca="false">INDEX(Destination!$F$2:$F$501,MATCH(B277,Destination!$A$2:$A$501,0))</f>
        <v>16.02</v>
      </c>
      <c r="H277" s="12" t="n">
        <f aca="false">INDEX(Destination!$G$2:$G$501,MATCH(B277,Destination!$A$2:$A$501,0))</f>
        <v>73.47</v>
      </c>
      <c r="I277" s="12" t="n">
        <f aca="false">INDEX(Destination!$F$2:$F$501,MATCH(D277,Destination!$A$2:$A$501,0))</f>
        <v>15.69</v>
      </c>
      <c r="J277" s="12" t="n">
        <f aca="false">INDEX(Destination!$G$2:$G$501,MATCH(D277,Destination!$A$2:$A$501,0))</f>
        <v>73.7</v>
      </c>
      <c r="K277" s="17" t="n">
        <f aca="false">Assumptions!$B$2*2*ASIN(SQRT(SIN(RADIANS(I277-G277)/2)^2+COS(RADIANS(G277))*COS(RADIANS(I277))*SIN(RADIANS(J277-H277)/2)^2))</f>
        <v>44.1783131651257</v>
      </c>
      <c r="L277" s="18" t="n">
        <f aca="false">K277*Assumptions!$B$3</f>
        <v>57.4318071146634</v>
      </c>
      <c r="M277" s="19" t="n">
        <f aca="false">L277/Assumptions!$B$4</f>
        <v>1.27626238032585</v>
      </c>
      <c r="N277" s="9" t="s">
        <v>1365</v>
      </c>
    </row>
    <row r="278" customFormat="false" ht="15" hidden="false" customHeight="false" outlineLevel="0" collapsed="false">
      <c r="A278" s="9" t="s">
        <v>1641</v>
      </c>
      <c r="B278" s="9" t="s">
        <v>323</v>
      </c>
      <c r="C278" s="9" t="str">
        <f aca="false">IFERROR(INDEX(Destination!$B$2:$B$501,MATCH(B278,Destination!$A$2:$A$501,0)),"")</f>
        <v>Nagpur</v>
      </c>
      <c r="D278" s="9" t="s">
        <v>606</v>
      </c>
      <c r="E278" s="9" t="str">
        <f aca="false">IFERROR(INDEX(Destination!$B$2:$B$501,MATCH(D278,Destination!$A$2:$A$501,0)),"")</f>
        <v>Adilabad</v>
      </c>
      <c r="F278" s="9" t="s">
        <v>1364</v>
      </c>
      <c r="G278" s="12" t="n">
        <f aca="false">INDEX(Destination!$F$2:$F$501,MATCH(B278,Destination!$A$2:$A$501,0))</f>
        <v>21.15</v>
      </c>
      <c r="H278" s="12" t="n">
        <f aca="false">INDEX(Destination!$G$2:$G$501,MATCH(B278,Destination!$A$2:$A$501,0))</f>
        <v>79.09</v>
      </c>
      <c r="I278" s="12" t="n">
        <f aca="false">INDEX(Destination!$F$2:$F$501,MATCH(D278,Destination!$A$2:$A$501,0))</f>
        <v>19.66</v>
      </c>
      <c r="J278" s="12" t="n">
        <f aca="false">INDEX(Destination!$G$2:$G$501,MATCH(D278,Destination!$A$2:$A$501,0))</f>
        <v>78.53</v>
      </c>
      <c r="K278" s="17" t="n">
        <f aca="false">Assumptions!$B$2*2*ASIN(SQRT(SIN(RADIANS(I278-G278)/2)^2+COS(RADIANS(G278))*COS(RADIANS(I278))*SIN(RADIANS(J278-H278)/2)^2))</f>
        <v>175.658307449033</v>
      </c>
      <c r="L278" s="18" t="n">
        <f aca="false">K278*Assumptions!$B$3</f>
        <v>228.355799683743</v>
      </c>
      <c r="M278" s="19" t="n">
        <f aca="false">L278/Assumptions!$B$4</f>
        <v>5.07457332630539</v>
      </c>
      <c r="N278" s="9" t="s">
        <v>1365</v>
      </c>
    </row>
    <row r="279" customFormat="false" ht="15" hidden="false" customHeight="false" outlineLevel="0" collapsed="false">
      <c r="A279" s="9" t="s">
        <v>1642</v>
      </c>
      <c r="B279" s="9" t="s">
        <v>323</v>
      </c>
      <c r="C279" s="9" t="str">
        <f aca="false">IFERROR(INDEX(Destination!$B$2:$B$501,MATCH(B279,Destination!$A$2:$A$501,0)),"")</f>
        <v>Nagpur</v>
      </c>
      <c r="D279" s="9" t="s">
        <v>753</v>
      </c>
      <c r="E279" s="9" t="str">
        <f aca="false">IFERROR(INDEX(Destination!$B$2:$B$501,MATCH(D279,Destination!$A$2:$A$501,0)),"")</f>
        <v>Pachmarhi</v>
      </c>
      <c r="F279" s="9" t="s">
        <v>1364</v>
      </c>
      <c r="G279" s="12" t="n">
        <f aca="false">INDEX(Destination!$F$2:$F$501,MATCH(B279,Destination!$A$2:$A$501,0))</f>
        <v>21.15</v>
      </c>
      <c r="H279" s="12" t="n">
        <f aca="false">INDEX(Destination!$G$2:$G$501,MATCH(B279,Destination!$A$2:$A$501,0))</f>
        <v>79.09</v>
      </c>
      <c r="I279" s="12" t="n">
        <f aca="false">INDEX(Destination!$F$2:$F$501,MATCH(D279,Destination!$A$2:$A$501,0))</f>
        <v>22.47</v>
      </c>
      <c r="J279" s="12" t="n">
        <f aca="false">INDEX(Destination!$G$2:$G$501,MATCH(D279,Destination!$A$2:$A$501,0))</f>
        <v>78.43</v>
      </c>
      <c r="K279" s="17" t="n">
        <f aca="false">Assumptions!$B$2*2*ASIN(SQRT(SIN(RADIANS(I279-G279)/2)^2+COS(RADIANS(G279))*COS(RADIANS(I279))*SIN(RADIANS(J279-H279)/2)^2))</f>
        <v>161.820026181473</v>
      </c>
      <c r="L279" s="18" t="n">
        <f aca="false">K279*Assumptions!$B$3</f>
        <v>210.366034035914</v>
      </c>
      <c r="M279" s="19" t="n">
        <f aca="false">L279/Assumptions!$B$4</f>
        <v>4.67480075635365</v>
      </c>
      <c r="N279" s="9" t="s">
        <v>1365</v>
      </c>
    </row>
    <row r="280" customFormat="false" ht="15" hidden="false" customHeight="false" outlineLevel="0" collapsed="false">
      <c r="A280" s="9" t="s">
        <v>1643</v>
      </c>
      <c r="B280" s="9" t="s">
        <v>323</v>
      </c>
      <c r="C280" s="9" t="str">
        <f aca="false">IFERROR(INDEX(Destination!$B$2:$B$501,MATCH(B280,Destination!$A$2:$A$501,0)),"")</f>
        <v>Nagpur</v>
      </c>
      <c r="D280" s="9" t="s">
        <v>771</v>
      </c>
      <c r="E280" s="9" t="str">
        <f aca="false">IFERROR(INDEX(Destination!$B$2:$B$501,MATCH(D280,Destination!$A$2:$A$501,0)),"")</f>
        <v>Pench</v>
      </c>
      <c r="F280" s="9" t="s">
        <v>1364</v>
      </c>
      <c r="G280" s="12" t="n">
        <f aca="false">INDEX(Destination!$F$2:$F$501,MATCH(B280,Destination!$A$2:$A$501,0))</f>
        <v>21.15</v>
      </c>
      <c r="H280" s="12" t="n">
        <f aca="false">INDEX(Destination!$G$2:$G$501,MATCH(B280,Destination!$A$2:$A$501,0))</f>
        <v>79.09</v>
      </c>
      <c r="I280" s="12" t="n">
        <f aca="false">INDEX(Destination!$F$2:$F$501,MATCH(D280,Destination!$A$2:$A$501,0))</f>
        <v>21.7</v>
      </c>
      <c r="J280" s="12" t="n">
        <f aca="false">INDEX(Destination!$G$2:$G$501,MATCH(D280,Destination!$A$2:$A$501,0))</f>
        <v>79.3</v>
      </c>
      <c r="K280" s="17" t="n">
        <f aca="false">Assumptions!$B$2*2*ASIN(SQRT(SIN(RADIANS(I280-G280)/2)^2+COS(RADIANS(G280))*COS(RADIANS(I280))*SIN(RADIANS(J280-H280)/2)^2))</f>
        <v>64.9053872331936</v>
      </c>
      <c r="L280" s="18" t="n">
        <f aca="false">K280*Assumptions!$B$3</f>
        <v>84.3770034031517</v>
      </c>
      <c r="M280" s="19" t="n">
        <f aca="false">L280/Assumptions!$B$4</f>
        <v>1.87504452007004</v>
      </c>
      <c r="N280" s="9" t="s">
        <v>1365</v>
      </c>
    </row>
    <row r="281" customFormat="false" ht="15" hidden="false" customHeight="false" outlineLevel="0" collapsed="false">
      <c r="A281" s="9" t="s">
        <v>1644</v>
      </c>
      <c r="B281" s="9" t="s">
        <v>327</v>
      </c>
      <c r="C281" s="9" t="str">
        <f aca="false">IFERROR(INDEX(Destination!$B$2:$B$501,MATCH(B281,Destination!$A$2:$A$501,0)),"")</f>
        <v>Bhandardara</v>
      </c>
      <c r="D281" s="9" t="s">
        <v>329</v>
      </c>
      <c r="E281" s="9" t="str">
        <f aca="false">IFERROR(INDEX(Destination!$B$2:$B$501,MATCH(D281,Destination!$A$2:$A$501,0)),"")</f>
        <v>Igatpuri</v>
      </c>
      <c r="F281" s="9" t="s">
        <v>1364</v>
      </c>
      <c r="G281" s="12" t="n">
        <f aca="false">INDEX(Destination!$F$2:$F$501,MATCH(B281,Destination!$A$2:$A$501,0))</f>
        <v>19.54</v>
      </c>
      <c r="H281" s="12" t="n">
        <f aca="false">INDEX(Destination!$G$2:$G$501,MATCH(B281,Destination!$A$2:$A$501,0))</f>
        <v>73.76</v>
      </c>
      <c r="I281" s="12" t="n">
        <f aca="false">INDEX(Destination!$F$2:$F$501,MATCH(D281,Destination!$A$2:$A$501,0))</f>
        <v>19.7</v>
      </c>
      <c r="J281" s="12" t="n">
        <f aca="false">INDEX(Destination!$G$2:$G$501,MATCH(D281,Destination!$A$2:$A$501,0))</f>
        <v>73.56</v>
      </c>
      <c r="K281" s="17" t="n">
        <f aca="false">Assumptions!$B$2*2*ASIN(SQRT(SIN(RADIANS(I281-G281)/2)^2+COS(RADIANS(G281))*COS(RADIANS(I281))*SIN(RADIANS(J281-H281)/2)^2))</f>
        <v>27.4833788878021</v>
      </c>
      <c r="L281" s="18" t="n">
        <f aca="false">K281*Assumptions!$B$3</f>
        <v>35.7283925541427</v>
      </c>
      <c r="M281" s="19" t="n">
        <f aca="false">L281/Assumptions!$B$4</f>
        <v>0.793964278980949</v>
      </c>
      <c r="N281" s="9" t="s">
        <v>1365</v>
      </c>
    </row>
    <row r="282" customFormat="false" ht="15" hidden="false" customHeight="false" outlineLevel="0" collapsed="false">
      <c r="A282" s="9" t="s">
        <v>1645</v>
      </c>
      <c r="B282" s="9" t="s">
        <v>329</v>
      </c>
      <c r="C282" s="9" t="str">
        <f aca="false">IFERROR(INDEX(Destination!$B$2:$B$501,MATCH(B282,Destination!$A$2:$A$501,0)),"")</f>
        <v>Igatpuri</v>
      </c>
      <c r="D282" s="9" t="s">
        <v>988</v>
      </c>
      <c r="E282" s="9" t="str">
        <f aca="false">IFERROR(INDEX(Destination!$B$2:$B$501,MATCH(D282,Destination!$A$2:$A$501,0)),"")</f>
        <v>Silvassa</v>
      </c>
      <c r="F282" s="9" t="s">
        <v>1364</v>
      </c>
      <c r="G282" s="12" t="n">
        <f aca="false">INDEX(Destination!$F$2:$F$501,MATCH(B282,Destination!$A$2:$A$501,0))</f>
        <v>19.7</v>
      </c>
      <c r="H282" s="12" t="n">
        <f aca="false">INDEX(Destination!$G$2:$G$501,MATCH(B282,Destination!$A$2:$A$501,0))</f>
        <v>73.56</v>
      </c>
      <c r="I282" s="12" t="n">
        <f aca="false">INDEX(Destination!$F$2:$F$501,MATCH(D282,Destination!$A$2:$A$501,0))</f>
        <v>20.27</v>
      </c>
      <c r="J282" s="12" t="n">
        <f aca="false">INDEX(Destination!$G$2:$G$501,MATCH(D282,Destination!$A$2:$A$501,0))</f>
        <v>73.01</v>
      </c>
      <c r="K282" s="17" t="n">
        <f aca="false">Assumptions!$B$2*2*ASIN(SQRT(SIN(RADIANS(I282-G282)/2)^2+COS(RADIANS(G282))*COS(RADIANS(I282))*SIN(RADIANS(J282-H282)/2)^2))</f>
        <v>85.5595498585228</v>
      </c>
      <c r="L282" s="18" t="n">
        <f aca="false">K282*Assumptions!$B$3</f>
        <v>111.22741481608</v>
      </c>
      <c r="M282" s="19" t="n">
        <f aca="false">L282/Assumptions!$B$4</f>
        <v>2.47172032924621</v>
      </c>
      <c r="N282" s="9" t="s">
        <v>1365</v>
      </c>
    </row>
    <row r="283" customFormat="false" ht="15" hidden="false" customHeight="false" outlineLevel="0" collapsed="false">
      <c r="A283" s="9" t="s">
        <v>1646</v>
      </c>
      <c r="B283" s="9" t="s">
        <v>337</v>
      </c>
      <c r="C283" s="9" t="str">
        <f aca="false">IFERROR(INDEX(Destination!$B$2:$B$501,MATCH(B283,Destination!$A$2:$A$501,0)),"")</f>
        <v>Amboli</v>
      </c>
      <c r="D283" s="9" t="s">
        <v>341</v>
      </c>
      <c r="E283" s="9" t="str">
        <f aca="false">IFERROR(INDEX(Destination!$B$2:$B$501,MATCH(D283,Destination!$A$2:$A$501,0)),"")</f>
        <v>North Goa</v>
      </c>
      <c r="F283" s="9" t="s">
        <v>1364</v>
      </c>
      <c r="G283" s="12" t="n">
        <f aca="false">INDEX(Destination!$F$2:$F$501,MATCH(B283,Destination!$A$2:$A$501,0))</f>
        <v>15.96</v>
      </c>
      <c r="H283" s="12" t="n">
        <f aca="false">INDEX(Destination!$G$2:$G$501,MATCH(B283,Destination!$A$2:$A$501,0))</f>
        <v>74</v>
      </c>
      <c r="I283" s="12" t="n">
        <f aca="false">INDEX(Destination!$F$2:$F$501,MATCH(D283,Destination!$A$2:$A$501,0))</f>
        <v>15.55</v>
      </c>
      <c r="J283" s="12" t="n">
        <f aca="false">INDEX(Destination!$G$2:$G$501,MATCH(D283,Destination!$A$2:$A$501,0))</f>
        <v>73.85</v>
      </c>
      <c r="K283" s="17" t="n">
        <f aca="false">Assumptions!$B$2*2*ASIN(SQRT(SIN(RADIANS(I283-G283)/2)^2+COS(RADIANS(G283))*COS(RADIANS(I283))*SIN(RADIANS(J283-H283)/2)^2))</f>
        <v>48.3334896263342</v>
      </c>
      <c r="L283" s="18" t="n">
        <f aca="false">K283*Assumptions!$B$3</f>
        <v>62.8335365142344</v>
      </c>
      <c r="M283" s="19" t="n">
        <f aca="false">L283/Assumptions!$B$4</f>
        <v>1.39630081142743</v>
      </c>
      <c r="N283" s="9" t="s">
        <v>1365</v>
      </c>
    </row>
    <row r="284" customFormat="false" ht="15" hidden="false" customHeight="false" outlineLevel="0" collapsed="false">
      <c r="A284" s="9" t="s">
        <v>1647</v>
      </c>
      <c r="B284" s="9" t="s">
        <v>337</v>
      </c>
      <c r="C284" s="9" t="str">
        <f aca="false">IFERROR(INDEX(Destination!$B$2:$B$501,MATCH(B284,Destination!$A$2:$A$501,0)),"")</f>
        <v>Amboli</v>
      </c>
      <c r="D284" s="9" t="s">
        <v>364</v>
      </c>
      <c r="E284" s="9" t="str">
        <f aca="false">IFERROR(INDEX(Destination!$B$2:$B$501,MATCH(D284,Destination!$A$2:$A$501,0)),"")</f>
        <v>Morjim</v>
      </c>
      <c r="F284" s="9" t="s">
        <v>1364</v>
      </c>
      <c r="G284" s="12" t="n">
        <f aca="false">INDEX(Destination!$F$2:$F$501,MATCH(B284,Destination!$A$2:$A$501,0))</f>
        <v>15.96</v>
      </c>
      <c r="H284" s="12" t="n">
        <f aca="false">INDEX(Destination!$G$2:$G$501,MATCH(B284,Destination!$A$2:$A$501,0))</f>
        <v>74</v>
      </c>
      <c r="I284" s="12" t="n">
        <f aca="false">INDEX(Destination!$F$2:$F$501,MATCH(D284,Destination!$A$2:$A$501,0))</f>
        <v>15.63</v>
      </c>
      <c r="J284" s="12" t="n">
        <f aca="false">INDEX(Destination!$G$2:$G$501,MATCH(D284,Destination!$A$2:$A$501,0))</f>
        <v>73.74</v>
      </c>
      <c r="K284" s="17" t="n">
        <f aca="false">Assumptions!$B$2*2*ASIN(SQRT(SIN(RADIANS(I284-G284)/2)^2+COS(RADIANS(G284))*COS(RADIANS(I284))*SIN(RADIANS(J284-H284)/2)^2))</f>
        <v>46.0474877578707</v>
      </c>
      <c r="L284" s="18" t="n">
        <f aca="false">K284*Assumptions!$B$3</f>
        <v>59.8617340852319</v>
      </c>
      <c r="M284" s="19" t="n">
        <f aca="false">L284/Assumptions!$B$4</f>
        <v>1.3302607574496</v>
      </c>
      <c r="N284" s="9" t="s">
        <v>1365</v>
      </c>
    </row>
    <row r="285" customFormat="false" ht="15" hidden="false" customHeight="false" outlineLevel="0" collapsed="false">
      <c r="A285" s="9" t="s">
        <v>1648</v>
      </c>
      <c r="B285" s="9" t="s">
        <v>337</v>
      </c>
      <c r="C285" s="9" t="str">
        <f aca="false">IFERROR(INDEX(Destination!$B$2:$B$501,MATCH(B285,Destination!$A$2:$A$501,0)),"")</f>
        <v>Amboli</v>
      </c>
      <c r="D285" s="9" t="s">
        <v>366</v>
      </c>
      <c r="E285" s="9" t="str">
        <f aca="false">IFERROR(INDEX(Destination!$B$2:$B$501,MATCH(D285,Destination!$A$2:$A$501,0)),"")</f>
        <v>Arambol</v>
      </c>
      <c r="F285" s="9" t="s">
        <v>1364</v>
      </c>
      <c r="G285" s="12" t="n">
        <f aca="false">INDEX(Destination!$F$2:$F$501,MATCH(B285,Destination!$A$2:$A$501,0))</f>
        <v>15.96</v>
      </c>
      <c r="H285" s="12" t="n">
        <f aca="false">INDEX(Destination!$G$2:$G$501,MATCH(B285,Destination!$A$2:$A$501,0))</f>
        <v>74</v>
      </c>
      <c r="I285" s="12" t="n">
        <f aca="false">INDEX(Destination!$F$2:$F$501,MATCH(D285,Destination!$A$2:$A$501,0))</f>
        <v>15.69</v>
      </c>
      <c r="J285" s="12" t="n">
        <f aca="false">INDEX(Destination!$G$2:$G$501,MATCH(D285,Destination!$A$2:$A$501,0))</f>
        <v>73.7</v>
      </c>
      <c r="K285" s="17" t="n">
        <f aca="false">Assumptions!$B$2*2*ASIN(SQRT(SIN(RADIANS(I285-G285)/2)^2+COS(RADIANS(G285))*COS(RADIANS(I285))*SIN(RADIANS(J285-H285)/2)^2))</f>
        <v>43.9475936734601</v>
      </c>
      <c r="L285" s="18" t="n">
        <f aca="false">K285*Assumptions!$B$3</f>
        <v>57.1318717754981</v>
      </c>
      <c r="M285" s="19" t="n">
        <f aca="false">L285/Assumptions!$B$4</f>
        <v>1.26959715056662</v>
      </c>
      <c r="N285" s="9" t="s">
        <v>1365</v>
      </c>
    </row>
    <row r="286" customFormat="false" ht="15" hidden="false" customHeight="false" outlineLevel="0" collapsed="false">
      <c r="A286" s="9" t="s">
        <v>1649</v>
      </c>
      <c r="B286" s="9" t="s">
        <v>339</v>
      </c>
      <c r="C286" s="9" t="str">
        <f aca="false">IFERROR(INDEX(Destination!$B$2:$B$501,MATCH(B286,Destination!$A$2:$A$501,0)),"")</f>
        <v>Panaji</v>
      </c>
      <c r="D286" s="9" t="s">
        <v>348</v>
      </c>
      <c r="E286" s="9" t="str">
        <f aca="false">IFERROR(INDEX(Destination!$B$2:$B$501,MATCH(D286,Destination!$A$2:$A$501,0)),"")</f>
        <v>Baga</v>
      </c>
      <c r="F286" s="9" t="s">
        <v>1364</v>
      </c>
      <c r="G286" s="12" t="n">
        <f aca="false">INDEX(Destination!$F$2:$F$501,MATCH(B286,Destination!$A$2:$A$501,0))</f>
        <v>15.5</v>
      </c>
      <c r="H286" s="12" t="n">
        <f aca="false">INDEX(Destination!$G$2:$G$501,MATCH(B286,Destination!$A$2:$A$501,0))</f>
        <v>73.83</v>
      </c>
      <c r="I286" s="12" t="n">
        <f aca="false">INDEX(Destination!$F$2:$F$501,MATCH(D286,Destination!$A$2:$A$501,0))</f>
        <v>15.56</v>
      </c>
      <c r="J286" s="12" t="n">
        <f aca="false">INDEX(Destination!$G$2:$G$501,MATCH(D286,Destination!$A$2:$A$501,0))</f>
        <v>73.75</v>
      </c>
      <c r="K286" s="17" t="n">
        <f aca="false">Assumptions!$B$2*2*ASIN(SQRT(SIN(RADIANS(I286-G286)/2)^2+COS(RADIANS(G286))*COS(RADIANS(I286))*SIN(RADIANS(J286-H286)/2)^2))</f>
        <v>10.8614207204695</v>
      </c>
      <c r="L286" s="18" t="n">
        <f aca="false">K286*Assumptions!$B$3</f>
        <v>14.1198469366104</v>
      </c>
      <c r="M286" s="19" t="n">
        <f aca="false">L286/Assumptions!$B$4</f>
        <v>0.31377437636912</v>
      </c>
      <c r="N286" s="9" t="s">
        <v>1365</v>
      </c>
    </row>
    <row r="287" customFormat="false" ht="15" hidden="false" customHeight="false" outlineLevel="0" collapsed="false">
      <c r="A287" s="9" t="s">
        <v>1650</v>
      </c>
      <c r="B287" s="9" t="s">
        <v>339</v>
      </c>
      <c r="C287" s="9" t="str">
        <f aca="false">IFERROR(INDEX(Destination!$B$2:$B$501,MATCH(B287,Destination!$A$2:$A$501,0)),"")</f>
        <v>Panaji</v>
      </c>
      <c r="D287" s="9" t="s">
        <v>350</v>
      </c>
      <c r="E287" s="9" t="str">
        <f aca="false">IFERROR(INDEX(Destination!$B$2:$B$501,MATCH(D287,Destination!$A$2:$A$501,0)),"")</f>
        <v>Anjuna</v>
      </c>
      <c r="F287" s="9" t="s">
        <v>1364</v>
      </c>
      <c r="G287" s="12" t="n">
        <f aca="false">INDEX(Destination!$F$2:$F$501,MATCH(B287,Destination!$A$2:$A$501,0))</f>
        <v>15.5</v>
      </c>
      <c r="H287" s="12" t="n">
        <f aca="false">INDEX(Destination!$G$2:$G$501,MATCH(B287,Destination!$A$2:$A$501,0))</f>
        <v>73.83</v>
      </c>
      <c r="I287" s="12" t="n">
        <f aca="false">INDEX(Destination!$F$2:$F$501,MATCH(D287,Destination!$A$2:$A$501,0))</f>
        <v>15.58</v>
      </c>
      <c r="J287" s="12" t="n">
        <f aca="false">INDEX(Destination!$G$2:$G$501,MATCH(D287,Destination!$A$2:$A$501,0))</f>
        <v>73.74</v>
      </c>
      <c r="K287" s="17" t="n">
        <f aca="false">Assumptions!$B$2*2*ASIN(SQRT(SIN(RADIANS(I287-G287)/2)^2+COS(RADIANS(G287))*COS(RADIANS(I287))*SIN(RADIANS(J287-H287)/2)^2))</f>
        <v>13.1184615650564</v>
      </c>
      <c r="L287" s="18" t="n">
        <f aca="false">K287*Assumptions!$B$3</f>
        <v>17.0540000345734</v>
      </c>
      <c r="M287" s="19" t="n">
        <f aca="false">L287/Assumptions!$B$4</f>
        <v>0.378977778546075</v>
      </c>
      <c r="N287" s="9" t="s">
        <v>1365</v>
      </c>
    </row>
    <row r="288" customFormat="false" ht="15" hidden="false" customHeight="false" outlineLevel="0" collapsed="false">
      <c r="A288" s="9" t="s">
        <v>1651</v>
      </c>
      <c r="B288" s="9" t="s">
        <v>339</v>
      </c>
      <c r="C288" s="9" t="str">
        <f aca="false">IFERROR(INDEX(Destination!$B$2:$B$501,MATCH(B288,Destination!$A$2:$A$501,0)),"")</f>
        <v>Panaji</v>
      </c>
      <c r="D288" s="9" t="s">
        <v>352</v>
      </c>
      <c r="E288" s="9" t="str">
        <f aca="false">IFERROR(INDEX(Destination!$B$2:$B$501,MATCH(D288,Destination!$A$2:$A$501,0)),"")</f>
        <v>Vagator</v>
      </c>
      <c r="F288" s="9" t="s">
        <v>1364</v>
      </c>
      <c r="G288" s="12" t="n">
        <f aca="false">INDEX(Destination!$F$2:$F$501,MATCH(B288,Destination!$A$2:$A$501,0))</f>
        <v>15.5</v>
      </c>
      <c r="H288" s="12" t="n">
        <f aca="false">INDEX(Destination!$G$2:$G$501,MATCH(B288,Destination!$A$2:$A$501,0))</f>
        <v>73.83</v>
      </c>
      <c r="I288" s="12" t="n">
        <f aca="false">INDEX(Destination!$F$2:$F$501,MATCH(D288,Destination!$A$2:$A$501,0))</f>
        <v>15.6</v>
      </c>
      <c r="J288" s="12" t="n">
        <f aca="false">INDEX(Destination!$G$2:$G$501,MATCH(D288,Destination!$A$2:$A$501,0))</f>
        <v>73.74</v>
      </c>
      <c r="K288" s="17" t="n">
        <f aca="false">Assumptions!$B$2*2*ASIN(SQRT(SIN(RADIANS(I288-G288)/2)^2+COS(RADIANS(G288))*COS(RADIANS(I288))*SIN(RADIANS(J288-H288)/2)^2))</f>
        <v>14.7172184641622</v>
      </c>
      <c r="L288" s="18" t="n">
        <f aca="false">K288*Assumptions!$B$3</f>
        <v>19.1323840034109</v>
      </c>
      <c r="M288" s="19" t="n">
        <f aca="false">L288/Assumptions!$B$4</f>
        <v>0.425164088964687</v>
      </c>
      <c r="N288" s="9" t="s">
        <v>1365</v>
      </c>
    </row>
    <row r="289" customFormat="false" ht="15" hidden="false" customHeight="false" outlineLevel="0" collapsed="false">
      <c r="A289" s="9" t="s">
        <v>1652</v>
      </c>
      <c r="B289" s="9" t="s">
        <v>339</v>
      </c>
      <c r="C289" s="9" t="str">
        <f aca="false">IFERROR(INDEX(Destination!$B$2:$B$501,MATCH(B289,Destination!$A$2:$A$501,0)),"")</f>
        <v>Panaji</v>
      </c>
      <c r="D289" s="9" t="s">
        <v>358</v>
      </c>
      <c r="E289" s="9" t="str">
        <f aca="false">IFERROR(INDEX(Destination!$B$2:$B$501,MATCH(D289,Destination!$A$2:$A$501,0)),"")</f>
        <v>Colva</v>
      </c>
      <c r="F289" s="9" t="s">
        <v>1364</v>
      </c>
      <c r="G289" s="12" t="n">
        <f aca="false">INDEX(Destination!$F$2:$F$501,MATCH(B289,Destination!$A$2:$A$501,0))</f>
        <v>15.5</v>
      </c>
      <c r="H289" s="12" t="n">
        <f aca="false">INDEX(Destination!$G$2:$G$501,MATCH(B289,Destination!$A$2:$A$501,0))</f>
        <v>73.83</v>
      </c>
      <c r="I289" s="12" t="n">
        <f aca="false">INDEX(Destination!$F$2:$F$501,MATCH(D289,Destination!$A$2:$A$501,0))</f>
        <v>15.28</v>
      </c>
      <c r="J289" s="12" t="n">
        <f aca="false">INDEX(Destination!$G$2:$G$501,MATCH(D289,Destination!$A$2:$A$501,0))</f>
        <v>73.92</v>
      </c>
      <c r="K289" s="17" t="n">
        <f aca="false">Assumptions!$B$2*2*ASIN(SQRT(SIN(RADIANS(I289-G289)/2)^2+COS(RADIANS(G289))*COS(RADIANS(I289))*SIN(RADIANS(J289-H289)/2)^2))</f>
        <v>26.2969536123279</v>
      </c>
      <c r="L289" s="18" t="n">
        <f aca="false">K289*Assumptions!$B$3</f>
        <v>34.1860396960262</v>
      </c>
      <c r="M289" s="19" t="n">
        <f aca="false">L289/Assumptions!$B$4</f>
        <v>0.759689771022805</v>
      </c>
      <c r="N289" s="9" t="s">
        <v>1365</v>
      </c>
    </row>
    <row r="290" customFormat="false" ht="15" hidden="false" customHeight="false" outlineLevel="0" collapsed="false">
      <c r="A290" s="9" t="s">
        <v>1653</v>
      </c>
      <c r="B290" s="9" t="s">
        <v>341</v>
      </c>
      <c r="C290" s="9" t="str">
        <f aca="false">IFERROR(INDEX(Destination!$B$2:$B$501,MATCH(B290,Destination!$A$2:$A$501,0)),"")</f>
        <v>North Goa</v>
      </c>
      <c r="D290" s="9" t="s">
        <v>348</v>
      </c>
      <c r="E290" s="9" t="str">
        <f aca="false">IFERROR(INDEX(Destination!$B$2:$B$501,MATCH(D290,Destination!$A$2:$A$501,0)),"")</f>
        <v>Baga</v>
      </c>
      <c r="F290" s="9" t="s">
        <v>1364</v>
      </c>
      <c r="G290" s="12" t="n">
        <f aca="false">INDEX(Destination!$F$2:$F$501,MATCH(B290,Destination!$A$2:$A$501,0))</f>
        <v>15.55</v>
      </c>
      <c r="H290" s="12" t="n">
        <f aca="false">INDEX(Destination!$G$2:$G$501,MATCH(B290,Destination!$A$2:$A$501,0))</f>
        <v>73.85</v>
      </c>
      <c r="I290" s="12" t="n">
        <f aca="false">INDEX(Destination!$F$2:$F$501,MATCH(D290,Destination!$A$2:$A$501,0))</f>
        <v>15.56</v>
      </c>
      <c r="J290" s="12" t="n">
        <f aca="false">INDEX(Destination!$G$2:$G$501,MATCH(D290,Destination!$A$2:$A$501,0))</f>
        <v>73.75</v>
      </c>
      <c r="K290" s="17" t="n">
        <f aca="false">Assumptions!$B$2*2*ASIN(SQRT(SIN(RADIANS(I290-G290)/2)^2+COS(RADIANS(G290))*COS(RADIANS(I290))*SIN(RADIANS(J290-H290)/2)^2))</f>
        <v>10.7697808166358</v>
      </c>
      <c r="L290" s="18" t="n">
        <f aca="false">K290*Assumptions!$B$3</f>
        <v>14.0007150616266</v>
      </c>
      <c r="M290" s="19" t="n">
        <f aca="false">L290/Assumptions!$B$4</f>
        <v>0.31112700136948</v>
      </c>
      <c r="N290" s="9" t="s">
        <v>1365</v>
      </c>
    </row>
    <row r="291" customFormat="false" ht="15" hidden="false" customHeight="false" outlineLevel="0" collapsed="false">
      <c r="A291" s="9" t="s">
        <v>1654</v>
      </c>
      <c r="B291" s="9" t="s">
        <v>341</v>
      </c>
      <c r="C291" s="9" t="str">
        <f aca="false">IFERROR(INDEX(Destination!$B$2:$B$501,MATCH(B291,Destination!$A$2:$A$501,0)),"")</f>
        <v>North Goa</v>
      </c>
      <c r="D291" s="9" t="s">
        <v>350</v>
      </c>
      <c r="E291" s="9" t="str">
        <f aca="false">IFERROR(INDEX(Destination!$B$2:$B$501,MATCH(D291,Destination!$A$2:$A$501,0)),"")</f>
        <v>Anjuna</v>
      </c>
      <c r="F291" s="9" t="s">
        <v>1364</v>
      </c>
      <c r="G291" s="12" t="n">
        <f aca="false">INDEX(Destination!$F$2:$F$501,MATCH(B291,Destination!$A$2:$A$501,0))</f>
        <v>15.55</v>
      </c>
      <c r="H291" s="12" t="n">
        <f aca="false">INDEX(Destination!$G$2:$G$501,MATCH(B291,Destination!$A$2:$A$501,0))</f>
        <v>73.85</v>
      </c>
      <c r="I291" s="12" t="n">
        <f aca="false">INDEX(Destination!$F$2:$F$501,MATCH(D291,Destination!$A$2:$A$501,0))</f>
        <v>15.58</v>
      </c>
      <c r="J291" s="12" t="n">
        <f aca="false">INDEX(Destination!$G$2:$G$501,MATCH(D291,Destination!$A$2:$A$501,0))</f>
        <v>73.74</v>
      </c>
      <c r="K291" s="17" t="n">
        <f aca="false">Assumptions!$B$2*2*ASIN(SQRT(SIN(RADIANS(I291-G291)/2)^2+COS(RADIANS(G291))*COS(RADIANS(I291))*SIN(RADIANS(J291-H291)/2)^2))</f>
        <v>12.2459787651129</v>
      </c>
      <c r="L291" s="18" t="n">
        <f aca="false">K291*Assumptions!$B$3</f>
        <v>15.9197723946468</v>
      </c>
      <c r="M291" s="19" t="n">
        <f aca="false">L291/Assumptions!$B$4</f>
        <v>0.35377271988104</v>
      </c>
      <c r="N291" s="9" t="s">
        <v>1365</v>
      </c>
    </row>
    <row r="292" customFormat="false" ht="15" hidden="false" customHeight="false" outlineLevel="0" collapsed="false">
      <c r="A292" s="9" t="s">
        <v>1655</v>
      </c>
      <c r="B292" s="9" t="s">
        <v>341</v>
      </c>
      <c r="C292" s="9" t="str">
        <f aca="false">IFERROR(INDEX(Destination!$B$2:$B$501,MATCH(B292,Destination!$A$2:$A$501,0)),"")</f>
        <v>North Goa</v>
      </c>
      <c r="D292" s="9" t="s">
        <v>352</v>
      </c>
      <c r="E292" s="9" t="str">
        <f aca="false">IFERROR(INDEX(Destination!$B$2:$B$501,MATCH(D292,Destination!$A$2:$A$501,0)),"")</f>
        <v>Vagator</v>
      </c>
      <c r="F292" s="9" t="s">
        <v>1364</v>
      </c>
      <c r="G292" s="12" t="n">
        <f aca="false">INDEX(Destination!$F$2:$F$501,MATCH(B292,Destination!$A$2:$A$501,0))</f>
        <v>15.55</v>
      </c>
      <c r="H292" s="12" t="n">
        <f aca="false">INDEX(Destination!$G$2:$G$501,MATCH(B292,Destination!$A$2:$A$501,0))</f>
        <v>73.85</v>
      </c>
      <c r="I292" s="12" t="n">
        <f aca="false">INDEX(Destination!$F$2:$F$501,MATCH(D292,Destination!$A$2:$A$501,0))</f>
        <v>15.6</v>
      </c>
      <c r="J292" s="12" t="n">
        <f aca="false">INDEX(Destination!$G$2:$G$501,MATCH(D292,Destination!$A$2:$A$501,0))</f>
        <v>73.74</v>
      </c>
      <c r="K292" s="17" t="n">
        <f aca="false">Assumptions!$B$2*2*ASIN(SQRT(SIN(RADIANS(I292-G292)/2)^2+COS(RADIANS(G292))*COS(RADIANS(I292))*SIN(RADIANS(J292-H292)/2)^2))</f>
        <v>13.0281765648406</v>
      </c>
      <c r="L292" s="18" t="n">
        <f aca="false">K292*Assumptions!$B$3</f>
        <v>16.9366295342928</v>
      </c>
      <c r="M292" s="19" t="n">
        <f aca="false">L292/Assumptions!$B$4</f>
        <v>0.376369545206506</v>
      </c>
      <c r="N292" s="9" t="s">
        <v>1365</v>
      </c>
    </row>
    <row r="293" customFormat="false" ht="15" hidden="false" customHeight="false" outlineLevel="0" collapsed="false">
      <c r="A293" s="9" t="s">
        <v>1656</v>
      </c>
      <c r="B293" s="9" t="s">
        <v>341</v>
      </c>
      <c r="C293" s="9" t="str">
        <f aca="false">IFERROR(INDEX(Destination!$B$2:$B$501,MATCH(B293,Destination!$A$2:$A$501,0)),"")</f>
        <v>North Goa</v>
      </c>
      <c r="D293" s="9" t="s">
        <v>354</v>
      </c>
      <c r="E293" s="9" t="str">
        <f aca="false">IFERROR(INDEX(Destination!$B$2:$B$501,MATCH(D293,Destination!$A$2:$A$501,0)),"")</f>
        <v>Candolim</v>
      </c>
      <c r="F293" s="9" t="s">
        <v>1364</v>
      </c>
      <c r="G293" s="12" t="n">
        <f aca="false">INDEX(Destination!$F$2:$F$501,MATCH(B293,Destination!$A$2:$A$501,0))</f>
        <v>15.55</v>
      </c>
      <c r="H293" s="12" t="n">
        <f aca="false">INDEX(Destination!$G$2:$G$501,MATCH(B293,Destination!$A$2:$A$501,0))</f>
        <v>73.85</v>
      </c>
      <c r="I293" s="12" t="n">
        <f aca="false">INDEX(Destination!$F$2:$F$501,MATCH(D293,Destination!$A$2:$A$501,0))</f>
        <v>15.52</v>
      </c>
      <c r="J293" s="12" t="n">
        <f aca="false">INDEX(Destination!$G$2:$G$501,MATCH(D293,Destination!$A$2:$A$501,0))</f>
        <v>73.76</v>
      </c>
      <c r="K293" s="17" t="n">
        <f aca="false">Assumptions!$B$2*2*ASIN(SQRT(SIN(RADIANS(I293-G293)/2)^2+COS(RADIANS(G293))*COS(RADIANS(I293))*SIN(RADIANS(J293-H293)/2)^2))</f>
        <v>10.2026882022614</v>
      </c>
      <c r="L293" s="18" t="n">
        <f aca="false">K293*Assumptions!$B$3</f>
        <v>13.2634946629398</v>
      </c>
      <c r="M293" s="19" t="n">
        <f aca="false">L293/Assumptions!$B$4</f>
        <v>0.294744325843106</v>
      </c>
      <c r="N293" s="9" t="s">
        <v>1365</v>
      </c>
    </row>
    <row r="294" customFormat="false" ht="15" hidden="false" customHeight="false" outlineLevel="0" collapsed="false">
      <c r="A294" s="9" t="s">
        <v>1657</v>
      </c>
      <c r="B294" s="9" t="s">
        <v>341</v>
      </c>
      <c r="C294" s="9" t="str">
        <f aca="false">IFERROR(INDEX(Destination!$B$2:$B$501,MATCH(B294,Destination!$A$2:$A$501,0)),"")</f>
        <v>North Goa</v>
      </c>
      <c r="D294" s="9" t="s">
        <v>364</v>
      </c>
      <c r="E294" s="9" t="str">
        <f aca="false">IFERROR(INDEX(Destination!$B$2:$B$501,MATCH(D294,Destination!$A$2:$A$501,0)),"")</f>
        <v>Morjim</v>
      </c>
      <c r="F294" s="9" t="s">
        <v>1364</v>
      </c>
      <c r="G294" s="12" t="n">
        <f aca="false">INDEX(Destination!$F$2:$F$501,MATCH(B294,Destination!$A$2:$A$501,0))</f>
        <v>15.55</v>
      </c>
      <c r="H294" s="12" t="n">
        <f aca="false">INDEX(Destination!$G$2:$G$501,MATCH(B294,Destination!$A$2:$A$501,0))</f>
        <v>73.85</v>
      </c>
      <c r="I294" s="12" t="n">
        <f aca="false">INDEX(Destination!$F$2:$F$501,MATCH(D294,Destination!$A$2:$A$501,0))</f>
        <v>15.63</v>
      </c>
      <c r="J294" s="12" t="n">
        <f aca="false">INDEX(Destination!$G$2:$G$501,MATCH(D294,Destination!$A$2:$A$501,0))</f>
        <v>73.74</v>
      </c>
      <c r="K294" s="17" t="n">
        <f aca="false">Assumptions!$B$2*2*ASIN(SQRT(SIN(RADIANS(I294-G294)/2)^2+COS(RADIANS(G294))*COS(RADIANS(I294))*SIN(RADIANS(J294-H294)/2)^2))</f>
        <v>14.7625849381621</v>
      </c>
      <c r="L294" s="18" t="n">
        <f aca="false">K294*Assumptions!$B$3</f>
        <v>19.1913604196108</v>
      </c>
      <c r="M294" s="19" t="n">
        <f aca="false">L294/Assumptions!$B$4</f>
        <v>0.426474675991351</v>
      </c>
      <c r="N294" s="9" t="s">
        <v>1365</v>
      </c>
    </row>
    <row r="295" customFormat="false" ht="15" hidden="false" customHeight="false" outlineLevel="0" collapsed="false">
      <c r="A295" s="9" t="s">
        <v>1658</v>
      </c>
      <c r="B295" s="9" t="s">
        <v>344</v>
      </c>
      <c r="C295" s="9" t="str">
        <f aca="false">IFERROR(INDEX(Destination!$B$2:$B$501,MATCH(B295,Destination!$A$2:$A$501,0)),"")</f>
        <v>South Goa</v>
      </c>
      <c r="D295" s="9" t="s">
        <v>356</v>
      </c>
      <c r="E295" s="9" t="str">
        <f aca="false">IFERROR(INDEX(Destination!$B$2:$B$501,MATCH(D295,Destination!$A$2:$A$501,0)),"")</f>
        <v>Palolem</v>
      </c>
      <c r="F295" s="9" t="s">
        <v>1364</v>
      </c>
      <c r="G295" s="12" t="n">
        <f aca="false">INDEX(Destination!$F$2:$F$501,MATCH(B295,Destination!$A$2:$A$501,0))</f>
        <v>15.2</v>
      </c>
      <c r="H295" s="12" t="n">
        <f aca="false">INDEX(Destination!$G$2:$G$501,MATCH(B295,Destination!$A$2:$A$501,0))</f>
        <v>74</v>
      </c>
      <c r="I295" s="12" t="n">
        <f aca="false">INDEX(Destination!$F$2:$F$501,MATCH(D295,Destination!$A$2:$A$501,0))</f>
        <v>15.01</v>
      </c>
      <c r="J295" s="12" t="n">
        <f aca="false">INDEX(Destination!$G$2:$G$501,MATCH(D295,Destination!$A$2:$A$501,0))</f>
        <v>74.02</v>
      </c>
      <c r="K295" s="17" t="n">
        <f aca="false">Assumptions!$B$2*2*ASIN(SQRT(SIN(RADIANS(I295-G295)/2)^2+COS(RADIANS(G295))*COS(RADIANS(I295))*SIN(RADIANS(J295-H295)/2)^2))</f>
        <v>21.2358547144531</v>
      </c>
      <c r="L295" s="18" t="n">
        <f aca="false">K295*Assumptions!$B$3</f>
        <v>27.606611128789</v>
      </c>
      <c r="M295" s="19" t="n">
        <f aca="false">L295/Assumptions!$B$4</f>
        <v>0.613480247306423</v>
      </c>
      <c r="N295" s="9" t="s">
        <v>1365</v>
      </c>
    </row>
    <row r="296" customFormat="false" ht="15" hidden="false" customHeight="false" outlineLevel="0" collapsed="false">
      <c r="A296" s="9" t="s">
        <v>1659</v>
      </c>
      <c r="B296" s="9" t="s">
        <v>344</v>
      </c>
      <c r="C296" s="9" t="str">
        <f aca="false">IFERROR(INDEX(Destination!$B$2:$B$501,MATCH(B296,Destination!$A$2:$A$501,0)),"")</f>
        <v>South Goa</v>
      </c>
      <c r="D296" s="9" t="s">
        <v>358</v>
      </c>
      <c r="E296" s="9" t="str">
        <f aca="false">IFERROR(INDEX(Destination!$B$2:$B$501,MATCH(D296,Destination!$A$2:$A$501,0)),"")</f>
        <v>Colva</v>
      </c>
      <c r="F296" s="9" t="s">
        <v>1364</v>
      </c>
      <c r="G296" s="12" t="n">
        <f aca="false">INDEX(Destination!$F$2:$F$501,MATCH(B296,Destination!$A$2:$A$501,0))</f>
        <v>15.2</v>
      </c>
      <c r="H296" s="12" t="n">
        <f aca="false">INDEX(Destination!$G$2:$G$501,MATCH(B296,Destination!$A$2:$A$501,0))</f>
        <v>74</v>
      </c>
      <c r="I296" s="12" t="n">
        <f aca="false">INDEX(Destination!$F$2:$F$501,MATCH(D296,Destination!$A$2:$A$501,0))</f>
        <v>15.28</v>
      </c>
      <c r="J296" s="12" t="n">
        <f aca="false">INDEX(Destination!$G$2:$G$501,MATCH(D296,Destination!$A$2:$A$501,0))</f>
        <v>73.92</v>
      </c>
      <c r="K296" s="17" t="n">
        <f aca="false">Assumptions!$B$2*2*ASIN(SQRT(SIN(RADIANS(I296-G296)/2)^2+COS(RADIANS(G296))*COS(RADIANS(I296))*SIN(RADIANS(J296-H296)/2)^2))</f>
        <v>12.361044834603</v>
      </c>
      <c r="L296" s="18" t="n">
        <f aca="false">K296*Assumptions!$B$3</f>
        <v>16.0693582849838</v>
      </c>
      <c r="M296" s="19" t="n">
        <f aca="false">L296/Assumptions!$B$4</f>
        <v>0.357096850777419</v>
      </c>
      <c r="N296" s="9" t="s">
        <v>1365</v>
      </c>
    </row>
    <row r="297" customFormat="false" ht="15" hidden="false" customHeight="false" outlineLevel="0" collapsed="false">
      <c r="A297" s="9" t="s">
        <v>1660</v>
      </c>
      <c r="B297" s="9" t="s">
        <v>344</v>
      </c>
      <c r="C297" s="9" t="str">
        <f aca="false">IFERROR(INDEX(Destination!$B$2:$B$501,MATCH(B297,Destination!$A$2:$A$501,0)),"")</f>
        <v>South Goa</v>
      </c>
      <c r="D297" s="9" t="s">
        <v>362</v>
      </c>
      <c r="E297" s="9" t="str">
        <f aca="false">IFERROR(INDEX(Destination!$B$2:$B$501,MATCH(D297,Destination!$A$2:$A$501,0)),"")</f>
        <v>Dudhsagar</v>
      </c>
      <c r="F297" s="9" t="s">
        <v>1364</v>
      </c>
      <c r="G297" s="12" t="n">
        <f aca="false">INDEX(Destination!$F$2:$F$501,MATCH(B297,Destination!$A$2:$A$501,0))</f>
        <v>15.2</v>
      </c>
      <c r="H297" s="12" t="n">
        <f aca="false">INDEX(Destination!$G$2:$G$501,MATCH(B297,Destination!$A$2:$A$501,0))</f>
        <v>74</v>
      </c>
      <c r="I297" s="12" t="n">
        <f aca="false">INDEX(Destination!$F$2:$F$501,MATCH(D297,Destination!$A$2:$A$501,0))</f>
        <v>15.31</v>
      </c>
      <c r="J297" s="12" t="n">
        <f aca="false">INDEX(Destination!$G$2:$G$501,MATCH(D297,Destination!$A$2:$A$501,0))</f>
        <v>74.31</v>
      </c>
      <c r="K297" s="17" t="n">
        <f aca="false">Assumptions!$B$2*2*ASIN(SQRT(SIN(RADIANS(I297-G297)/2)^2+COS(RADIANS(G297))*COS(RADIANS(I297))*SIN(RADIANS(J297-H297)/2)^2))</f>
        <v>35.4338603282623</v>
      </c>
      <c r="L297" s="18" t="n">
        <f aca="false">K297*Assumptions!$B$3</f>
        <v>46.0640184267409</v>
      </c>
      <c r="M297" s="19" t="n">
        <f aca="false">L297/Assumptions!$B$4</f>
        <v>1.02364485392758</v>
      </c>
      <c r="N297" s="9" t="s">
        <v>1365</v>
      </c>
    </row>
    <row r="298" customFormat="false" ht="15" hidden="false" customHeight="false" outlineLevel="0" collapsed="false">
      <c r="A298" s="9" t="s">
        <v>1661</v>
      </c>
      <c r="B298" s="9" t="s">
        <v>344</v>
      </c>
      <c r="C298" s="9" t="str">
        <f aca="false">IFERROR(INDEX(Destination!$B$2:$B$501,MATCH(B298,Destination!$A$2:$A$501,0)),"")</f>
        <v>South Goa</v>
      </c>
      <c r="D298" s="9" t="s">
        <v>368</v>
      </c>
      <c r="E298" s="9" t="str">
        <f aca="false">IFERROR(INDEX(Destination!$B$2:$B$501,MATCH(D298,Destination!$A$2:$A$501,0)),"")</f>
        <v>Agonda</v>
      </c>
      <c r="F298" s="9" t="s">
        <v>1364</v>
      </c>
      <c r="G298" s="12" t="n">
        <f aca="false">INDEX(Destination!$F$2:$F$501,MATCH(B298,Destination!$A$2:$A$501,0))</f>
        <v>15.2</v>
      </c>
      <c r="H298" s="12" t="n">
        <f aca="false">INDEX(Destination!$G$2:$G$501,MATCH(B298,Destination!$A$2:$A$501,0))</f>
        <v>74</v>
      </c>
      <c r="I298" s="12" t="n">
        <f aca="false">INDEX(Destination!$F$2:$F$501,MATCH(D298,Destination!$A$2:$A$501,0))</f>
        <v>15.05</v>
      </c>
      <c r="J298" s="12" t="n">
        <f aca="false">INDEX(Destination!$G$2:$G$501,MATCH(D298,Destination!$A$2:$A$501,0))</f>
        <v>73.99</v>
      </c>
      <c r="K298" s="17" t="n">
        <f aca="false">Assumptions!$B$2*2*ASIN(SQRT(SIN(RADIANS(I298-G298)/2)^2+COS(RADIANS(G298))*COS(RADIANS(I298))*SIN(RADIANS(J298-H298)/2)^2))</f>
        <v>16.713744788772</v>
      </c>
      <c r="L298" s="18" t="n">
        <f aca="false">K298*Assumptions!$B$3</f>
        <v>21.7278682254036</v>
      </c>
      <c r="M298" s="19" t="n">
        <f aca="false">L298/Assumptions!$B$4</f>
        <v>0.48284151612008</v>
      </c>
      <c r="N298" s="9" t="s">
        <v>1365</v>
      </c>
    </row>
    <row r="299" customFormat="false" ht="15" hidden="false" customHeight="false" outlineLevel="0" collapsed="false">
      <c r="A299" s="9" t="s">
        <v>1662</v>
      </c>
      <c r="B299" s="9" t="s">
        <v>344</v>
      </c>
      <c r="C299" s="9" t="str">
        <f aca="false">IFERROR(INDEX(Destination!$B$2:$B$501,MATCH(B299,Destination!$A$2:$A$501,0)),"")</f>
        <v>South Goa</v>
      </c>
      <c r="D299" s="9" t="s">
        <v>401</v>
      </c>
      <c r="E299" s="9" t="str">
        <f aca="false">IFERROR(INDEX(Destination!$B$2:$B$501,MATCH(D299,Destination!$A$2:$A$501,0)),"")</f>
        <v>Dandeli</v>
      </c>
      <c r="F299" s="9" t="s">
        <v>1364</v>
      </c>
      <c r="G299" s="12" t="n">
        <f aca="false">INDEX(Destination!$F$2:$F$501,MATCH(B299,Destination!$A$2:$A$501,0))</f>
        <v>15.2</v>
      </c>
      <c r="H299" s="12" t="n">
        <f aca="false">INDEX(Destination!$G$2:$G$501,MATCH(B299,Destination!$A$2:$A$501,0))</f>
        <v>74</v>
      </c>
      <c r="I299" s="12" t="n">
        <f aca="false">INDEX(Destination!$F$2:$F$501,MATCH(D299,Destination!$A$2:$A$501,0))</f>
        <v>15.27</v>
      </c>
      <c r="J299" s="12" t="n">
        <f aca="false">INDEX(Destination!$G$2:$G$501,MATCH(D299,Destination!$A$2:$A$501,0))</f>
        <v>74.62</v>
      </c>
      <c r="K299" s="17" t="n">
        <f aca="false">Assumptions!$B$2*2*ASIN(SQRT(SIN(RADIANS(I299-G299)/2)^2+COS(RADIANS(G299))*COS(RADIANS(I299))*SIN(RADIANS(J299-H299)/2)^2))</f>
        <v>66.9718359523635</v>
      </c>
      <c r="L299" s="18" t="n">
        <f aca="false">K299*Assumptions!$B$3</f>
        <v>87.0633867380726</v>
      </c>
      <c r="M299" s="19" t="n">
        <f aca="false">L299/Assumptions!$B$4</f>
        <v>1.93474192751272</v>
      </c>
      <c r="N299" s="9" t="s">
        <v>1365</v>
      </c>
    </row>
    <row r="300" customFormat="false" ht="15" hidden="false" customHeight="false" outlineLevel="0" collapsed="false">
      <c r="A300" s="9" t="s">
        <v>1663</v>
      </c>
      <c r="B300" s="9" t="s">
        <v>346</v>
      </c>
      <c r="C300" s="9" t="str">
        <f aca="false">IFERROR(INDEX(Destination!$B$2:$B$501,MATCH(B300,Destination!$A$2:$A$501,0)),"")</f>
        <v>Calangute</v>
      </c>
      <c r="D300" s="9" t="s">
        <v>360</v>
      </c>
      <c r="E300" s="9" t="str">
        <f aca="false">IFERROR(INDEX(Destination!$B$2:$B$501,MATCH(D300,Destination!$A$2:$A$501,0)),"")</f>
        <v>Old Goa</v>
      </c>
      <c r="F300" s="9" t="s">
        <v>1364</v>
      </c>
      <c r="G300" s="12" t="n">
        <f aca="false">INDEX(Destination!$F$2:$F$501,MATCH(B300,Destination!$A$2:$A$501,0))</f>
        <v>15.54</v>
      </c>
      <c r="H300" s="12" t="n">
        <f aca="false">INDEX(Destination!$G$2:$G$501,MATCH(B300,Destination!$A$2:$A$501,0))</f>
        <v>73.76</v>
      </c>
      <c r="I300" s="12" t="n">
        <f aca="false">INDEX(Destination!$F$2:$F$501,MATCH(D300,Destination!$A$2:$A$501,0))</f>
        <v>15.5</v>
      </c>
      <c r="J300" s="12" t="n">
        <f aca="false">INDEX(Destination!$G$2:$G$501,MATCH(D300,Destination!$A$2:$A$501,0))</f>
        <v>73.91</v>
      </c>
      <c r="K300" s="17" t="n">
        <f aca="false">Assumptions!$B$2*2*ASIN(SQRT(SIN(RADIANS(I300-G300)/2)^2+COS(RADIANS(G300))*COS(RADIANS(I300))*SIN(RADIANS(J300-H300)/2)^2))</f>
        <v>16.6751920425559</v>
      </c>
      <c r="L300" s="18" t="n">
        <f aca="false">K300*Assumptions!$B$3</f>
        <v>21.6777496553226</v>
      </c>
      <c r="M300" s="19" t="n">
        <f aca="false">L300/Assumptions!$B$4</f>
        <v>0.481727770118281</v>
      </c>
      <c r="N300" s="9" t="s">
        <v>1365</v>
      </c>
    </row>
    <row r="301" customFormat="false" ht="15" hidden="false" customHeight="false" outlineLevel="0" collapsed="false">
      <c r="A301" s="9" t="s">
        <v>1664</v>
      </c>
      <c r="B301" s="9" t="s">
        <v>346</v>
      </c>
      <c r="C301" s="9" t="str">
        <f aca="false">IFERROR(INDEX(Destination!$B$2:$B$501,MATCH(B301,Destination!$A$2:$A$501,0)),"")</f>
        <v>Calangute</v>
      </c>
      <c r="D301" s="9" t="s">
        <v>364</v>
      </c>
      <c r="E301" s="9" t="str">
        <f aca="false">IFERROR(INDEX(Destination!$B$2:$B$501,MATCH(D301,Destination!$A$2:$A$501,0)),"")</f>
        <v>Morjim</v>
      </c>
      <c r="F301" s="9" t="s">
        <v>1364</v>
      </c>
      <c r="G301" s="12" t="n">
        <f aca="false">INDEX(Destination!$F$2:$F$501,MATCH(B301,Destination!$A$2:$A$501,0))</f>
        <v>15.54</v>
      </c>
      <c r="H301" s="12" t="n">
        <f aca="false">INDEX(Destination!$G$2:$G$501,MATCH(B301,Destination!$A$2:$A$501,0))</f>
        <v>73.76</v>
      </c>
      <c r="I301" s="12" t="n">
        <f aca="false">INDEX(Destination!$F$2:$F$501,MATCH(D301,Destination!$A$2:$A$501,0))</f>
        <v>15.63</v>
      </c>
      <c r="J301" s="12" t="n">
        <f aca="false">INDEX(Destination!$G$2:$G$501,MATCH(D301,Destination!$A$2:$A$501,0))</f>
        <v>73.74</v>
      </c>
      <c r="K301" s="17" t="n">
        <f aca="false">Assumptions!$B$2*2*ASIN(SQRT(SIN(RADIANS(I301-G301)/2)^2+COS(RADIANS(G301))*COS(RADIANS(I301))*SIN(RADIANS(J301-H301)/2)^2))</f>
        <v>10.2342393245023</v>
      </c>
      <c r="L301" s="18" t="n">
        <f aca="false">K301*Assumptions!$B$3</f>
        <v>13.3045111218529</v>
      </c>
      <c r="M301" s="19" t="n">
        <f aca="false">L301/Assumptions!$B$4</f>
        <v>0.295655802707843</v>
      </c>
      <c r="N301" s="9" t="s">
        <v>1365</v>
      </c>
    </row>
    <row r="302" customFormat="false" ht="15" hidden="false" customHeight="false" outlineLevel="0" collapsed="false">
      <c r="A302" s="9" t="s">
        <v>1665</v>
      </c>
      <c r="B302" s="9" t="s">
        <v>346</v>
      </c>
      <c r="C302" s="9" t="str">
        <f aca="false">IFERROR(INDEX(Destination!$B$2:$B$501,MATCH(B302,Destination!$A$2:$A$501,0)),"")</f>
        <v>Calangute</v>
      </c>
      <c r="D302" s="9" t="s">
        <v>366</v>
      </c>
      <c r="E302" s="9" t="str">
        <f aca="false">IFERROR(INDEX(Destination!$B$2:$B$501,MATCH(D302,Destination!$A$2:$A$501,0)),"")</f>
        <v>Arambol</v>
      </c>
      <c r="F302" s="9" t="s">
        <v>1364</v>
      </c>
      <c r="G302" s="12" t="n">
        <f aca="false">INDEX(Destination!$F$2:$F$501,MATCH(B302,Destination!$A$2:$A$501,0))</f>
        <v>15.54</v>
      </c>
      <c r="H302" s="12" t="n">
        <f aca="false">INDEX(Destination!$G$2:$G$501,MATCH(B302,Destination!$A$2:$A$501,0))</f>
        <v>73.76</v>
      </c>
      <c r="I302" s="12" t="n">
        <f aca="false">INDEX(Destination!$F$2:$F$501,MATCH(D302,Destination!$A$2:$A$501,0))</f>
        <v>15.69</v>
      </c>
      <c r="J302" s="12" t="n">
        <f aca="false">INDEX(Destination!$G$2:$G$501,MATCH(D302,Destination!$A$2:$A$501,0))</f>
        <v>73.7</v>
      </c>
      <c r="K302" s="17" t="n">
        <f aca="false">Assumptions!$B$2*2*ASIN(SQRT(SIN(RADIANS(I302-G302)/2)^2+COS(RADIANS(G302))*COS(RADIANS(I302))*SIN(RADIANS(J302-H302)/2)^2))</f>
        <v>17.8741010569928</v>
      </c>
      <c r="L302" s="18" t="n">
        <f aca="false">K302*Assumptions!$B$3</f>
        <v>23.2363313740906</v>
      </c>
      <c r="M302" s="19" t="n">
        <f aca="false">L302/Assumptions!$B$4</f>
        <v>0.516362919424236</v>
      </c>
      <c r="N302" s="9" t="s">
        <v>1365</v>
      </c>
    </row>
    <row r="303" customFormat="false" ht="15" hidden="false" customHeight="false" outlineLevel="0" collapsed="false">
      <c r="A303" s="9" t="s">
        <v>1666</v>
      </c>
      <c r="B303" s="9" t="s">
        <v>348</v>
      </c>
      <c r="C303" s="9" t="str">
        <f aca="false">IFERROR(INDEX(Destination!$B$2:$B$501,MATCH(B303,Destination!$A$2:$A$501,0)),"")</f>
        <v>Baga</v>
      </c>
      <c r="D303" s="9" t="s">
        <v>360</v>
      </c>
      <c r="E303" s="9" t="str">
        <f aca="false">IFERROR(INDEX(Destination!$B$2:$B$501,MATCH(D303,Destination!$A$2:$A$501,0)),"")</f>
        <v>Old Goa</v>
      </c>
      <c r="F303" s="9" t="s">
        <v>1364</v>
      </c>
      <c r="G303" s="12" t="n">
        <f aca="false">INDEX(Destination!$F$2:$F$501,MATCH(B303,Destination!$A$2:$A$501,0))</f>
        <v>15.56</v>
      </c>
      <c r="H303" s="12" t="n">
        <f aca="false">INDEX(Destination!$G$2:$G$501,MATCH(B303,Destination!$A$2:$A$501,0))</f>
        <v>73.75</v>
      </c>
      <c r="I303" s="12" t="n">
        <f aca="false">INDEX(Destination!$F$2:$F$501,MATCH(D303,Destination!$A$2:$A$501,0))</f>
        <v>15.5</v>
      </c>
      <c r="J303" s="12" t="n">
        <f aca="false">INDEX(Destination!$G$2:$G$501,MATCH(D303,Destination!$A$2:$A$501,0))</f>
        <v>73.91</v>
      </c>
      <c r="K303" s="17" t="n">
        <f aca="false">Assumptions!$B$2*2*ASIN(SQRT(SIN(RADIANS(I303-G303)/2)^2+COS(RADIANS(G303))*COS(RADIANS(I303))*SIN(RADIANS(J303-H303)/2)^2))</f>
        <v>18.3942182089306</v>
      </c>
      <c r="L303" s="18" t="n">
        <f aca="false">K303*Assumptions!$B$3</f>
        <v>23.9124836716098</v>
      </c>
      <c r="M303" s="19" t="n">
        <f aca="false">L303/Assumptions!$B$4</f>
        <v>0.531388526035772</v>
      </c>
      <c r="N303" s="9" t="s">
        <v>1365</v>
      </c>
    </row>
    <row r="304" customFormat="false" ht="15" hidden="false" customHeight="false" outlineLevel="0" collapsed="false">
      <c r="A304" s="9" t="s">
        <v>1667</v>
      </c>
      <c r="B304" s="9" t="s">
        <v>348</v>
      </c>
      <c r="C304" s="9" t="str">
        <f aca="false">IFERROR(INDEX(Destination!$B$2:$B$501,MATCH(B304,Destination!$A$2:$A$501,0)),"")</f>
        <v>Baga</v>
      </c>
      <c r="D304" s="9" t="s">
        <v>366</v>
      </c>
      <c r="E304" s="9" t="str">
        <f aca="false">IFERROR(INDEX(Destination!$B$2:$B$501,MATCH(D304,Destination!$A$2:$A$501,0)),"")</f>
        <v>Arambol</v>
      </c>
      <c r="F304" s="9" t="s">
        <v>1364</v>
      </c>
      <c r="G304" s="12" t="n">
        <f aca="false">INDEX(Destination!$F$2:$F$501,MATCH(B304,Destination!$A$2:$A$501,0))</f>
        <v>15.56</v>
      </c>
      <c r="H304" s="12" t="n">
        <f aca="false">INDEX(Destination!$G$2:$G$501,MATCH(B304,Destination!$A$2:$A$501,0))</f>
        <v>73.75</v>
      </c>
      <c r="I304" s="12" t="n">
        <f aca="false">INDEX(Destination!$F$2:$F$501,MATCH(D304,Destination!$A$2:$A$501,0))</f>
        <v>15.69</v>
      </c>
      <c r="J304" s="12" t="n">
        <f aca="false">INDEX(Destination!$G$2:$G$501,MATCH(D304,Destination!$A$2:$A$501,0))</f>
        <v>73.7</v>
      </c>
      <c r="K304" s="17" t="n">
        <f aca="false">Assumptions!$B$2*2*ASIN(SQRT(SIN(RADIANS(I304-G304)/2)^2+COS(RADIANS(G304))*COS(RADIANS(I304))*SIN(RADIANS(J304-H304)/2)^2))</f>
        <v>15.4150977394013</v>
      </c>
      <c r="L304" s="18" t="n">
        <f aca="false">K304*Assumptions!$B$3</f>
        <v>20.0396270612217</v>
      </c>
      <c r="M304" s="19" t="n">
        <f aca="false">L304/Assumptions!$B$4</f>
        <v>0.445325045804927</v>
      </c>
      <c r="N304" s="9" t="s">
        <v>1365</v>
      </c>
    </row>
    <row r="305" customFormat="false" ht="15" hidden="false" customHeight="false" outlineLevel="0" collapsed="false">
      <c r="A305" s="9" t="s">
        <v>1668</v>
      </c>
      <c r="B305" s="9" t="s">
        <v>350</v>
      </c>
      <c r="C305" s="9" t="str">
        <f aca="false">IFERROR(INDEX(Destination!$B$2:$B$501,MATCH(B305,Destination!$A$2:$A$501,0)),"")</f>
        <v>Anjuna</v>
      </c>
      <c r="D305" s="9" t="s">
        <v>366</v>
      </c>
      <c r="E305" s="9" t="str">
        <f aca="false">IFERROR(INDEX(Destination!$B$2:$B$501,MATCH(D305,Destination!$A$2:$A$501,0)),"")</f>
        <v>Arambol</v>
      </c>
      <c r="F305" s="9" t="s">
        <v>1364</v>
      </c>
      <c r="G305" s="12" t="n">
        <f aca="false">INDEX(Destination!$F$2:$F$501,MATCH(B305,Destination!$A$2:$A$501,0))</f>
        <v>15.58</v>
      </c>
      <c r="H305" s="12" t="n">
        <f aca="false">INDEX(Destination!$G$2:$G$501,MATCH(B305,Destination!$A$2:$A$501,0))</f>
        <v>73.74</v>
      </c>
      <c r="I305" s="12" t="n">
        <f aca="false">INDEX(Destination!$F$2:$F$501,MATCH(D305,Destination!$A$2:$A$501,0))</f>
        <v>15.69</v>
      </c>
      <c r="J305" s="12" t="n">
        <f aca="false">INDEX(Destination!$G$2:$G$501,MATCH(D305,Destination!$A$2:$A$501,0))</f>
        <v>73.7</v>
      </c>
      <c r="K305" s="17" t="n">
        <f aca="false">Assumptions!$B$2*2*ASIN(SQRT(SIN(RADIANS(I305-G305)/2)^2+COS(RADIANS(G305))*COS(RADIANS(I305))*SIN(RADIANS(J305-H305)/2)^2))</f>
        <v>12.9597121816176</v>
      </c>
      <c r="L305" s="18" t="n">
        <f aca="false">K305*Assumptions!$B$3</f>
        <v>16.8476258361029</v>
      </c>
      <c r="M305" s="19" t="n">
        <f aca="false">L305/Assumptions!$B$4</f>
        <v>0.374391685246731</v>
      </c>
      <c r="N305" s="9" t="s">
        <v>1365</v>
      </c>
    </row>
    <row r="306" customFormat="false" ht="15" hidden="false" customHeight="false" outlineLevel="0" collapsed="false">
      <c r="A306" s="9" t="s">
        <v>1669</v>
      </c>
      <c r="B306" s="9" t="s">
        <v>352</v>
      </c>
      <c r="C306" s="9" t="str">
        <f aca="false">IFERROR(INDEX(Destination!$B$2:$B$501,MATCH(B306,Destination!$A$2:$A$501,0)),"")</f>
        <v>Vagator</v>
      </c>
      <c r="D306" s="9" t="s">
        <v>366</v>
      </c>
      <c r="E306" s="9" t="str">
        <f aca="false">IFERROR(INDEX(Destination!$B$2:$B$501,MATCH(D306,Destination!$A$2:$A$501,0)),"")</f>
        <v>Arambol</v>
      </c>
      <c r="F306" s="9" t="s">
        <v>1364</v>
      </c>
      <c r="G306" s="12" t="n">
        <f aca="false">INDEX(Destination!$F$2:$F$501,MATCH(B306,Destination!$A$2:$A$501,0))</f>
        <v>15.6</v>
      </c>
      <c r="H306" s="12" t="n">
        <f aca="false">INDEX(Destination!$G$2:$G$501,MATCH(B306,Destination!$A$2:$A$501,0))</f>
        <v>73.74</v>
      </c>
      <c r="I306" s="12" t="n">
        <f aca="false">INDEX(Destination!$F$2:$F$501,MATCH(D306,Destination!$A$2:$A$501,0))</f>
        <v>15.69</v>
      </c>
      <c r="J306" s="12" t="n">
        <f aca="false">INDEX(Destination!$G$2:$G$501,MATCH(D306,Destination!$A$2:$A$501,0))</f>
        <v>73.7</v>
      </c>
      <c r="K306" s="17" t="n">
        <f aca="false">Assumptions!$B$2*2*ASIN(SQRT(SIN(RADIANS(I306-G306)/2)^2+COS(RADIANS(G306))*COS(RADIANS(I306))*SIN(RADIANS(J306-H306)/2)^2))</f>
        <v>10.8855455782229</v>
      </c>
      <c r="L306" s="18" t="n">
        <f aca="false">K306*Assumptions!$B$3</f>
        <v>14.1512092516898</v>
      </c>
      <c r="M306" s="19" t="n">
        <f aca="false">L306/Assumptions!$B$4</f>
        <v>0.314471316704217</v>
      </c>
      <c r="N306" s="9" t="s">
        <v>1365</v>
      </c>
    </row>
    <row r="307" customFormat="false" ht="15" hidden="false" customHeight="false" outlineLevel="0" collapsed="false">
      <c r="A307" s="9" t="s">
        <v>1670</v>
      </c>
      <c r="B307" s="9" t="s">
        <v>354</v>
      </c>
      <c r="C307" s="9" t="str">
        <f aca="false">IFERROR(INDEX(Destination!$B$2:$B$501,MATCH(B307,Destination!$A$2:$A$501,0)),"")</f>
        <v>Candolim</v>
      </c>
      <c r="D307" s="9" t="s">
        <v>360</v>
      </c>
      <c r="E307" s="9" t="str">
        <f aca="false">IFERROR(INDEX(Destination!$B$2:$B$501,MATCH(D307,Destination!$A$2:$A$501,0)),"")</f>
        <v>Old Goa</v>
      </c>
      <c r="F307" s="9" t="s">
        <v>1364</v>
      </c>
      <c r="G307" s="12" t="n">
        <f aca="false">INDEX(Destination!$F$2:$F$501,MATCH(B307,Destination!$A$2:$A$501,0))</f>
        <v>15.52</v>
      </c>
      <c r="H307" s="12" t="n">
        <f aca="false">INDEX(Destination!$G$2:$G$501,MATCH(B307,Destination!$A$2:$A$501,0))</f>
        <v>73.76</v>
      </c>
      <c r="I307" s="12" t="n">
        <f aca="false">INDEX(Destination!$F$2:$F$501,MATCH(D307,Destination!$A$2:$A$501,0))</f>
        <v>15.5</v>
      </c>
      <c r="J307" s="12" t="n">
        <f aca="false">INDEX(Destination!$G$2:$G$501,MATCH(D307,Destination!$A$2:$A$501,0))</f>
        <v>73.91</v>
      </c>
      <c r="K307" s="17" t="n">
        <f aca="false">Assumptions!$B$2*2*ASIN(SQRT(SIN(RADIANS(I307-G307)/2)^2+COS(RADIANS(G307))*COS(RADIANS(I307))*SIN(RADIANS(J307-H307)/2)^2))</f>
        <v>16.2249774892687</v>
      </c>
      <c r="L307" s="18" t="n">
        <f aca="false">K307*Assumptions!$B$3</f>
        <v>21.0924707360494</v>
      </c>
      <c r="M307" s="19" t="n">
        <f aca="false">L307/Assumptions!$B$4</f>
        <v>0.468721571912208</v>
      </c>
      <c r="N307" s="9" t="s">
        <v>1365</v>
      </c>
    </row>
    <row r="308" customFormat="false" ht="15" hidden="false" customHeight="false" outlineLevel="0" collapsed="false">
      <c r="A308" s="9" t="s">
        <v>1671</v>
      </c>
      <c r="B308" s="9" t="s">
        <v>354</v>
      </c>
      <c r="C308" s="9" t="str">
        <f aca="false">IFERROR(INDEX(Destination!$B$2:$B$501,MATCH(B308,Destination!$A$2:$A$501,0)),"")</f>
        <v>Candolim</v>
      </c>
      <c r="D308" s="9" t="s">
        <v>364</v>
      </c>
      <c r="E308" s="9" t="str">
        <f aca="false">IFERROR(INDEX(Destination!$B$2:$B$501,MATCH(D308,Destination!$A$2:$A$501,0)),"")</f>
        <v>Morjim</v>
      </c>
      <c r="F308" s="9" t="s">
        <v>1364</v>
      </c>
      <c r="G308" s="12" t="n">
        <f aca="false">INDEX(Destination!$F$2:$F$501,MATCH(B308,Destination!$A$2:$A$501,0))</f>
        <v>15.52</v>
      </c>
      <c r="H308" s="12" t="n">
        <f aca="false">INDEX(Destination!$G$2:$G$501,MATCH(B308,Destination!$A$2:$A$501,0))</f>
        <v>73.76</v>
      </c>
      <c r="I308" s="12" t="n">
        <f aca="false">INDEX(Destination!$F$2:$F$501,MATCH(D308,Destination!$A$2:$A$501,0))</f>
        <v>15.63</v>
      </c>
      <c r="J308" s="12" t="n">
        <f aca="false">INDEX(Destination!$G$2:$G$501,MATCH(D308,Destination!$A$2:$A$501,0))</f>
        <v>73.74</v>
      </c>
      <c r="K308" s="17" t="n">
        <f aca="false">Assumptions!$B$2*2*ASIN(SQRT(SIN(RADIANS(I308-G308)/2)^2+COS(RADIANS(G308))*COS(RADIANS(I308))*SIN(RADIANS(J308-H308)/2)^2))</f>
        <v>12.4176224561641</v>
      </c>
      <c r="L308" s="18" t="n">
        <f aca="false">K308*Assumptions!$B$3</f>
        <v>16.1429091930134</v>
      </c>
      <c r="M308" s="19" t="n">
        <f aca="false">L308/Assumptions!$B$4</f>
        <v>0.358731315400297</v>
      </c>
      <c r="N308" s="9" t="s">
        <v>1365</v>
      </c>
    </row>
    <row r="309" customFormat="false" ht="15" hidden="false" customHeight="false" outlineLevel="0" collapsed="false">
      <c r="A309" s="9" t="s">
        <v>1672</v>
      </c>
      <c r="B309" s="9" t="s">
        <v>356</v>
      </c>
      <c r="C309" s="9" t="str">
        <f aca="false">IFERROR(INDEX(Destination!$B$2:$B$501,MATCH(B309,Destination!$A$2:$A$501,0)),"")</f>
        <v>Palolem</v>
      </c>
      <c r="D309" s="9" t="s">
        <v>358</v>
      </c>
      <c r="E309" s="9" t="str">
        <f aca="false">IFERROR(INDEX(Destination!$B$2:$B$501,MATCH(D309,Destination!$A$2:$A$501,0)),"")</f>
        <v>Colva</v>
      </c>
      <c r="F309" s="9" t="s">
        <v>1364</v>
      </c>
      <c r="G309" s="12" t="n">
        <f aca="false">INDEX(Destination!$F$2:$F$501,MATCH(B309,Destination!$A$2:$A$501,0))</f>
        <v>15.01</v>
      </c>
      <c r="H309" s="12" t="n">
        <f aca="false">INDEX(Destination!$G$2:$G$501,MATCH(B309,Destination!$A$2:$A$501,0))</f>
        <v>74.02</v>
      </c>
      <c r="I309" s="12" t="n">
        <f aca="false">INDEX(Destination!$F$2:$F$501,MATCH(D309,Destination!$A$2:$A$501,0))</f>
        <v>15.28</v>
      </c>
      <c r="J309" s="12" t="n">
        <f aca="false">INDEX(Destination!$G$2:$G$501,MATCH(D309,Destination!$A$2:$A$501,0))</f>
        <v>73.92</v>
      </c>
      <c r="K309" s="17" t="n">
        <f aca="false">Assumptions!$B$2*2*ASIN(SQRT(SIN(RADIANS(I309-G309)/2)^2+COS(RADIANS(G309))*COS(RADIANS(I309))*SIN(RADIANS(J309-H309)/2)^2))</f>
        <v>31.8835619381387</v>
      </c>
      <c r="L309" s="18" t="n">
        <f aca="false">K309*Assumptions!$B$3</f>
        <v>41.4486305195803</v>
      </c>
      <c r="M309" s="19" t="n">
        <f aca="false">L309/Assumptions!$B$4</f>
        <v>0.921080678212895</v>
      </c>
      <c r="N309" s="9" t="s">
        <v>1365</v>
      </c>
    </row>
    <row r="310" customFormat="false" ht="15" hidden="false" customHeight="false" outlineLevel="0" collapsed="false">
      <c r="A310" s="9" t="s">
        <v>1673</v>
      </c>
      <c r="B310" s="9" t="s">
        <v>356</v>
      </c>
      <c r="C310" s="9" t="str">
        <f aca="false">IFERROR(INDEX(Destination!$B$2:$B$501,MATCH(B310,Destination!$A$2:$A$501,0)),"")</f>
        <v>Palolem</v>
      </c>
      <c r="D310" s="9" t="s">
        <v>377</v>
      </c>
      <c r="E310" s="9" t="str">
        <f aca="false">IFERROR(INDEX(Destination!$B$2:$B$501,MATCH(D310,Destination!$A$2:$A$501,0)),"")</f>
        <v>Gokarna</v>
      </c>
      <c r="F310" s="9" t="s">
        <v>1364</v>
      </c>
      <c r="G310" s="12" t="n">
        <f aca="false">INDEX(Destination!$F$2:$F$501,MATCH(B310,Destination!$A$2:$A$501,0))</f>
        <v>15.01</v>
      </c>
      <c r="H310" s="12" t="n">
        <f aca="false">INDEX(Destination!$G$2:$G$501,MATCH(B310,Destination!$A$2:$A$501,0))</f>
        <v>74.02</v>
      </c>
      <c r="I310" s="12" t="n">
        <f aca="false">INDEX(Destination!$F$2:$F$501,MATCH(D310,Destination!$A$2:$A$501,0))</f>
        <v>14.55</v>
      </c>
      <c r="J310" s="12" t="n">
        <f aca="false">INDEX(Destination!$G$2:$G$501,MATCH(D310,Destination!$A$2:$A$501,0))</f>
        <v>74.32</v>
      </c>
      <c r="K310" s="17" t="n">
        <f aca="false">Assumptions!$B$2*2*ASIN(SQRT(SIN(RADIANS(I310-G310)/2)^2+COS(RADIANS(G310))*COS(RADIANS(I310))*SIN(RADIANS(J310-H310)/2)^2))</f>
        <v>60.4702324086319</v>
      </c>
      <c r="L310" s="18" t="n">
        <f aca="false">K310*Assumptions!$B$3</f>
        <v>78.6113021312215</v>
      </c>
      <c r="M310" s="19" t="n">
        <f aca="false">L310/Assumptions!$B$4</f>
        <v>1.74691782513826</v>
      </c>
      <c r="N310" s="9" t="s">
        <v>1365</v>
      </c>
    </row>
    <row r="311" customFormat="false" ht="15" hidden="false" customHeight="false" outlineLevel="0" collapsed="false">
      <c r="A311" s="9" t="s">
        <v>1674</v>
      </c>
      <c r="B311" s="9" t="s">
        <v>358</v>
      </c>
      <c r="C311" s="9" t="str">
        <f aca="false">IFERROR(INDEX(Destination!$B$2:$B$501,MATCH(B311,Destination!$A$2:$A$501,0)),"")</f>
        <v>Colva</v>
      </c>
      <c r="D311" s="9" t="s">
        <v>360</v>
      </c>
      <c r="E311" s="9" t="str">
        <f aca="false">IFERROR(INDEX(Destination!$B$2:$B$501,MATCH(D311,Destination!$A$2:$A$501,0)),"")</f>
        <v>Old Goa</v>
      </c>
      <c r="F311" s="9" t="s">
        <v>1364</v>
      </c>
      <c r="G311" s="12" t="n">
        <f aca="false">INDEX(Destination!$F$2:$F$501,MATCH(B311,Destination!$A$2:$A$501,0))</f>
        <v>15.28</v>
      </c>
      <c r="H311" s="12" t="n">
        <f aca="false">INDEX(Destination!$G$2:$G$501,MATCH(B311,Destination!$A$2:$A$501,0))</f>
        <v>73.92</v>
      </c>
      <c r="I311" s="12" t="n">
        <f aca="false">INDEX(Destination!$F$2:$F$501,MATCH(D311,Destination!$A$2:$A$501,0))</f>
        <v>15.5</v>
      </c>
      <c r="J311" s="12" t="n">
        <f aca="false">INDEX(Destination!$G$2:$G$501,MATCH(D311,Destination!$A$2:$A$501,0))</f>
        <v>73.91</v>
      </c>
      <c r="K311" s="17" t="n">
        <f aca="false">Assumptions!$B$2*2*ASIN(SQRT(SIN(RADIANS(I311-G311)/2)^2+COS(RADIANS(G311))*COS(RADIANS(I311))*SIN(RADIANS(J311-H311)/2)^2))</f>
        <v>24.4863642370494</v>
      </c>
      <c r="L311" s="18" t="n">
        <f aca="false">K311*Assumptions!$B$3</f>
        <v>31.8322735081642</v>
      </c>
      <c r="M311" s="19" t="n">
        <f aca="false">L311/Assumptions!$B$4</f>
        <v>0.707383855736982</v>
      </c>
      <c r="N311" s="9" t="s">
        <v>1365</v>
      </c>
    </row>
    <row r="312" customFormat="false" ht="15" hidden="false" customHeight="false" outlineLevel="0" collapsed="false">
      <c r="A312" s="9" t="s">
        <v>1675</v>
      </c>
      <c r="B312" s="9" t="s">
        <v>358</v>
      </c>
      <c r="C312" s="9" t="str">
        <f aca="false">IFERROR(INDEX(Destination!$B$2:$B$501,MATCH(B312,Destination!$A$2:$A$501,0)),"")</f>
        <v>Colva</v>
      </c>
      <c r="D312" s="9" t="s">
        <v>368</v>
      </c>
      <c r="E312" s="9" t="str">
        <f aca="false">IFERROR(INDEX(Destination!$B$2:$B$501,MATCH(D312,Destination!$A$2:$A$501,0)),"")</f>
        <v>Agonda</v>
      </c>
      <c r="F312" s="9" t="s">
        <v>1364</v>
      </c>
      <c r="G312" s="12" t="n">
        <f aca="false">INDEX(Destination!$F$2:$F$501,MATCH(B312,Destination!$A$2:$A$501,0))</f>
        <v>15.28</v>
      </c>
      <c r="H312" s="12" t="n">
        <f aca="false">INDEX(Destination!$G$2:$G$501,MATCH(B312,Destination!$A$2:$A$501,0))</f>
        <v>73.92</v>
      </c>
      <c r="I312" s="12" t="n">
        <f aca="false">INDEX(Destination!$F$2:$F$501,MATCH(D312,Destination!$A$2:$A$501,0))</f>
        <v>15.05</v>
      </c>
      <c r="J312" s="12" t="n">
        <f aca="false">INDEX(Destination!$G$2:$G$501,MATCH(D312,Destination!$A$2:$A$501,0))</f>
        <v>73.99</v>
      </c>
      <c r="K312" s="17" t="n">
        <f aca="false">Assumptions!$B$2*2*ASIN(SQRT(SIN(RADIANS(I312-G312)/2)^2+COS(RADIANS(G312))*COS(RADIANS(I312))*SIN(RADIANS(J312-H312)/2)^2))</f>
        <v>26.6554125647023</v>
      </c>
      <c r="L312" s="18" t="n">
        <f aca="false">K312*Assumptions!$B$3</f>
        <v>34.652036334113</v>
      </c>
      <c r="M312" s="19" t="n">
        <f aca="false">L312/Assumptions!$B$4</f>
        <v>0.770045251869178</v>
      </c>
      <c r="N312" s="9" t="s">
        <v>1365</v>
      </c>
    </row>
    <row r="313" customFormat="false" ht="15" hidden="false" customHeight="false" outlineLevel="0" collapsed="false">
      <c r="A313" s="9" t="s">
        <v>1676</v>
      </c>
      <c r="B313" s="9" t="s">
        <v>362</v>
      </c>
      <c r="C313" s="9" t="str">
        <f aca="false">IFERROR(INDEX(Destination!$B$2:$B$501,MATCH(B313,Destination!$A$2:$A$501,0)),"")</f>
        <v>Dudhsagar</v>
      </c>
      <c r="D313" s="9" t="s">
        <v>401</v>
      </c>
      <c r="E313" s="9" t="str">
        <f aca="false">IFERROR(INDEX(Destination!$B$2:$B$501,MATCH(D313,Destination!$A$2:$A$501,0)),"")</f>
        <v>Dandeli</v>
      </c>
      <c r="F313" s="9" t="s">
        <v>1364</v>
      </c>
      <c r="G313" s="12" t="n">
        <f aca="false">INDEX(Destination!$F$2:$F$501,MATCH(B313,Destination!$A$2:$A$501,0))</f>
        <v>15.31</v>
      </c>
      <c r="H313" s="12" t="n">
        <f aca="false">INDEX(Destination!$G$2:$G$501,MATCH(B313,Destination!$A$2:$A$501,0))</f>
        <v>74.31</v>
      </c>
      <c r="I313" s="12" t="n">
        <f aca="false">INDEX(Destination!$F$2:$F$501,MATCH(D313,Destination!$A$2:$A$501,0))</f>
        <v>15.27</v>
      </c>
      <c r="J313" s="12" t="n">
        <f aca="false">INDEX(Destination!$G$2:$G$501,MATCH(D313,Destination!$A$2:$A$501,0))</f>
        <v>74.62</v>
      </c>
      <c r="K313" s="17" t="n">
        <f aca="false">Assumptions!$B$2*2*ASIN(SQRT(SIN(RADIANS(I313-G313)/2)^2+COS(RADIANS(G313))*COS(RADIANS(I313))*SIN(RADIANS(J313-H313)/2)^2))</f>
        <v>33.5464553071151</v>
      </c>
      <c r="L313" s="18" t="n">
        <f aca="false">K313*Assumptions!$B$3</f>
        <v>43.6103918992497</v>
      </c>
      <c r="M313" s="19" t="n">
        <f aca="false">L313/Assumptions!$B$4</f>
        <v>0.969119819983326</v>
      </c>
      <c r="N313" s="9" t="s">
        <v>1365</v>
      </c>
    </row>
    <row r="314" customFormat="false" ht="15" hidden="false" customHeight="false" outlineLevel="0" collapsed="false">
      <c r="A314" s="9" t="s">
        <v>1677</v>
      </c>
      <c r="B314" s="9" t="s">
        <v>370</v>
      </c>
      <c r="C314" s="9" t="str">
        <f aca="false">IFERROR(INDEX(Destination!$B$2:$B$501,MATCH(B314,Destination!$A$2:$A$501,0)),"")</f>
        <v>Bengaluru</v>
      </c>
      <c r="D314" s="9" t="s">
        <v>492</v>
      </c>
      <c r="E314" s="9" t="str">
        <f aca="false">IFERROR(INDEX(Destination!$B$2:$B$501,MATCH(D314,Destination!$A$2:$A$501,0)),"")</f>
        <v>Yelagiri</v>
      </c>
      <c r="F314" s="9" t="s">
        <v>1364</v>
      </c>
      <c r="G314" s="12" t="n">
        <f aca="false">INDEX(Destination!$F$2:$F$501,MATCH(B314,Destination!$A$2:$A$501,0))</f>
        <v>12.97</v>
      </c>
      <c r="H314" s="12" t="n">
        <f aca="false">INDEX(Destination!$G$2:$G$501,MATCH(B314,Destination!$A$2:$A$501,0))</f>
        <v>77.59</v>
      </c>
      <c r="I314" s="12" t="n">
        <f aca="false">INDEX(Destination!$F$2:$F$501,MATCH(D314,Destination!$A$2:$A$501,0))</f>
        <v>12.58</v>
      </c>
      <c r="J314" s="12" t="n">
        <f aca="false">INDEX(Destination!$G$2:$G$501,MATCH(D314,Destination!$A$2:$A$501,0))</f>
        <v>78.64</v>
      </c>
      <c r="K314" s="17" t="n">
        <f aca="false">Assumptions!$B$2*2*ASIN(SQRT(SIN(RADIANS(I314-G314)/2)^2+COS(RADIANS(G314))*COS(RADIANS(I314))*SIN(RADIANS(J314-H314)/2)^2))</f>
        <v>121.842788569012</v>
      </c>
      <c r="L314" s="18" t="n">
        <f aca="false">K314*Assumptions!$B$3</f>
        <v>158.395625139716</v>
      </c>
      <c r="M314" s="19" t="n">
        <f aca="false">L314/Assumptions!$B$4</f>
        <v>3.51990278088258</v>
      </c>
      <c r="N314" s="9" t="s">
        <v>1365</v>
      </c>
    </row>
    <row r="315" customFormat="false" ht="15" hidden="false" customHeight="false" outlineLevel="0" collapsed="false">
      <c r="A315" s="9" t="s">
        <v>1678</v>
      </c>
      <c r="B315" s="9" t="s">
        <v>370</v>
      </c>
      <c r="C315" s="9" t="str">
        <f aca="false">IFERROR(INDEX(Destination!$B$2:$B$501,MATCH(B315,Destination!$A$2:$A$501,0)),"")</f>
        <v>Bengaluru</v>
      </c>
      <c r="D315" s="9" t="s">
        <v>561</v>
      </c>
      <c r="E315" s="9" t="str">
        <f aca="false">IFERROR(INDEX(Destination!$B$2:$B$501,MATCH(D315,Destination!$A$2:$A$501,0)),"")</f>
        <v>Lepakshi</v>
      </c>
      <c r="F315" s="9" t="s">
        <v>1364</v>
      </c>
      <c r="G315" s="12" t="n">
        <f aca="false">INDEX(Destination!$F$2:$F$501,MATCH(B315,Destination!$A$2:$A$501,0))</f>
        <v>12.97</v>
      </c>
      <c r="H315" s="12" t="n">
        <f aca="false">INDEX(Destination!$G$2:$G$501,MATCH(B315,Destination!$A$2:$A$501,0))</f>
        <v>77.59</v>
      </c>
      <c r="I315" s="12" t="n">
        <f aca="false">INDEX(Destination!$F$2:$F$501,MATCH(D315,Destination!$A$2:$A$501,0))</f>
        <v>13.8</v>
      </c>
      <c r="J315" s="12" t="n">
        <f aca="false">INDEX(Destination!$G$2:$G$501,MATCH(D315,Destination!$A$2:$A$501,0))</f>
        <v>77.61</v>
      </c>
      <c r="K315" s="17" t="n">
        <f aca="false">Assumptions!$B$2*2*ASIN(SQRT(SIN(RADIANS(I315-G315)/2)^2+COS(RADIANS(G315))*COS(RADIANS(I315))*SIN(RADIANS(J315-H315)/2)^2))</f>
        <v>92.3171432073763</v>
      </c>
      <c r="L315" s="18" t="n">
        <f aca="false">K315*Assumptions!$B$3</f>
        <v>120.012286169589</v>
      </c>
      <c r="M315" s="19" t="n">
        <f aca="false">L315/Assumptions!$B$4</f>
        <v>2.66693969265754</v>
      </c>
      <c r="N315" s="9" t="s">
        <v>1365</v>
      </c>
    </row>
    <row r="316" customFormat="false" ht="15" hidden="false" customHeight="false" outlineLevel="0" collapsed="false">
      <c r="A316" s="9" t="s">
        <v>1679</v>
      </c>
      <c r="B316" s="9" t="s">
        <v>370</v>
      </c>
      <c r="C316" s="9" t="str">
        <f aca="false">IFERROR(INDEX(Destination!$B$2:$B$501,MATCH(B316,Destination!$A$2:$A$501,0)),"")</f>
        <v>Bengaluru</v>
      </c>
      <c r="D316" s="9" t="s">
        <v>565</v>
      </c>
      <c r="E316" s="9" t="str">
        <f aca="false">IFERROR(INDEX(Destination!$B$2:$B$501,MATCH(D316,Destination!$A$2:$A$501,0)),"")</f>
        <v>Horsley Hills</v>
      </c>
      <c r="F316" s="9" t="s">
        <v>1364</v>
      </c>
      <c r="G316" s="12" t="n">
        <f aca="false">INDEX(Destination!$F$2:$F$501,MATCH(B316,Destination!$A$2:$A$501,0))</f>
        <v>12.97</v>
      </c>
      <c r="H316" s="12" t="n">
        <f aca="false">INDEX(Destination!$G$2:$G$501,MATCH(B316,Destination!$A$2:$A$501,0))</f>
        <v>77.59</v>
      </c>
      <c r="I316" s="12" t="n">
        <f aca="false">INDEX(Destination!$F$2:$F$501,MATCH(D316,Destination!$A$2:$A$501,0))</f>
        <v>13.65</v>
      </c>
      <c r="J316" s="12" t="n">
        <f aca="false">INDEX(Destination!$G$2:$G$501,MATCH(D316,Destination!$A$2:$A$501,0))</f>
        <v>78.4</v>
      </c>
      <c r="K316" s="17" t="n">
        <f aca="false">Assumptions!$B$2*2*ASIN(SQRT(SIN(RADIANS(I316-G316)/2)^2+COS(RADIANS(G316))*COS(RADIANS(I316))*SIN(RADIANS(J316-H316)/2)^2))</f>
        <v>115.755838096534</v>
      </c>
      <c r="L316" s="18" t="n">
        <f aca="false">K316*Assumptions!$B$3</f>
        <v>150.482589525494</v>
      </c>
      <c r="M316" s="19" t="n">
        <f aca="false">L316/Assumptions!$B$4</f>
        <v>3.34405754501098</v>
      </c>
      <c r="N316" s="9" t="s">
        <v>1365</v>
      </c>
    </row>
    <row r="317" customFormat="false" ht="15" hidden="false" customHeight="false" outlineLevel="0" collapsed="false">
      <c r="A317" s="9" t="s">
        <v>1680</v>
      </c>
      <c r="B317" s="9" t="s">
        <v>372</v>
      </c>
      <c r="C317" s="9" t="str">
        <f aca="false">IFERROR(INDEX(Destination!$B$2:$B$501,MATCH(B317,Destination!$A$2:$A$501,0)),"")</f>
        <v>Coorg</v>
      </c>
      <c r="D317" s="9" t="s">
        <v>403</v>
      </c>
      <c r="E317" s="9" t="str">
        <f aca="false">IFERROR(INDEX(Destination!$B$2:$B$501,MATCH(D317,Destination!$A$2:$A$501,0)),"")</f>
        <v>Sakleshpur</v>
      </c>
      <c r="F317" s="9" t="s">
        <v>1364</v>
      </c>
      <c r="G317" s="12" t="n">
        <f aca="false">INDEX(Destination!$F$2:$F$501,MATCH(B317,Destination!$A$2:$A$501,0))</f>
        <v>12.42</v>
      </c>
      <c r="H317" s="12" t="n">
        <f aca="false">INDEX(Destination!$G$2:$G$501,MATCH(B317,Destination!$A$2:$A$501,0))</f>
        <v>75.74</v>
      </c>
      <c r="I317" s="12" t="n">
        <f aca="false">INDEX(Destination!$F$2:$F$501,MATCH(D317,Destination!$A$2:$A$501,0))</f>
        <v>12.94</v>
      </c>
      <c r="J317" s="12" t="n">
        <f aca="false">INDEX(Destination!$G$2:$G$501,MATCH(D317,Destination!$A$2:$A$501,0))</f>
        <v>75.79</v>
      </c>
      <c r="K317" s="17" t="n">
        <f aca="false">Assumptions!$B$2*2*ASIN(SQRT(SIN(RADIANS(I317-G317)/2)^2+COS(RADIANS(G317))*COS(RADIANS(I317))*SIN(RADIANS(J317-H317)/2)^2))</f>
        <v>58.075219047421</v>
      </c>
      <c r="L317" s="18" t="n">
        <f aca="false">K317*Assumptions!$B$3</f>
        <v>75.4977847616473</v>
      </c>
      <c r="M317" s="19" t="n">
        <f aca="false">L317/Assumptions!$B$4</f>
        <v>1.67772855025883</v>
      </c>
      <c r="N317" s="9" t="s">
        <v>1365</v>
      </c>
    </row>
    <row r="318" customFormat="false" ht="15" hidden="false" customHeight="false" outlineLevel="0" collapsed="false">
      <c r="A318" s="9" t="s">
        <v>1681</v>
      </c>
      <c r="B318" s="9" t="s">
        <v>372</v>
      </c>
      <c r="C318" s="9" t="str">
        <f aca="false">IFERROR(INDEX(Destination!$B$2:$B$501,MATCH(B318,Destination!$A$2:$A$501,0)),"")</f>
        <v>Coorg</v>
      </c>
      <c r="D318" s="9" t="s">
        <v>409</v>
      </c>
      <c r="E318" s="9" t="str">
        <f aca="false">IFERROR(INDEX(Destination!$B$2:$B$501,MATCH(D318,Destination!$A$2:$A$501,0)),"")</f>
        <v>Dharmasthala</v>
      </c>
      <c r="F318" s="9" t="s">
        <v>1364</v>
      </c>
      <c r="G318" s="12" t="n">
        <f aca="false">INDEX(Destination!$F$2:$F$501,MATCH(B318,Destination!$A$2:$A$501,0))</f>
        <v>12.42</v>
      </c>
      <c r="H318" s="12" t="n">
        <f aca="false">INDEX(Destination!$G$2:$G$501,MATCH(B318,Destination!$A$2:$A$501,0))</f>
        <v>75.74</v>
      </c>
      <c r="I318" s="12" t="n">
        <f aca="false">INDEX(Destination!$F$2:$F$501,MATCH(D318,Destination!$A$2:$A$501,0))</f>
        <v>12.95</v>
      </c>
      <c r="J318" s="12" t="n">
        <f aca="false">INDEX(Destination!$G$2:$G$501,MATCH(D318,Destination!$A$2:$A$501,0))</f>
        <v>75.38</v>
      </c>
      <c r="K318" s="17" t="n">
        <f aca="false">Assumptions!$B$2*2*ASIN(SQRT(SIN(RADIANS(I318-G318)/2)^2+COS(RADIANS(G318))*COS(RADIANS(I318))*SIN(RADIANS(J318-H318)/2)^2))</f>
        <v>70.6984338779285</v>
      </c>
      <c r="L318" s="18" t="n">
        <f aca="false">K318*Assumptions!$B$3</f>
        <v>91.907964041307</v>
      </c>
      <c r="M318" s="19" t="n">
        <f aca="false">L318/Assumptions!$B$4</f>
        <v>2.04239920091793</v>
      </c>
      <c r="N318" s="9" t="s">
        <v>1365</v>
      </c>
    </row>
    <row r="319" customFormat="false" ht="15" hidden="false" customHeight="false" outlineLevel="0" collapsed="false">
      <c r="A319" s="9" t="s">
        <v>1682</v>
      </c>
      <c r="B319" s="9" t="s">
        <v>372</v>
      </c>
      <c r="C319" s="9" t="str">
        <f aca="false">IFERROR(INDEX(Destination!$B$2:$B$501,MATCH(B319,Destination!$A$2:$A$501,0)),"")</f>
        <v>Coorg</v>
      </c>
      <c r="D319" s="9" t="s">
        <v>425</v>
      </c>
      <c r="E319" s="9" t="str">
        <f aca="false">IFERROR(INDEX(Destination!$B$2:$B$501,MATCH(D319,Destination!$A$2:$A$501,0)),"")</f>
        <v>Nagarhole</v>
      </c>
      <c r="F319" s="9" t="s">
        <v>1364</v>
      </c>
      <c r="G319" s="12" t="n">
        <f aca="false">INDEX(Destination!$F$2:$F$501,MATCH(B319,Destination!$A$2:$A$501,0))</f>
        <v>12.42</v>
      </c>
      <c r="H319" s="12" t="n">
        <f aca="false">INDEX(Destination!$G$2:$G$501,MATCH(B319,Destination!$A$2:$A$501,0))</f>
        <v>75.74</v>
      </c>
      <c r="I319" s="12" t="n">
        <f aca="false">INDEX(Destination!$F$2:$F$501,MATCH(D319,Destination!$A$2:$A$501,0))</f>
        <v>12.05</v>
      </c>
      <c r="J319" s="12" t="n">
        <f aca="false">INDEX(Destination!$G$2:$G$501,MATCH(D319,Destination!$A$2:$A$501,0))</f>
        <v>76.1</v>
      </c>
      <c r="K319" s="17" t="n">
        <f aca="false">Assumptions!$B$2*2*ASIN(SQRT(SIN(RADIANS(I319-G319)/2)^2+COS(RADIANS(G319))*COS(RADIANS(I319))*SIN(RADIANS(J319-H319)/2)^2))</f>
        <v>56.7725016946429</v>
      </c>
      <c r="L319" s="18" t="n">
        <f aca="false">K319*Assumptions!$B$3</f>
        <v>73.8042522030358</v>
      </c>
      <c r="M319" s="19" t="n">
        <f aca="false">L319/Assumptions!$B$4</f>
        <v>1.6400944934008</v>
      </c>
      <c r="N319" s="9" t="s">
        <v>1365</v>
      </c>
    </row>
    <row r="320" customFormat="false" ht="15" hidden="false" customHeight="false" outlineLevel="0" collapsed="false">
      <c r="A320" s="9" t="s">
        <v>1683</v>
      </c>
      <c r="B320" s="9" t="s">
        <v>372</v>
      </c>
      <c r="C320" s="9" t="str">
        <f aca="false">IFERROR(INDEX(Destination!$B$2:$B$501,MATCH(B320,Destination!$A$2:$A$501,0)),"")</f>
        <v>Coorg</v>
      </c>
      <c r="D320" s="9" t="s">
        <v>512</v>
      </c>
      <c r="E320" s="9" t="str">
        <f aca="false">IFERROR(INDEX(Destination!$B$2:$B$501,MATCH(D320,Destination!$A$2:$A$501,0)),"")</f>
        <v>Kannur</v>
      </c>
      <c r="F320" s="9" t="s">
        <v>1364</v>
      </c>
      <c r="G320" s="12" t="n">
        <f aca="false">INDEX(Destination!$F$2:$F$501,MATCH(B320,Destination!$A$2:$A$501,0))</f>
        <v>12.42</v>
      </c>
      <c r="H320" s="12" t="n">
        <f aca="false">INDEX(Destination!$G$2:$G$501,MATCH(B320,Destination!$A$2:$A$501,0))</f>
        <v>75.74</v>
      </c>
      <c r="I320" s="12" t="n">
        <f aca="false">INDEX(Destination!$F$2:$F$501,MATCH(D320,Destination!$A$2:$A$501,0))</f>
        <v>11.87</v>
      </c>
      <c r="J320" s="12" t="n">
        <f aca="false">INDEX(Destination!$G$2:$G$501,MATCH(D320,Destination!$A$2:$A$501,0))</f>
        <v>75.37</v>
      </c>
      <c r="K320" s="17" t="n">
        <f aca="false">Assumptions!$B$2*2*ASIN(SQRT(SIN(RADIANS(I320-G320)/2)^2+COS(RADIANS(G320))*COS(RADIANS(I320))*SIN(RADIANS(J320-H320)/2)^2))</f>
        <v>73.1979661330969</v>
      </c>
      <c r="L320" s="18" t="n">
        <f aca="false">K320*Assumptions!$B$3</f>
        <v>95.157355973026</v>
      </c>
      <c r="M320" s="19" t="n">
        <f aca="false">L320/Assumptions!$B$4</f>
        <v>2.11460791051169</v>
      </c>
      <c r="N320" s="9" t="s">
        <v>1365</v>
      </c>
    </row>
    <row r="321" customFormat="false" ht="15" hidden="false" customHeight="false" outlineLevel="0" collapsed="false">
      <c r="A321" s="9" t="s">
        <v>1684</v>
      </c>
      <c r="B321" s="9" t="s">
        <v>375</v>
      </c>
      <c r="C321" s="9" t="str">
        <f aca="false">IFERROR(INDEX(Destination!$B$2:$B$501,MATCH(B321,Destination!$A$2:$A$501,0)),"")</f>
        <v>Chikmagalur</v>
      </c>
      <c r="D321" s="9" t="s">
        <v>389</v>
      </c>
      <c r="E321" s="9" t="str">
        <f aca="false">IFERROR(INDEX(Destination!$B$2:$B$501,MATCH(D321,Destination!$A$2:$A$501,0)),"")</f>
        <v>Belur</v>
      </c>
      <c r="F321" s="9" t="s">
        <v>1364</v>
      </c>
      <c r="G321" s="12" t="n">
        <f aca="false">INDEX(Destination!$F$2:$F$501,MATCH(B321,Destination!$A$2:$A$501,0))</f>
        <v>13.32</v>
      </c>
      <c r="H321" s="12" t="n">
        <f aca="false">INDEX(Destination!$G$2:$G$501,MATCH(B321,Destination!$A$2:$A$501,0))</f>
        <v>75.77</v>
      </c>
      <c r="I321" s="12" t="n">
        <f aca="false">INDEX(Destination!$F$2:$F$501,MATCH(D321,Destination!$A$2:$A$501,0))</f>
        <v>13.16</v>
      </c>
      <c r="J321" s="12" t="n">
        <f aca="false">INDEX(Destination!$G$2:$G$501,MATCH(D321,Destination!$A$2:$A$501,0))</f>
        <v>75.86</v>
      </c>
      <c r="K321" s="17" t="n">
        <f aca="false">Assumptions!$B$2*2*ASIN(SQRT(SIN(RADIANS(I321-G321)/2)^2+COS(RADIANS(G321))*COS(RADIANS(I321))*SIN(RADIANS(J321-H321)/2)^2))</f>
        <v>20.2835849385213</v>
      </c>
      <c r="L321" s="18" t="n">
        <f aca="false">K321*Assumptions!$B$3</f>
        <v>26.3686604200777</v>
      </c>
      <c r="M321" s="19" t="n">
        <f aca="false">L321/Assumptions!$B$4</f>
        <v>0.585970231557281</v>
      </c>
      <c r="N321" s="9" t="s">
        <v>1365</v>
      </c>
    </row>
    <row r="322" customFormat="false" ht="15" hidden="false" customHeight="false" outlineLevel="0" collapsed="false">
      <c r="A322" s="9" t="s">
        <v>1685</v>
      </c>
      <c r="B322" s="9" t="s">
        <v>375</v>
      </c>
      <c r="C322" s="9" t="str">
        <f aca="false">IFERROR(INDEX(Destination!$B$2:$B$501,MATCH(B322,Destination!$A$2:$A$501,0)),"")</f>
        <v>Chikmagalur</v>
      </c>
      <c r="D322" s="9" t="s">
        <v>391</v>
      </c>
      <c r="E322" s="9" t="str">
        <f aca="false">IFERROR(INDEX(Destination!$B$2:$B$501,MATCH(D322,Destination!$A$2:$A$501,0)),"")</f>
        <v>Halebidu</v>
      </c>
      <c r="F322" s="9" t="s">
        <v>1364</v>
      </c>
      <c r="G322" s="12" t="n">
        <f aca="false">INDEX(Destination!$F$2:$F$501,MATCH(B322,Destination!$A$2:$A$501,0))</f>
        <v>13.32</v>
      </c>
      <c r="H322" s="12" t="n">
        <f aca="false">INDEX(Destination!$G$2:$G$501,MATCH(B322,Destination!$A$2:$A$501,0))</f>
        <v>75.77</v>
      </c>
      <c r="I322" s="12" t="n">
        <f aca="false">INDEX(Destination!$F$2:$F$501,MATCH(D322,Destination!$A$2:$A$501,0))</f>
        <v>13.21</v>
      </c>
      <c r="J322" s="12" t="n">
        <f aca="false">INDEX(Destination!$G$2:$G$501,MATCH(D322,Destination!$A$2:$A$501,0))</f>
        <v>76</v>
      </c>
      <c r="K322" s="17" t="n">
        <f aca="false">Assumptions!$B$2*2*ASIN(SQRT(SIN(RADIANS(I322-G322)/2)^2+COS(RADIANS(G322))*COS(RADIANS(I322))*SIN(RADIANS(J322-H322)/2)^2))</f>
        <v>27.7352357022536</v>
      </c>
      <c r="L322" s="18" t="n">
        <f aca="false">K322*Assumptions!$B$3</f>
        <v>36.0558064129297</v>
      </c>
      <c r="M322" s="19" t="n">
        <f aca="false">L322/Assumptions!$B$4</f>
        <v>0.801240142509548</v>
      </c>
      <c r="N322" s="9" t="s">
        <v>1365</v>
      </c>
    </row>
    <row r="323" customFormat="false" ht="15" hidden="false" customHeight="false" outlineLevel="0" collapsed="false">
      <c r="A323" s="9" t="s">
        <v>1686</v>
      </c>
      <c r="B323" s="9" t="s">
        <v>375</v>
      </c>
      <c r="C323" s="9" t="str">
        <f aca="false">IFERROR(INDEX(Destination!$B$2:$B$501,MATCH(B323,Destination!$A$2:$A$501,0)),"")</f>
        <v>Chikmagalur</v>
      </c>
      <c r="D323" s="9" t="s">
        <v>393</v>
      </c>
      <c r="E323" s="9" t="str">
        <f aca="false">IFERROR(INDEX(Destination!$B$2:$B$501,MATCH(D323,Destination!$A$2:$A$501,0)),"")</f>
        <v>Shivamogga</v>
      </c>
      <c r="F323" s="9" t="s">
        <v>1364</v>
      </c>
      <c r="G323" s="12" t="n">
        <f aca="false">INDEX(Destination!$F$2:$F$501,MATCH(B323,Destination!$A$2:$A$501,0))</f>
        <v>13.32</v>
      </c>
      <c r="H323" s="12" t="n">
        <f aca="false">INDEX(Destination!$G$2:$G$501,MATCH(B323,Destination!$A$2:$A$501,0))</f>
        <v>75.77</v>
      </c>
      <c r="I323" s="12" t="n">
        <f aca="false">INDEX(Destination!$F$2:$F$501,MATCH(D323,Destination!$A$2:$A$501,0))</f>
        <v>13.93</v>
      </c>
      <c r="J323" s="12" t="n">
        <f aca="false">INDEX(Destination!$G$2:$G$501,MATCH(D323,Destination!$A$2:$A$501,0))</f>
        <v>75.57</v>
      </c>
      <c r="K323" s="17" t="n">
        <f aca="false">Assumptions!$B$2*2*ASIN(SQRT(SIN(RADIANS(I323-G323)/2)^2+COS(RADIANS(G323))*COS(RADIANS(I323))*SIN(RADIANS(J323-H323)/2)^2))</f>
        <v>71.1890659215579</v>
      </c>
      <c r="L323" s="18" t="n">
        <f aca="false">K323*Assumptions!$B$3</f>
        <v>92.5457856980252</v>
      </c>
      <c r="M323" s="19" t="n">
        <f aca="false">L323/Assumptions!$B$4</f>
        <v>2.05657301551167</v>
      </c>
      <c r="N323" s="9" t="s">
        <v>1365</v>
      </c>
    </row>
    <row r="324" customFormat="false" ht="15" hidden="false" customHeight="false" outlineLevel="0" collapsed="false">
      <c r="A324" s="9" t="s">
        <v>1687</v>
      </c>
      <c r="B324" s="9" t="s">
        <v>375</v>
      </c>
      <c r="C324" s="9" t="str">
        <f aca="false">IFERROR(INDEX(Destination!$B$2:$B$501,MATCH(B324,Destination!$A$2:$A$501,0)),"")</f>
        <v>Chikmagalur</v>
      </c>
      <c r="D324" s="9" t="s">
        <v>403</v>
      </c>
      <c r="E324" s="9" t="str">
        <f aca="false">IFERROR(INDEX(Destination!$B$2:$B$501,MATCH(D324,Destination!$A$2:$A$501,0)),"")</f>
        <v>Sakleshpur</v>
      </c>
      <c r="F324" s="9" t="s">
        <v>1364</v>
      </c>
      <c r="G324" s="12" t="n">
        <f aca="false">INDEX(Destination!$F$2:$F$501,MATCH(B324,Destination!$A$2:$A$501,0))</f>
        <v>13.32</v>
      </c>
      <c r="H324" s="12" t="n">
        <f aca="false">INDEX(Destination!$G$2:$G$501,MATCH(B324,Destination!$A$2:$A$501,0))</f>
        <v>75.77</v>
      </c>
      <c r="I324" s="12" t="n">
        <f aca="false">INDEX(Destination!$F$2:$F$501,MATCH(D324,Destination!$A$2:$A$501,0))</f>
        <v>12.94</v>
      </c>
      <c r="J324" s="12" t="n">
        <f aca="false">INDEX(Destination!$G$2:$G$501,MATCH(D324,Destination!$A$2:$A$501,0))</f>
        <v>75.79</v>
      </c>
      <c r="K324" s="17" t="n">
        <f aca="false">Assumptions!$B$2*2*ASIN(SQRT(SIN(RADIANS(I324-G324)/2)^2+COS(RADIANS(G324))*COS(RADIANS(I324))*SIN(RADIANS(J324-H324)/2)^2))</f>
        <v>42.3095391771592</v>
      </c>
      <c r="L324" s="18" t="n">
        <f aca="false">K324*Assumptions!$B$3</f>
        <v>55.002400930307</v>
      </c>
      <c r="M324" s="19" t="n">
        <f aca="false">L324/Assumptions!$B$4</f>
        <v>1.22227557622905</v>
      </c>
      <c r="N324" s="9" t="s">
        <v>1365</v>
      </c>
    </row>
    <row r="325" customFormat="false" ht="15" hidden="false" customHeight="false" outlineLevel="0" collapsed="false">
      <c r="A325" s="9" t="s">
        <v>1688</v>
      </c>
      <c r="B325" s="9" t="s">
        <v>375</v>
      </c>
      <c r="C325" s="9" t="str">
        <f aca="false">IFERROR(INDEX(Destination!$B$2:$B$501,MATCH(B325,Destination!$A$2:$A$501,0)),"")</f>
        <v>Chikmagalur</v>
      </c>
      <c r="D325" s="9" t="s">
        <v>411</v>
      </c>
      <c r="E325" s="9" t="str">
        <f aca="false">IFERROR(INDEX(Destination!$B$2:$B$501,MATCH(D325,Destination!$A$2:$A$501,0)),"")</f>
        <v>Chitradurga</v>
      </c>
      <c r="F325" s="9" t="s">
        <v>1364</v>
      </c>
      <c r="G325" s="12" t="n">
        <f aca="false">INDEX(Destination!$F$2:$F$501,MATCH(B325,Destination!$A$2:$A$501,0))</f>
        <v>13.32</v>
      </c>
      <c r="H325" s="12" t="n">
        <f aca="false">INDEX(Destination!$G$2:$G$501,MATCH(B325,Destination!$A$2:$A$501,0))</f>
        <v>75.77</v>
      </c>
      <c r="I325" s="12" t="n">
        <f aca="false">INDEX(Destination!$F$2:$F$501,MATCH(D325,Destination!$A$2:$A$501,0))</f>
        <v>14.23</v>
      </c>
      <c r="J325" s="12" t="n">
        <f aca="false">INDEX(Destination!$G$2:$G$501,MATCH(D325,Destination!$A$2:$A$501,0))</f>
        <v>76.4</v>
      </c>
      <c r="K325" s="17" t="n">
        <f aca="false">Assumptions!$B$2*2*ASIN(SQRT(SIN(RADIANS(I325-G325)/2)^2+COS(RADIANS(G325))*COS(RADIANS(I325))*SIN(RADIANS(J325-H325)/2)^2))</f>
        <v>121.934136074889</v>
      </c>
      <c r="L325" s="18" t="n">
        <f aca="false">K325*Assumptions!$B$3</f>
        <v>158.514376897355</v>
      </c>
      <c r="M325" s="19" t="n">
        <f aca="false">L325/Assumptions!$B$4</f>
        <v>3.52254170883012</v>
      </c>
      <c r="N325" s="9" t="s">
        <v>1365</v>
      </c>
    </row>
    <row r="326" customFormat="false" ht="15" hidden="false" customHeight="false" outlineLevel="0" collapsed="false">
      <c r="A326" s="9" t="s">
        <v>1689</v>
      </c>
      <c r="B326" s="9" t="s">
        <v>377</v>
      </c>
      <c r="C326" s="9" t="str">
        <f aca="false">IFERROR(INDEX(Destination!$B$2:$B$501,MATCH(B326,Destination!$A$2:$A$501,0)),"")</f>
        <v>Gokarna</v>
      </c>
      <c r="D326" s="9" t="s">
        <v>395</v>
      </c>
      <c r="E326" s="9" t="str">
        <f aca="false">IFERROR(INDEX(Destination!$B$2:$B$501,MATCH(D326,Destination!$A$2:$A$501,0)),"")</f>
        <v>Jog Falls</v>
      </c>
      <c r="F326" s="9" t="s">
        <v>1364</v>
      </c>
      <c r="G326" s="12" t="n">
        <f aca="false">INDEX(Destination!$F$2:$F$501,MATCH(B326,Destination!$A$2:$A$501,0))</f>
        <v>14.55</v>
      </c>
      <c r="H326" s="12" t="n">
        <f aca="false">INDEX(Destination!$G$2:$G$501,MATCH(B326,Destination!$A$2:$A$501,0))</f>
        <v>74.32</v>
      </c>
      <c r="I326" s="12" t="n">
        <f aca="false">INDEX(Destination!$F$2:$F$501,MATCH(D326,Destination!$A$2:$A$501,0))</f>
        <v>14.23</v>
      </c>
      <c r="J326" s="12" t="n">
        <f aca="false">INDEX(Destination!$G$2:$G$501,MATCH(D326,Destination!$A$2:$A$501,0))</f>
        <v>74.81</v>
      </c>
      <c r="K326" s="17" t="n">
        <f aca="false">Assumptions!$B$2*2*ASIN(SQRT(SIN(RADIANS(I326-G326)/2)^2+COS(RADIANS(G326))*COS(RADIANS(I326))*SIN(RADIANS(J326-H326)/2)^2))</f>
        <v>63.6507201372775</v>
      </c>
      <c r="L326" s="18" t="n">
        <f aca="false">K326*Assumptions!$B$3</f>
        <v>82.7459361784607</v>
      </c>
      <c r="M326" s="19" t="n">
        <f aca="false">L326/Assumptions!$B$4</f>
        <v>1.83879858174357</v>
      </c>
      <c r="N326" s="9" t="s">
        <v>1365</v>
      </c>
    </row>
    <row r="327" customFormat="false" ht="15" hidden="false" customHeight="false" outlineLevel="0" collapsed="false">
      <c r="A327" s="9" t="s">
        <v>1690</v>
      </c>
      <c r="B327" s="9" t="s">
        <v>377</v>
      </c>
      <c r="C327" s="9" t="str">
        <f aca="false">IFERROR(INDEX(Destination!$B$2:$B$501,MATCH(B327,Destination!$A$2:$A$501,0)),"")</f>
        <v>Gokarna</v>
      </c>
      <c r="D327" s="9" t="s">
        <v>405</v>
      </c>
      <c r="E327" s="9" t="str">
        <f aca="false">IFERROR(INDEX(Destination!$B$2:$B$501,MATCH(D327,Destination!$A$2:$A$501,0)),"")</f>
        <v>Murudeshwar</v>
      </c>
      <c r="F327" s="9" t="s">
        <v>1364</v>
      </c>
      <c r="G327" s="12" t="n">
        <f aca="false">INDEX(Destination!$F$2:$F$501,MATCH(B327,Destination!$A$2:$A$501,0))</f>
        <v>14.55</v>
      </c>
      <c r="H327" s="12" t="n">
        <f aca="false">INDEX(Destination!$G$2:$G$501,MATCH(B327,Destination!$A$2:$A$501,0))</f>
        <v>74.32</v>
      </c>
      <c r="I327" s="12" t="n">
        <f aca="false">INDEX(Destination!$F$2:$F$501,MATCH(D327,Destination!$A$2:$A$501,0))</f>
        <v>14.09</v>
      </c>
      <c r="J327" s="12" t="n">
        <f aca="false">INDEX(Destination!$G$2:$G$501,MATCH(D327,Destination!$A$2:$A$501,0))</f>
        <v>74.49</v>
      </c>
      <c r="K327" s="17" t="n">
        <f aca="false">Assumptions!$B$2*2*ASIN(SQRT(SIN(RADIANS(I327-G327)/2)^2+COS(RADIANS(G327))*COS(RADIANS(I327))*SIN(RADIANS(J327-H327)/2)^2))</f>
        <v>54.330055811823</v>
      </c>
      <c r="L327" s="18" t="n">
        <f aca="false">K327*Assumptions!$B$3</f>
        <v>70.6290725553699</v>
      </c>
      <c r="M327" s="19" t="n">
        <f aca="false">L327/Assumptions!$B$4</f>
        <v>1.56953494567489</v>
      </c>
      <c r="N327" s="9" t="s">
        <v>1365</v>
      </c>
    </row>
    <row r="328" customFormat="false" ht="15" hidden="false" customHeight="false" outlineLevel="0" collapsed="false">
      <c r="A328" s="9" t="s">
        <v>1691</v>
      </c>
      <c r="B328" s="9" t="s">
        <v>377</v>
      </c>
      <c r="C328" s="9" t="str">
        <f aca="false">IFERROR(INDEX(Destination!$B$2:$B$501,MATCH(B328,Destination!$A$2:$A$501,0)),"")</f>
        <v>Gokarna</v>
      </c>
      <c r="D328" s="9" t="s">
        <v>423</v>
      </c>
      <c r="E328" s="9" t="str">
        <f aca="false">IFERROR(INDEX(Destination!$B$2:$B$501,MATCH(D328,Destination!$A$2:$A$501,0)),"")</f>
        <v>Yana</v>
      </c>
      <c r="F328" s="9" t="s">
        <v>1364</v>
      </c>
      <c r="G328" s="12" t="n">
        <f aca="false">INDEX(Destination!$F$2:$F$501,MATCH(B328,Destination!$A$2:$A$501,0))</f>
        <v>14.55</v>
      </c>
      <c r="H328" s="12" t="n">
        <f aca="false">INDEX(Destination!$G$2:$G$501,MATCH(B328,Destination!$A$2:$A$501,0))</f>
        <v>74.32</v>
      </c>
      <c r="I328" s="12" t="n">
        <f aca="false">INDEX(Destination!$F$2:$F$501,MATCH(D328,Destination!$A$2:$A$501,0))</f>
        <v>14.57</v>
      </c>
      <c r="J328" s="12" t="n">
        <f aca="false">INDEX(Destination!$G$2:$G$501,MATCH(D328,Destination!$A$2:$A$501,0))</f>
        <v>74.55</v>
      </c>
      <c r="K328" s="17" t="n">
        <f aca="false">Assumptions!$B$2*2*ASIN(SQRT(SIN(RADIANS(I328-G328)/2)^2+COS(RADIANS(G328))*COS(RADIANS(I328))*SIN(RADIANS(J328-H328)/2)^2))</f>
        <v>24.8531926675432</v>
      </c>
      <c r="L328" s="18" t="n">
        <f aca="false">K328*Assumptions!$B$3</f>
        <v>32.3091504678062</v>
      </c>
      <c r="M328" s="19" t="n">
        <f aca="false">L328/Assumptions!$B$4</f>
        <v>0.717981121506804</v>
      </c>
      <c r="N328" s="9" t="s">
        <v>1365</v>
      </c>
    </row>
    <row r="329" customFormat="false" ht="15" hidden="false" customHeight="false" outlineLevel="0" collapsed="false">
      <c r="A329" s="9" t="s">
        <v>1692</v>
      </c>
      <c r="B329" s="9" t="s">
        <v>379</v>
      </c>
      <c r="C329" s="9" t="str">
        <f aca="false">IFERROR(INDEX(Destination!$B$2:$B$501,MATCH(B329,Destination!$A$2:$A$501,0)),"")</f>
        <v>Udupi</v>
      </c>
      <c r="D329" s="9" t="s">
        <v>381</v>
      </c>
      <c r="E329" s="9" t="str">
        <f aca="false">IFERROR(INDEX(Destination!$B$2:$B$501,MATCH(D329,Destination!$A$2:$A$501,0)),"")</f>
        <v>Mangaluru</v>
      </c>
      <c r="F329" s="9" t="s">
        <v>1364</v>
      </c>
      <c r="G329" s="12" t="n">
        <f aca="false">INDEX(Destination!$F$2:$F$501,MATCH(B329,Destination!$A$2:$A$501,0))</f>
        <v>13.34</v>
      </c>
      <c r="H329" s="12" t="n">
        <f aca="false">INDEX(Destination!$G$2:$G$501,MATCH(B329,Destination!$A$2:$A$501,0))</f>
        <v>74.75</v>
      </c>
      <c r="I329" s="12" t="n">
        <f aca="false">INDEX(Destination!$F$2:$F$501,MATCH(D329,Destination!$A$2:$A$501,0))</f>
        <v>12.91</v>
      </c>
      <c r="J329" s="12" t="n">
        <f aca="false">INDEX(Destination!$G$2:$G$501,MATCH(D329,Destination!$A$2:$A$501,0))</f>
        <v>74.86</v>
      </c>
      <c r="K329" s="17" t="n">
        <f aca="false">Assumptions!$B$2*2*ASIN(SQRT(SIN(RADIANS(I329-G329)/2)^2+COS(RADIANS(G329))*COS(RADIANS(I329))*SIN(RADIANS(J329-H329)/2)^2))</f>
        <v>49.2752908666581</v>
      </c>
      <c r="L329" s="18" t="n">
        <f aca="false">K329*Assumptions!$B$3</f>
        <v>64.0578781266555</v>
      </c>
      <c r="M329" s="19" t="n">
        <f aca="false">L329/Assumptions!$B$4</f>
        <v>1.42350840281457</v>
      </c>
      <c r="N329" s="9" t="s">
        <v>1365</v>
      </c>
    </row>
    <row r="330" customFormat="false" ht="15" hidden="false" customHeight="false" outlineLevel="0" collapsed="false">
      <c r="A330" s="9" t="s">
        <v>1693</v>
      </c>
      <c r="B330" s="9" t="s">
        <v>379</v>
      </c>
      <c r="C330" s="9" t="str">
        <f aca="false">IFERROR(INDEX(Destination!$B$2:$B$501,MATCH(B330,Destination!$A$2:$A$501,0)),"")</f>
        <v>Udupi</v>
      </c>
      <c r="D330" s="9" t="s">
        <v>407</v>
      </c>
      <c r="E330" s="9" t="str">
        <f aca="false">IFERROR(INDEX(Destination!$B$2:$B$501,MATCH(D330,Destination!$A$2:$A$501,0)),"")</f>
        <v>Sringeri</v>
      </c>
      <c r="F330" s="9" t="s">
        <v>1364</v>
      </c>
      <c r="G330" s="12" t="n">
        <f aca="false">INDEX(Destination!$F$2:$F$501,MATCH(B330,Destination!$A$2:$A$501,0))</f>
        <v>13.34</v>
      </c>
      <c r="H330" s="12" t="n">
        <f aca="false">INDEX(Destination!$G$2:$G$501,MATCH(B330,Destination!$A$2:$A$501,0))</f>
        <v>74.75</v>
      </c>
      <c r="I330" s="12" t="n">
        <f aca="false">INDEX(Destination!$F$2:$F$501,MATCH(D330,Destination!$A$2:$A$501,0))</f>
        <v>13.42</v>
      </c>
      <c r="J330" s="12" t="n">
        <f aca="false">INDEX(Destination!$G$2:$G$501,MATCH(D330,Destination!$A$2:$A$501,0))</f>
        <v>75.25</v>
      </c>
      <c r="K330" s="17" t="n">
        <f aca="false">Assumptions!$B$2*2*ASIN(SQRT(SIN(RADIANS(I330-G330)/2)^2+COS(RADIANS(G330))*COS(RADIANS(I330))*SIN(RADIANS(J330-H330)/2)^2))</f>
        <v>54.8149735546472</v>
      </c>
      <c r="L330" s="18" t="n">
        <f aca="false">K330*Assumptions!$B$3</f>
        <v>71.2594656210414</v>
      </c>
      <c r="M330" s="19" t="n">
        <f aca="false">L330/Assumptions!$B$4</f>
        <v>1.58354368046759</v>
      </c>
      <c r="N330" s="9" t="s">
        <v>1365</v>
      </c>
    </row>
    <row r="331" customFormat="false" ht="15" hidden="false" customHeight="false" outlineLevel="0" collapsed="false">
      <c r="A331" s="9" t="s">
        <v>1694</v>
      </c>
      <c r="B331" s="9" t="s">
        <v>379</v>
      </c>
      <c r="C331" s="9" t="str">
        <f aca="false">IFERROR(INDEX(Destination!$B$2:$B$501,MATCH(B331,Destination!$A$2:$A$501,0)),"")</f>
        <v>Udupi</v>
      </c>
      <c r="D331" s="9" t="s">
        <v>421</v>
      </c>
      <c r="E331" s="9" t="str">
        <f aca="false">IFERROR(INDEX(Destination!$B$2:$B$501,MATCH(D331,Destination!$A$2:$A$501,0)),"")</f>
        <v>Agumbe</v>
      </c>
      <c r="F331" s="9" t="s">
        <v>1364</v>
      </c>
      <c r="G331" s="12" t="n">
        <f aca="false">INDEX(Destination!$F$2:$F$501,MATCH(B331,Destination!$A$2:$A$501,0))</f>
        <v>13.34</v>
      </c>
      <c r="H331" s="12" t="n">
        <f aca="false">INDEX(Destination!$G$2:$G$501,MATCH(B331,Destination!$A$2:$A$501,0))</f>
        <v>74.75</v>
      </c>
      <c r="I331" s="12" t="n">
        <f aca="false">INDEX(Destination!$F$2:$F$501,MATCH(D331,Destination!$A$2:$A$501,0))</f>
        <v>13.5</v>
      </c>
      <c r="J331" s="12" t="n">
        <f aca="false">INDEX(Destination!$G$2:$G$501,MATCH(D331,Destination!$A$2:$A$501,0))</f>
        <v>75.09</v>
      </c>
      <c r="K331" s="17" t="n">
        <f aca="false">Assumptions!$B$2*2*ASIN(SQRT(SIN(RADIANS(I331-G331)/2)^2+COS(RADIANS(G331))*COS(RADIANS(I331))*SIN(RADIANS(J331-H331)/2)^2))</f>
        <v>40.8515622897496</v>
      </c>
      <c r="L331" s="18" t="n">
        <f aca="false">K331*Assumptions!$B$3</f>
        <v>53.1070309766745</v>
      </c>
      <c r="M331" s="19" t="n">
        <f aca="false">L331/Assumptions!$B$4</f>
        <v>1.1801562439261</v>
      </c>
      <c r="N331" s="9" t="s">
        <v>1365</v>
      </c>
    </row>
    <row r="332" customFormat="false" ht="15" hidden="false" customHeight="false" outlineLevel="0" collapsed="false">
      <c r="A332" s="9" t="s">
        <v>1695</v>
      </c>
      <c r="B332" s="9" t="s">
        <v>381</v>
      </c>
      <c r="C332" s="9" t="str">
        <f aca="false">IFERROR(INDEX(Destination!$B$2:$B$501,MATCH(B332,Destination!$A$2:$A$501,0)),"")</f>
        <v>Mangaluru</v>
      </c>
      <c r="D332" s="9" t="s">
        <v>409</v>
      </c>
      <c r="E332" s="9" t="str">
        <f aca="false">IFERROR(INDEX(Destination!$B$2:$B$501,MATCH(D332,Destination!$A$2:$A$501,0)),"")</f>
        <v>Dharmasthala</v>
      </c>
      <c r="F332" s="9" t="s">
        <v>1364</v>
      </c>
      <c r="G332" s="12" t="n">
        <f aca="false">INDEX(Destination!$F$2:$F$501,MATCH(B332,Destination!$A$2:$A$501,0))</f>
        <v>12.91</v>
      </c>
      <c r="H332" s="12" t="n">
        <f aca="false">INDEX(Destination!$G$2:$G$501,MATCH(B332,Destination!$A$2:$A$501,0))</f>
        <v>74.86</v>
      </c>
      <c r="I332" s="12" t="n">
        <f aca="false">INDEX(Destination!$F$2:$F$501,MATCH(D332,Destination!$A$2:$A$501,0))</f>
        <v>12.95</v>
      </c>
      <c r="J332" s="12" t="n">
        <f aca="false">INDEX(Destination!$G$2:$G$501,MATCH(D332,Destination!$A$2:$A$501,0))</f>
        <v>75.38</v>
      </c>
      <c r="K332" s="17" t="n">
        <f aca="false">Assumptions!$B$2*2*ASIN(SQRT(SIN(RADIANS(I332-G332)/2)^2+COS(RADIANS(G332))*COS(RADIANS(I332))*SIN(RADIANS(J332-H332)/2)^2))</f>
        <v>56.5304891711257</v>
      </c>
      <c r="L332" s="18" t="n">
        <f aca="false">K332*Assumptions!$B$3</f>
        <v>73.4896359224634</v>
      </c>
      <c r="M332" s="19" t="n">
        <f aca="false">L332/Assumptions!$B$4</f>
        <v>1.63310302049919</v>
      </c>
      <c r="N332" s="9" t="s">
        <v>1365</v>
      </c>
    </row>
    <row r="333" customFormat="false" ht="15" hidden="false" customHeight="false" outlineLevel="0" collapsed="false">
      <c r="A333" s="9" t="s">
        <v>1696</v>
      </c>
      <c r="B333" s="9" t="s">
        <v>381</v>
      </c>
      <c r="C333" s="9" t="str">
        <f aca="false">IFERROR(INDEX(Destination!$B$2:$B$501,MATCH(B333,Destination!$A$2:$A$501,0)),"")</f>
        <v>Mangaluru</v>
      </c>
      <c r="D333" s="9" t="s">
        <v>419</v>
      </c>
      <c r="E333" s="9" t="str">
        <f aca="false">IFERROR(INDEX(Destination!$B$2:$B$501,MATCH(D333,Destination!$A$2:$A$501,0)),"")</f>
        <v>Kudremukh</v>
      </c>
      <c r="F333" s="9" t="s">
        <v>1364</v>
      </c>
      <c r="G333" s="12" t="n">
        <f aca="false">INDEX(Destination!$F$2:$F$501,MATCH(B333,Destination!$A$2:$A$501,0))</f>
        <v>12.91</v>
      </c>
      <c r="H333" s="12" t="n">
        <f aca="false">INDEX(Destination!$G$2:$G$501,MATCH(B333,Destination!$A$2:$A$501,0))</f>
        <v>74.86</v>
      </c>
      <c r="I333" s="12" t="n">
        <f aca="false">INDEX(Destination!$F$2:$F$501,MATCH(D333,Destination!$A$2:$A$501,0))</f>
        <v>13.22</v>
      </c>
      <c r="J333" s="12" t="n">
        <f aca="false">INDEX(Destination!$G$2:$G$501,MATCH(D333,Destination!$A$2:$A$501,0))</f>
        <v>75.25</v>
      </c>
      <c r="K333" s="17" t="n">
        <f aca="false">Assumptions!$B$2*2*ASIN(SQRT(SIN(RADIANS(I333-G333)/2)^2+COS(RADIANS(G333))*COS(RADIANS(I333))*SIN(RADIANS(J333-H333)/2)^2))</f>
        <v>54.5226078673268</v>
      </c>
      <c r="L333" s="18" t="n">
        <f aca="false">K333*Assumptions!$B$3</f>
        <v>70.8793902275249</v>
      </c>
      <c r="M333" s="19" t="n">
        <f aca="false">L333/Assumptions!$B$4</f>
        <v>1.57509756061166</v>
      </c>
      <c r="N333" s="9" t="s">
        <v>1365</v>
      </c>
    </row>
    <row r="334" customFormat="false" ht="15" hidden="false" customHeight="false" outlineLevel="0" collapsed="false">
      <c r="A334" s="9" t="s">
        <v>1697</v>
      </c>
      <c r="B334" s="9" t="s">
        <v>381</v>
      </c>
      <c r="C334" s="9" t="str">
        <f aca="false">IFERROR(INDEX(Destination!$B$2:$B$501,MATCH(B334,Destination!$A$2:$A$501,0)),"")</f>
        <v>Mangaluru</v>
      </c>
      <c r="D334" s="9" t="s">
        <v>514</v>
      </c>
      <c r="E334" s="9" t="str">
        <f aca="false">IFERROR(INDEX(Destination!$B$2:$B$501,MATCH(D334,Destination!$A$2:$A$501,0)),"")</f>
        <v>Bekal</v>
      </c>
      <c r="F334" s="9" t="s">
        <v>1364</v>
      </c>
      <c r="G334" s="12" t="n">
        <f aca="false">INDEX(Destination!$F$2:$F$501,MATCH(B334,Destination!$A$2:$A$501,0))</f>
        <v>12.91</v>
      </c>
      <c r="H334" s="12" t="n">
        <f aca="false">INDEX(Destination!$G$2:$G$501,MATCH(B334,Destination!$A$2:$A$501,0))</f>
        <v>74.86</v>
      </c>
      <c r="I334" s="12" t="n">
        <f aca="false">INDEX(Destination!$F$2:$F$501,MATCH(D334,Destination!$A$2:$A$501,0))</f>
        <v>12.39</v>
      </c>
      <c r="J334" s="12" t="n">
        <f aca="false">INDEX(Destination!$G$2:$G$501,MATCH(D334,Destination!$A$2:$A$501,0))</f>
        <v>75.03</v>
      </c>
      <c r="K334" s="17" t="n">
        <f aca="false">Assumptions!$B$2*2*ASIN(SQRT(SIN(RADIANS(I334-G334)/2)^2+COS(RADIANS(G334))*COS(RADIANS(I334))*SIN(RADIANS(J334-H334)/2)^2))</f>
        <v>60.691834465324</v>
      </c>
      <c r="L334" s="18" t="n">
        <f aca="false">K334*Assumptions!$B$3</f>
        <v>78.8993848049211</v>
      </c>
      <c r="M334" s="19" t="n">
        <f aca="false">L334/Assumptions!$B$4</f>
        <v>1.75331966233158</v>
      </c>
      <c r="N334" s="9" t="s">
        <v>1365</v>
      </c>
    </row>
    <row r="335" customFormat="false" ht="15" hidden="false" customHeight="false" outlineLevel="0" collapsed="false">
      <c r="A335" s="9" t="s">
        <v>1698</v>
      </c>
      <c r="B335" s="9" t="s">
        <v>383</v>
      </c>
      <c r="C335" s="9" t="str">
        <f aca="false">IFERROR(INDEX(Destination!$B$2:$B$501,MATCH(B335,Destination!$A$2:$A$501,0)),"")</f>
        <v>Badami</v>
      </c>
      <c r="D335" s="9" t="s">
        <v>385</v>
      </c>
      <c r="E335" s="9" t="str">
        <f aca="false">IFERROR(INDEX(Destination!$B$2:$B$501,MATCH(D335,Destination!$A$2:$A$501,0)),"")</f>
        <v>Aihole</v>
      </c>
      <c r="F335" s="9" t="s">
        <v>1364</v>
      </c>
      <c r="G335" s="12" t="n">
        <f aca="false">INDEX(Destination!$F$2:$F$501,MATCH(B335,Destination!$A$2:$A$501,0))</f>
        <v>15.92</v>
      </c>
      <c r="H335" s="12" t="n">
        <f aca="false">INDEX(Destination!$G$2:$G$501,MATCH(B335,Destination!$A$2:$A$501,0))</f>
        <v>75.68</v>
      </c>
      <c r="I335" s="12" t="n">
        <f aca="false">INDEX(Destination!$F$2:$F$501,MATCH(D335,Destination!$A$2:$A$501,0))</f>
        <v>16.02</v>
      </c>
      <c r="J335" s="12" t="n">
        <f aca="false">INDEX(Destination!$G$2:$G$501,MATCH(D335,Destination!$A$2:$A$501,0))</f>
        <v>75.88</v>
      </c>
      <c r="K335" s="17" t="n">
        <f aca="false">Assumptions!$B$2*2*ASIN(SQRT(SIN(RADIANS(I335-G335)/2)^2+COS(RADIANS(G335))*COS(RADIANS(I335))*SIN(RADIANS(J335-H335)/2)^2))</f>
        <v>24.0993133382447</v>
      </c>
      <c r="L335" s="18" t="n">
        <f aca="false">K335*Assumptions!$B$3</f>
        <v>31.3291073397181</v>
      </c>
      <c r="M335" s="19" t="n">
        <f aca="false">L335/Assumptions!$B$4</f>
        <v>0.696202385327068</v>
      </c>
      <c r="N335" s="9" t="s">
        <v>1365</v>
      </c>
    </row>
    <row r="336" customFormat="false" ht="15" hidden="false" customHeight="false" outlineLevel="0" collapsed="false">
      <c r="A336" s="9" t="s">
        <v>1699</v>
      </c>
      <c r="B336" s="9" t="s">
        <v>383</v>
      </c>
      <c r="C336" s="9" t="str">
        <f aca="false">IFERROR(INDEX(Destination!$B$2:$B$501,MATCH(B336,Destination!$A$2:$A$501,0)),"")</f>
        <v>Badami</v>
      </c>
      <c r="D336" s="9" t="s">
        <v>387</v>
      </c>
      <c r="E336" s="9" t="str">
        <f aca="false">IFERROR(INDEX(Destination!$B$2:$B$501,MATCH(D336,Destination!$A$2:$A$501,0)),"")</f>
        <v>Pattadakal</v>
      </c>
      <c r="F336" s="9" t="s">
        <v>1364</v>
      </c>
      <c r="G336" s="12" t="n">
        <f aca="false">INDEX(Destination!$F$2:$F$501,MATCH(B336,Destination!$A$2:$A$501,0))</f>
        <v>15.92</v>
      </c>
      <c r="H336" s="12" t="n">
        <f aca="false">INDEX(Destination!$G$2:$G$501,MATCH(B336,Destination!$A$2:$A$501,0))</f>
        <v>75.68</v>
      </c>
      <c r="I336" s="12" t="n">
        <f aca="false">INDEX(Destination!$F$2:$F$501,MATCH(D336,Destination!$A$2:$A$501,0))</f>
        <v>15.95</v>
      </c>
      <c r="J336" s="12" t="n">
        <f aca="false">INDEX(Destination!$G$2:$G$501,MATCH(D336,Destination!$A$2:$A$501,0))</f>
        <v>75.82</v>
      </c>
      <c r="K336" s="17" t="n">
        <f aca="false">Assumptions!$B$2*2*ASIN(SQRT(SIN(RADIANS(I336-G336)/2)^2+COS(RADIANS(G336))*COS(RADIANS(I336))*SIN(RADIANS(J336-H336)/2)^2))</f>
        <v>15.3362886213543</v>
      </c>
      <c r="L336" s="18" t="n">
        <f aca="false">K336*Assumptions!$B$3</f>
        <v>19.9371752077606</v>
      </c>
      <c r="M336" s="19" t="n">
        <f aca="false">L336/Assumptions!$B$4</f>
        <v>0.443048337950236</v>
      </c>
      <c r="N336" s="9" t="s">
        <v>1365</v>
      </c>
    </row>
    <row r="337" customFormat="false" ht="15" hidden="false" customHeight="false" outlineLevel="0" collapsed="false">
      <c r="A337" s="9" t="s">
        <v>1700</v>
      </c>
      <c r="B337" s="9" t="s">
        <v>383</v>
      </c>
      <c r="C337" s="9" t="str">
        <f aca="false">IFERROR(INDEX(Destination!$B$2:$B$501,MATCH(B337,Destination!$A$2:$A$501,0)),"")</f>
        <v>Badami</v>
      </c>
      <c r="D337" s="9" t="s">
        <v>413</v>
      </c>
      <c r="E337" s="9" t="str">
        <f aca="false">IFERROR(INDEX(Destination!$B$2:$B$501,MATCH(D337,Destination!$A$2:$A$501,0)),"")</f>
        <v>Vijayapura</v>
      </c>
      <c r="F337" s="9" t="s">
        <v>1364</v>
      </c>
      <c r="G337" s="12" t="n">
        <f aca="false">INDEX(Destination!$F$2:$F$501,MATCH(B337,Destination!$A$2:$A$501,0))</f>
        <v>15.92</v>
      </c>
      <c r="H337" s="12" t="n">
        <f aca="false">INDEX(Destination!$G$2:$G$501,MATCH(B337,Destination!$A$2:$A$501,0))</f>
        <v>75.68</v>
      </c>
      <c r="I337" s="12" t="n">
        <f aca="false">INDEX(Destination!$F$2:$F$501,MATCH(D337,Destination!$A$2:$A$501,0))</f>
        <v>16.83</v>
      </c>
      <c r="J337" s="12" t="n">
        <f aca="false">INDEX(Destination!$G$2:$G$501,MATCH(D337,Destination!$A$2:$A$501,0))</f>
        <v>75.71</v>
      </c>
      <c r="K337" s="17" t="n">
        <f aca="false">Assumptions!$B$2*2*ASIN(SQRT(SIN(RADIANS(I337-G337)/2)^2+COS(RADIANS(G337))*COS(RADIANS(I337))*SIN(RADIANS(J337-H337)/2)^2))</f>
        <v>101.237985402028</v>
      </c>
      <c r="L337" s="18" t="n">
        <f aca="false">K337*Assumptions!$B$3</f>
        <v>131.609381022637</v>
      </c>
      <c r="M337" s="19" t="n">
        <f aca="false">L337/Assumptions!$B$4</f>
        <v>2.92465291161416</v>
      </c>
      <c r="N337" s="9" t="s">
        <v>1365</v>
      </c>
    </row>
    <row r="338" customFormat="false" ht="15" hidden="false" customHeight="false" outlineLevel="0" collapsed="false">
      <c r="A338" s="9" t="s">
        <v>1701</v>
      </c>
      <c r="B338" s="9" t="s">
        <v>383</v>
      </c>
      <c r="C338" s="9" t="str">
        <f aca="false">IFERROR(INDEX(Destination!$B$2:$B$501,MATCH(B338,Destination!$A$2:$A$501,0)),"")</f>
        <v>Badami</v>
      </c>
      <c r="D338" s="9" t="s">
        <v>417</v>
      </c>
      <c r="E338" s="9" t="str">
        <f aca="false">IFERROR(INDEX(Destination!$B$2:$B$501,MATCH(D338,Destination!$A$2:$A$501,0)),"")</f>
        <v>Anegundi</v>
      </c>
      <c r="F338" s="9" t="s">
        <v>1364</v>
      </c>
      <c r="G338" s="12" t="n">
        <f aca="false">INDEX(Destination!$F$2:$F$501,MATCH(B338,Destination!$A$2:$A$501,0))</f>
        <v>15.92</v>
      </c>
      <c r="H338" s="12" t="n">
        <f aca="false">INDEX(Destination!$G$2:$G$501,MATCH(B338,Destination!$A$2:$A$501,0))</f>
        <v>75.68</v>
      </c>
      <c r="I338" s="12" t="n">
        <f aca="false">INDEX(Destination!$F$2:$F$501,MATCH(D338,Destination!$A$2:$A$501,0))</f>
        <v>15.35</v>
      </c>
      <c r="J338" s="12" t="n">
        <f aca="false">INDEX(Destination!$G$2:$G$501,MATCH(D338,Destination!$A$2:$A$501,0))</f>
        <v>76.49</v>
      </c>
      <c r="K338" s="17" t="n">
        <f aca="false">Assumptions!$B$2*2*ASIN(SQRT(SIN(RADIANS(I338-G338)/2)^2+COS(RADIANS(G338))*COS(RADIANS(I338))*SIN(RADIANS(J338-H338)/2)^2))</f>
        <v>107.424743784548</v>
      </c>
      <c r="L338" s="18" t="n">
        <f aca="false">K338*Assumptions!$B$3</f>
        <v>139.652166919912</v>
      </c>
      <c r="M338" s="19" t="n">
        <f aca="false">L338/Assumptions!$B$4</f>
        <v>3.10338148710916</v>
      </c>
      <c r="N338" s="9" t="s">
        <v>1365</v>
      </c>
    </row>
    <row r="339" customFormat="false" ht="15" hidden="false" customHeight="false" outlineLevel="0" collapsed="false">
      <c r="A339" s="9" t="s">
        <v>1702</v>
      </c>
      <c r="B339" s="9" t="s">
        <v>385</v>
      </c>
      <c r="C339" s="9" t="str">
        <f aca="false">IFERROR(INDEX(Destination!$B$2:$B$501,MATCH(B339,Destination!$A$2:$A$501,0)),"")</f>
        <v>Aihole</v>
      </c>
      <c r="D339" s="9" t="s">
        <v>387</v>
      </c>
      <c r="E339" s="9" t="str">
        <f aca="false">IFERROR(INDEX(Destination!$B$2:$B$501,MATCH(D339,Destination!$A$2:$A$501,0)),"")</f>
        <v>Pattadakal</v>
      </c>
      <c r="F339" s="9" t="s">
        <v>1364</v>
      </c>
      <c r="G339" s="12" t="n">
        <f aca="false">INDEX(Destination!$F$2:$F$501,MATCH(B339,Destination!$A$2:$A$501,0))</f>
        <v>16.02</v>
      </c>
      <c r="H339" s="12" t="n">
        <f aca="false">INDEX(Destination!$G$2:$G$501,MATCH(B339,Destination!$A$2:$A$501,0))</f>
        <v>75.88</v>
      </c>
      <c r="I339" s="12" t="n">
        <f aca="false">INDEX(Destination!$F$2:$F$501,MATCH(D339,Destination!$A$2:$A$501,0))</f>
        <v>15.95</v>
      </c>
      <c r="J339" s="12" t="n">
        <f aca="false">INDEX(Destination!$G$2:$G$501,MATCH(D339,Destination!$A$2:$A$501,0))</f>
        <v>75.82</v>
      </c>
      <c r="K339" s="17" t="n">
        <f aca="false">Assumptions!$B$2*2*ASIN(SQRT(SIN(RADIANS(I339-G339)/2)^2+COS(RADIANS(G339))*COS(RADIANS(I339))*SIN(RADIANS(J339-H339)/2)^2))</f>
        <v>10.0856834288771</v>
      </c>
      <c r="L339" s="18" t="n">
        <f aca="false">K339*Assumptions!$B$3</f>
        <v>13.1113884575403</v>
      </c>
      <c r="M339" s="19" t="n">
        <f aca="false">L339/Assumptions!$B$4</f>
        <v>0.29136418794534</v>
      </c>
      <c r="N339" s="9" t="s">
        <v>1365</v>
      </c>
    </row>
    <row r="340" customFormat="false" ht="15" hidden="false" customHeight="false" outlineLevel="0" collapsed="false">
      <c r="A340" s="9" t="s">
        <v>1703</v>
      </c>
      <c r="B340" s="9" t="s">
        <v>385</v>
      </c>
      <c r="C340" s="9" t="str">
        <f aca="false">IFERROR(INDEX(Destination!$B$2:$B$501,MATCH(B340,Destination!$A$2:$A$501,0)),"")</f>
        <v>Aihole</v>
      </c>
      <c r="D340" s="9" t="s">
        <v>413</v>
      </c>
      <c r="E340" s="9" t="str">
        <f aca="false">IFERROR(INDEX(Destination!$B$2:$B$501,MATCH(D340,Destination!$A$2:$A$501,0)),"")</f>
        <v>Vijayapura</v>
      </c>
      <c r="F340" s="9" t="s">
        <v>1364</v>
      </c>
      <c r="G340" s="12" t="n">
        <f aca="false">INDEX(Destination!$F$2:$F$501,MATCH(B340,Destination!$A$2:$A$501,0))</f>
        <v>16.02</v>
      </c>
      <c r="H340" s="12" t="n">
        <f aca="false">INDEX(Destination!$G$2:$G$501,MATCH(B340,Destination!$A$2:$A$501,0))</f>
        <v>75.88</v>
      </c>
      <c r="I340" s="12" t="n">
        <f aca="false">INDEX(Destination!$F$2:$F$501,MATCH(D340,Destination!$A$2:$A$501,0))</f>
        <v>16.83</v>
      </c>
      <c r="J340" s="12" t="n">
        <f aca="false">INDEX(Destination!$G$2:$G$501,MATCH(D340,Destination!$A$2:$A$501,0))</f>
        <v>75.71</v>
      </c>
      <c r="K340" s="17" t="n">
        <f aca="false">Assumptions!$B$2*2*ASIN(SQRT(SIN(RADIANS(I340-G340)/2)^2+COS(RADIANS(G340))*COS(RADIANS(I340))*SIN(RADIANS(J340-H340)/2)^2))</f>
        <v>91.8747899380754</v>
      </c>
      <c r="L340" s="18" t="n">
        <f aca="false">K340*Assumptions!$B$3</f>
        <v>119.437226919498</v>
      </c>
      <c r="M340" s="19" t="n">
        <f aca="false">L340/Assumptions!$B$4</f>
        <v>2.65416059821107</v>
      </c>
      <c r="N340" s="9" t="s">
        <v>1365</v>
      </c>
    </row>
    <row r="341" customFormat="false" ht="15" hidden="false" customHeight="false" outlineLevel="0" collapsed="false">
      <c r="A341" s="9" t="s">
        <v>1704</v>
      </c>
      <c r="B341" s="9" t="s">
        <v>385</v>
      </c>
      <c r="C341" s="9" t="str">
        <f aca="false">IFERROR(INDEX(Destination!$B$2:$B$501,MATCH(B341,Destination!$A$2:$A$501,0)),"")</f>
        <v>Aihole</v>
      </c>
      <c r="D341" s="9" t="s">
        <v>417</v>
      </c>
      <c r="E341" s="9" t="str">
        <f aca="false">IFERROR(INDEX(Destination!$B$2:$B$501,MATCH(D341,Destination!$A$2:$A$501,0)),"")</f>
        <v>Anegundi</v>
      </c>
      <c r="F341" s="9" t="s">
        <v>1364</v>
      </c>
      <c r="G341" s="12" t="n">
        <f aca="false">INDEX(Destination!$F$2:$F$501,MATCH(B341,Destination!$A$2:$A$501,0))</f>
        <v>16.02</v>
      </c>
      <c r="H341" s="12" t="n">
        <f aca="false">INDEX(Destination!$G$2:$G$501,MATCH(B341,Destination!$A$2:$A$501,0))</f>
        <v>75.88</v>
      </c>
      <c r="I341" s="12" t="n">
        <f aca="false">INDEX(Destination!$F$2:$F$501,MATCH(D341,Destination!$A$2:$A$501,0))</f>
        <v>15.35</v>
      </c>
      <c r="J341" s="12" t="n">
        <f aca="false">INDEX(Destination!$G$2:$G$501,MATCH(D341,Destination!$A$2:$A$501,0))</f>
        <v>76.49</v>
      </c>
      <c r="K341" s="17" t="n">
        <f aca="false">Assumptions!$B$2*2*ASIN(SQRT(SIN(RADIANS(I341-G341)/2)^2+COS(RADIANS(G341))*COS(RADIANS(I341))*SIN(RADIANS(J341-H341)/2)^2))</f>
        <v>99.0695478416498</v>
      </c>
      <c r="L341" s="18" t="n">
        <f aca="false">K341*Assumptions!$B$3</f>
        <v>128.790412194145</v>
      </c>
      <c r="M341" s="19" t="n">
        <f aca="false">L341/Assumptions!$B$4</f>
        <v>2.86200915986988</v>
      </c>
      <c r="N341" s="9" t="s">
        <v>1365</v>
      </c>
    </row>
    <row r="342" customFormat="false" ht="15" hidden="false" customHeight="false" outlineLevel="0" collapsed="false">
      <c r="A342" s="9" t="s">
        <v>1705</v>
      </c>
      <c r="B342" s="9" t="s">
        <v>387</v>
      </c>
      <c r="C342" s="9" t="str">
        <f aca="false">IFERROR(INDEX(Destination!$B$2:$B$501,MATCH(B342,Destination!$A$2:$A$501,0)),"")</f>
        <v>Pattadakal</v>
      </c>
      <c r="D342" s="9" t="s">
        <v>413</v>
      </c>
      <c r="E342" s="9" t="str">
        <f aca="false">IFERROR(INDEX(Destination!$B$2:$B$501,MATCH(D342,Destination!$A$2:$A$501,0)),"")</f>
        <v>Vijayapura</v>
      </c>
      <c r="F342" s="9" t="s">
        <v>1364</v>
      </c>
      <c r="G342" s="12" t="n">
        <f aca="false">INDEX(Destination!$F$2:$F$501,MATCH(B342,Destination!$A$2:$A$501,0))</f>
        <v>15.95</v>
      </c>
      <c r="H342" s="12" t="n">
        <f aca="false">INDEX(Destination!$G$2:$G$501,MATCH(B342,Destination!$A$2:$A$501,0))</f>
        <v>75.82</v>
      </c>
      <c r="I342" s="12" t="n">
        <f aca="false">INDEX(Destination!$F$2:$F$501,MATCH(D342,Destination!$A$2:$A$501,0))</f>
        <v>16.83</v>
      </c>
      <c r="J342" s="12" t="n">
        <f aca="false">INDEX(Destination!$G$2:$G$501,MATCH(D342,Destination!$A$2:$A$501,0))</f>
        <v>75.71</v>
      </c>
      <c r="K342" s="17" t="n">
        <f aca="false">Assumptions!$B$2*2*ASIN(SQRT(SIN(RADIANS(I342-G342)/2)^2+COS(RADIANS(G342))*COS(RADIANS(I342))*SIN(RADIANS(J342-H342)/2)^2))</f>
        <v>98.5526033136298</v>
      </c>
      <c r="L342" s="18" t="n">
        <f aca="false">K342*Assumptions!$B$3</f>
        <v>128.118384307719</v>
      </c>
      <c r="M342" s="19" t="n">
        <f aca="false">L342/Assumptions!$B$4</f>
        <v>2.84707520683819</v>
      </c>
      <c r="N342" s="9" t="s">
        <v>1365</v>
      </c>
    </row>
    <row r="343" customFormat="false" ht="15" hidden="false" customHeight="false" outlineLevel="0" collapsed="false">
      <c r="A343" s="9" t="s">
        <v>1706</v>
      </c>
      <c r="B343" s="9" t="s">
        <v>387</v>
      </c>
      <c r="C343" s="9" t="str">
        <f aca="false">IFERROR(INDEX(Destination!$B$2:$B$501,MATCH(B343,Destination!$A$2:$A$501,0)),"")</f>
        <v>Pattadakal</v>
      </c>
      <c r="D343" s="9" t="s">
        <v>417</v>
      </c>
      <c r="E343" s="9" t="str">
        <f aca="false">IFERROR(INDEX(Destination!$B$2:$B$501,MATCH(D343,Destination!$A$2:$A$501,0)),"")</f>
        <v>Anegundi</v>
      </c>
      <c r="F343" s="9" t="s">
        <v>1364</v>
      </c>
      <c r="G343" s="12" t="n">
        <f aca="false">INDEX(Destination!$F$2:$F$501,MATCH(B343,Destination!$A$2:$A$501,0))</f>
        <v>15.95</v>
      </c>
      <c r="H343" s="12" t="n">
        <f aca="false">INDEX(Destination!$G$2:$G$501,MATCH(B343,Destination!$A$2:$A$501,0))</f>
        <v>75.82</v>
      </c>
      <c r="I343" s="12" t="n">
        <f aca="false">INDEX(Destination!$F$2:$F$501,MATCH(D343,Destination!$A$2:$A$501,0))</f>
        <v>15.35</v>
      </c>
      <c r="J343" s="12" t="n">
        <f aca="false">INDEX(Destination!$G$2:$G$501,MATCH(D343,Destination!$A$2:$A$501,0))</f>
        <v>76.49</v>
      </c>
      <c r="K343" s="17" t="n">
        <f aca="false">Assumptions!$B$2*2*ASIN(SQRT(SIN(RADIANS(I343-G343)/2)^2+COS(RADIANS(G343))*COS(RADIANS(I343))*SIN(RADIANS(J343-H343)/2)^2))</f>
        <v>97.9669736053253</v>
      </c>
      <c r="L343" s="18" t="n">
        <f aca="false">K343*Assumptions!$B$3</f>
        <v>127.357065686923</v>
      </c>
      <c r="M343" s="19" t="n">
        <f aca="false">L343/Assumptions!$B$4</f>
        <v>2.83015701526495</v>
      </c>
      <c r="N343" s="9" t="s">
        <v>1365</v>
      </c>
    </row>
    <row r="344" customFormat="false" ht="15" hidden="false" customHeight="false" outlineLevel="0" collapsed="false">
      <c r="A344" s="9" t="s">
        <v>1707</v>
      </c>
      <c r="B344" s="9" t="s">
        <v>389</v>
      </c>
      <c r="C344" s="9" t="str">
        <f aca="false">IFERROR(INDEX(Destination!$B$2:$B$501,MATCH(B344,Destination!$A$2:$A$501,0)),"")</f>
        <v>Belur</v>
      </c>
      <c r="D344" s="9" t="s">
        <v>391</v>
      </c>
      <c r="E344" s="9" t="str">
        <f aca="false">IFERROR(INDEX(Destination!$B$2:$B$501,MATCH(D344,Destination!$A$2:$A$501,0)),"")</f>
        <v>Halebidu</v>
      </c>
      <c r="F344" s="9" t="s">
        <v>1364</v>
      </c>
      <c r="G344" s="12" t="n">
        <f aca="false">INDEX(Destination!$F$2:$F$501,MATCH(B344,Destination!$A$2:$A$501,0))</f>
        <v>13.16</v>
      </c>
      <c r="H344" s="12" t="n">
        <f aca="false">INDEX(Destination!$G$2:$G$501,MATCH(B344,Destination!$A$2:$A$501,0))</f>
        <v>75.86</v>
      </c>
      <c r="I344" s="12" t="n">
        <f aca="false">INDEX(Destination!$F$2:$F$501,MATCH(D344,Destination!$A$2:$A$501,0))</f>
        <v>13.21</v>
      </c>
      <c r="J344" s="12" t="n">
        <f aca="false">INDEX(Destination!$G$2:$G$501,MATCH(D344,Destination!$A$2:$A$501,0))</f>
        <v>76</v>
      </c>
      <c r="K344" s="17" t="n">
        <f aca="false">Assumptions!$B$2*2*ASIN(SQRT(SIN(RADIANS(I344-G344)/2)^2+COS(RADIANS(G344))*COS(RADIANS(I344))*SIN(RADIANS(J344-H344)/2)^2))</f>
        <v>16.1444364453112</v>
      </c>
      <c r="L344" s="18" t="n">
        <f aca="false">K344*Assumptions!$B$3</f>
        <v>20.9877673789046</v>
      </c>
      <c r="M344" s="19" t="n">
        <f aca="false">L344/Assumptions!$B$4</f>
        <v>0.466394830642325</v>
      </c>
      <c r="N344" s="9" t="s">
        <v>1365</v>
      </c>
    </row>
    <row r="345" customFormat="false" ht="15" hidden="false" customHeight="false" outlineLevel="0" collapsed="false">
      <c r="A345" s="9" t="s">
        <v>1708</v>
      </c>
      <c r="B345" s="9" t="s">
        <v>389</v>
      </c>
      <c r="C345" s="9" t="str">
        <f aca="false">IFERROR(INDEX(Destination!$B$2:$B$501,MATCH(B345,Destination!$A$2:$A$501,0)),"")</f>
        <v>Belur</v>
      </c>
      <c r="D345" s="9" t="s">
        <v>403</v>
      </c>
      <c r="E345" s="9" t="str">
        <f aca="false">IFERROR(INDEX(Destination!$B$2:$B$501,MATCH(D345,Destination!$A$2:$A$501,0)),"")</f>
        <v>Sakleshpur</v>
      </c>
      <c r="F345" s="9" t="s">
        <v>1364</v>
      </c>
      <c r="G345" s="12" t="n">
        <f aca="false">INDEX(Destination!$F$2:$F$501,MATCH(B345,Destination!$A$2:$A$501,0))</f>
        <v>13.16</v>
      </c>
      <c r="H345" s="12" t="n">
        <f aca="false">INDEX(Destination!$G$2:$G$501,MATCH(B345,Destination!$A$2:$A$501,0))</f>
        <v>75.86</v>
      </c>
      <c r="I345" s="12" t="n">
        <f aca="false">INDEX(Destination!$F$2:$F$501,MATCH(D345,Destination!$A$2:$A$501,0))</f>
        <v>12.94</v>
      </c>
      <c r="J345" s="12" t="n">
        <f aca="false">INDEX(Destination!$G$2:$G$501,MATCH(D345,Destination!$A$2:$A$501,0))</f>
        <v>75.79</v>
      </c>
      <c r="K345" s="17" t="n">
        <f aca="false">Assumptions!$B$2*2*ASIN(SQRT(SIN(RADIANS(I345-G345)/2)^2+COS(RADIANS(G345))*COS(RADIANS(I345))*SIN(RADIANS(J345-H345)/2)^2))</f>
        <v>25.6111055144968</v>
      </c>
      <c r="L345" s="18" t="n">
        <f aca="false">K345*Assumptions!$B$3</f>
        <v>33.2944371688459</v>
      </c>
      <c r="M345" s="19" t="n">
        <f aca="false">L345/Assumptions!$B$4</f>
        <v>0.739876381529908</v>
      </c>
      <c r="N345" s="9" t="s">
        <v>1365</v>
      </c>
    </row>
    <row r="346" customFormat="false" ht="15" hidden="false" customHeight="false" outlineLevel="0" collapsed="false">
      <c r="A346" s="9" t="s">
        <v>1709</v>
      </c>
      <c r="B346" s="9" t="s">
        <v>391</v>
      </c>
      <c r="C346" s="9" t="str">
        <f aca="false">IFERROR(INDEX(Destination!$B$2:$B$501,MATCH(B346,Destination!$A$2:$A$501,0)),"")</f>
        <v>Halebidu</v>
      </c>
      <c r="D346" s="9" t="s">
        <v>403</v>
      </c>
      <c r="E346" s="9" t="str">
        <f aca="false">IFERROR(INDEX(Destination!$B$2:$B$501,MATCH(D346,Destination!$A$2:$A$501,0)),"")</f>
        <v>Sakleshpur</v>
      </c>
      <c r="F346" s="9" t="s">
        <v>1364</v>
      </c>
      <c r="G346" s="12" t="n">
        <f aca="false">INDEX(Destination!$F$2:$F$501,MATCH(B346,Destination!$A$2:$A$501,0))</f>
        <v>13.21</v>
      </c>
      <c r="H346" s="12" t="n">
        <f aca="false">INDEX(Destination!$G$2:$G$501,MATCH(B346,Destination!$A$2:$A$501,0))</f>
        <v>76</v>
      </c>
      <c r="I346" s="12" t="n">
        <f aca="false">INDEX(Destination!$F$2:$F$501,MATCH(D346,Destination!$A$2:$A$501,0))</f>
        <v>12.94</v>
      </c>
      <c r="J346" s="12" t="n">
        <f aca="false">INDEX(Destination!$G$2:$G$501,MATCH(D346,Destination!$A$2:$A$501,0))</f>
        <v>75.79</v>
      </c>
      <c r="K346" s="17" t="n">
        <f aca="false">Assumptions!$B$2*2*ASIN(SQRT(SIN(RADIANS(I346-G346)/2)^2+COS(RADIANS(G346))*COS(RADIANS(I346))*SIN(RADIANS(J346-H346)/2)^2))</f>
        <v>37.6658666506819</v>
      </c>
      <c r="L346" s="18" t="n">
        <f aca="false">K346*Assumptions!$B$3</f>
        <v>48.9656266458864</v>
      </c>
      <c r="M346" s="19" t="n">
        <f aca="false">L346/Assumptions!$B$4</f>
        <v>1.08812503657525</v>
      </c>
      <c r="N346" s="9" t="s">
        <v>1365</v>
      </c>
    </row>
    <row r="347" customFormat="false" ht="15" hidden="false" customHeight="false" outlineLevel="0" collapsed="false">
      <c r="A347" s="9" t="s">
        <v>1710</v>
      </c>
      <c r="B347" s="9" t="s">
        <v>391</v>
      </c>
      <c r="C347" s="9" t="str">
        <f aca="false">IFERROR(INDEX(Destination!$B$2:$B$501,MATCH(B347,Destination!$A$2:$A$501,0)),"")</f>
        <v>Halebidu</v>
      </c>
      <c r="D347" s="9" t="s">
        <v>411</v>
      </c>
      <c r="E347" s="9" t="str">
        <f aca="false">IFERROR(INDEX(Destination!$B$2:$B$501,MATCH(D347,Destination!$A$2:$A$501,0)),"")</f>
        <v>Chitradurga</v>
      </c>
      <c r="F347" s="9" t="s">
        <v>1364</v>
      </c>
      <c r="G347" s="12" t="n">
        <f aca="false">INDEX(Destination!$F$2:$F$501,MATCH(B347,Destination!$A$2:$A$501,0))</f>
        <v>13.21</v>
      </c>
      <c r="H347" s="12" t="n">
        <f aca="false">INDEX(Destination!$G$2:$G$501,MATCH(B347,Destination!$A$2:$A$501,0))</f>
        <v>76</v>
      </c>
      <c r="I347" s="12" t="n">
        <f aca="false">INDEX(Destination!$F$2:$F$501,MATCH(D347,Destination!$A$2:$A$501,0))</f>
        <v>14.23</v>
      </c>
      <c r="J347" s="12" t="n">
        <f aca="false">INDEX(Destination!$G$2:$G$501,MATCH(D347,Destination!$A$2:$A$501,0))</f>
        <v>76.4</v>
      </c>
      <c r="K347" s="17" t="n">
        <f aca="false">Assumptions!$B$2*2*ASIN(SQRT(SIN(RADIANS(I347-G347)/2)^2+COS(RADIANS(G347))*COS(RADIANS(I347))*SIN(RADIANS(J347-H347)/2)^2))</f>
        <v>121.370409802422</v>
      </c>
      <c r="L347" s="18" t="n">
        <f aca="false">K347*Assumptions!$B$3</f>
        <v>157.781532743149</v>
      </c>
      <c r="M347" s="19" t="n">
        <f aca="false">L347/Assumptions!$B$4</f>
        <v>3.50625628318109</v>
      </c>
      <c r="N347" s="9" t="s">
        <v>1365</v>
      </c>
    </row>
    <row r="348" customFormat="false" ht="15" hidden="false" customHeight="false" outlineLevel="0" collapsed="false">
      <c r="A348" s="9" t="s">
        <v>1711</v>
      </c>
      <c r="B348" s="9" t="s">
        <v>393</v>
      </c>
      <c r="C348" s="9" t="str">
        <f aca="false">IFERROR(INDEX(Destination!$B$2:$B$501,MATCH(B348,Destination!$A$2:$A$501,0)),"")</f>
        <v>Shivamogga</v>
      </c>
      <c r="D348" s="9" t="s">
        <v>407</v>
      </c>
      <c r="E348" s="9" t="str">
        <f aca="false">IFERROR(INDEX(Destination!$B$2:$B$501,MATCH(D348,Destination!$A$2:$A$501,0)),"")</f>
        <v>Sringeri</v>
      </c>
      <c r="F348" s="9" t="s">
        <v>1364</v>
      </c>
      <c r="G348" s="12" t="n">
        <f aca="false">INDEX(Destination!$F$2:$F$501,MATCH(B348,Destination!$A$2:$A$501,0))</f>
        <v>13.93</v>
      </c>
      <c r="H348" s="12" t="n">
        <f aca="false">INDEX(Destination!$G$2:$G$501,MATCH(B348,Destination!$A$2:$A$501,0))</f>
        <v>75.57</v>
      </c>
      <c r="I348" s="12" t="n">
        <f aca="false">INDEX(Destination!$F$2:$F$501,MATCH(D348,Destination!$A$2:$A$501,0))</f>
        <v>13.42</v>
      </c>
      <c r="J348" s="12" t="n">
        <f aca="false">INDEX(Destination!$G$2:$G$501,MATCH(D348,Destination!$A$2:$A$501,0))</f>
        <v>75.25</v>
      </c>
      <c r="K348" s="17" t="n">
        <f aca="false">Assumptions!$B$2*2*ASIN(SQRT(SIN(RADIANS(I348-G348)/2)^2+COS(RADIANS(G348))*COS(RADIANS(I348))*SIN(RADIANS(J348-H348)/2)^2))</f>
        <v>66.4175335861343</v>
      </c>
      <c r="L348" s="18" t="n">
        <f aca="false">K348*Assumptions!$B$3</f>
        <v>86.3427936619745</v>
      </c>
      <c r="M348" s="19" t="n">
        <f aca="false">L348/Assumptions!$B$4</f>
        <v>1.91872874804388</v>
      </c>
      <c r="N348" s="9" t="s">
        <v>1365</v>
      </c>
    </row>
    <row r="349" customFormat="false" ht="15" hidden="false" customHeight="false" outlineLevel="0" collapsed="false">
      <c r="A349" s="9" t="s">
        <v>1712</v>
      </c>
      <c r="B349" s="9" t="s">
        <v>393</v>
      </c>
      <c r="C349" s="9" t="str">
        <f aca="false">IFERROR(INDEX(Destination!$B$2:$B$501,MATCH(B349,Destination!$A$2:$A$501,0)),"")</f>
        <v>Shivamogga</v>
      </c>
      <c r="D349" s="9" t="s">
        <v>411</v>
      </c>
      <c r="E349" s="9" t="str">
        <f aca="false">IFERROR(INDEX(Destination!$B$2:$B$501,MATCH(D349,Destination!$A$2:$A$501,0)),"")</f>
        <v>Chitradurga</v>
      </c>
      <c r="F349" s="9" t="s">
        <v>1364</v>
      </c>
      <c r="G349" s="12" t="n">
        <f aca="false">INDEX(Destination!$F$2:$F$501,MATCH(B349,Destination!$A$2:$A$501,0))</f>
        <v>13.93</v>
      </c>
      <c r="H349" s="12" t="n">
        <f aca="false">INDEX(Destination!$G$2:$G$501,MATCH(B349,Destination!$A$2:$A$501,0))</f>
        <v>75.57</v>
      </c>
      <c r="I349" s="12" t="n">
        <f aca="false">INDEX(Destination!$F$2:$F$501,MATCH(D349,Destination!$A$2:$A$501,0))</f>
        <v>14.23</v>
      </c>
      <c r="J349" s="12" t="n">
        <f aca="false">INDEX(Destination!$G$2:$G$501,MATCH(D349,Destination!$A$2:$A$501,0))</f>
        <v>76.4</v>
      </c>
      <c r="K349" s="17" t="n">
        <f aca="false">Assumptions!$B$2*2*ASIN(SQRT(SIN(RADIANS(I349-G349)/2)^2+COS(RADIANS(G349))*COS(RADIANS(I349))*SIN(RADIANS(J349-H349)/2)^2))</f>
        <v>95.5323046562424</v>
      </c>
      <c r="L349" s="18" t="n">
        <f aca="false">K349*Assumptions!$B$3</f>
        <v>124.191996053115</v>
      </c>
      <c r="M349" s="19" t="n">
        <f aca="false">L349/Assumptions!$B$4</f>
        <v>2.75982213451367</v>
      </c>
      <c r="N349" s="9" t="s">
        <v>1365</v>
      </c>
    </row>
    <row r="350" customFormat="false" ht="15" hidden="false" customHeight="false" outlineLevel="0" collapsed="false">
      <c r="A350" s="9" t="s">
        <v>1713</v>
      </c>
      <c r="B350" s="9" t="s">
        <v>393</v>
      </c>
      <c r="C350" s="9" t="str">
        <f aca="false">IFERROR(INDEX(Destination!$B$2:$B$501,MATCH(B350,Destination!$A$2:$A$501,0)),"")</f>
        <v>Shivamogga</v>
      </c>
      <c r="D350" s="9" t="s">
        <v>421</v>
      </c>
      <c r="E350" s="9" t="str">
        <f aca="false">IFERROR(INDEX(Destination!$B$2:$B$501,MATCH(D350,Destination!$A$2:$A$501,0)),"")</f>
        <v>Agumbe</v>
      </c>
      <c r="F350" s="9" t="s">
        <v>1364</v>
      </c>
      <c r="G350" s="12" t="n">
        <f aca="false">INDEX(Destination!$F$2:$F$501,MATCH(B350,Destination!$A$2:$A$501,0))</f>
        <v>13.93</v>
      </c>
      <c r="H350" s="12" t="n">
        <f aca="false">INDEX(Destination!$G$2:$G$501,MATCH(B350,Destination!$A$2:$A$501,0))</f>
        <v>75.57</v>
      </c>
      <c r="I350" s="12" t="n">
        <f aca="false">INDEX(Destination!$F$2:$F$501,MATCH(D350,Destination!$A$2:$A$501,0))</f>
        <v>13.5</v>
      </c>
      <c r="J350" s="12" t="n">
        <f aca="false">INDEX(Destination!$G$2:$G$501,MATCH(D350,Destination!$A$2:$A$501,0))</f>
        <v>75.09</v>
      </c>
      <c r="K350" s="17" t="n">
        <f aca="false">Assumptions!$B$2*2*ASIN(SQRT(SIN(RADIANS(I350-G350)/2)^2+COS(RADIANS(G350))*COS(RADIANS(I350))*SIN(RADIANS(J350-H350)/2)^2))</f>
        <v>70.531888187232</v>
      </c>
      <c r="L350" s="18" t="n">
        <f aca="false">K350*Assumptions!$B$3</f>
        <v>91.6914546434016</v>
      </c>
      <c r="M350" s="19" t="n">
        <f aca="false">L350/Assumptions!$B$4</f>
        <v>2.03758788096448</v>
      </c>
      <c r="N350" s="9" t="s">
        <v>1365</v>
      </c>
    </row>
    <row r="351" customFormat="false" ht="15" hidden="false" customHeight="false" outlineLevel="0" collapsed="false">
      <c r="A351" s="9" t="s">
        <v>1714</v>
      </c>
      <c r="B351" s="9" t="s">
        <v>395</v>
      </c>
      <c r="C351" s="9" t="str">
        <f aca="false">IFERROR(INDEX(Destination!$B$2:$B$501,MATCH(B351,Destination!$A$2:$A$501,0)),"")</f>
        <v>Jog Falls</v>
      </c>
      <c r="D351" s="9" t="s">
        <v>405</v>
      </c>
      <c r="E351" s="9" t="str">
        <f aca="false">IFERROR(INDEX(Destination!$B$2:$B$501,MATCH(D351,Destination!$A$2:$A$501,0)),"")</f>
        <v>Murudeshwar</v>
      </c>
      <c r="F351" s="9" t="s">
        <v>1364</v>
      </c>
      <c r="G351" s="12" t="n">
        <f aca="false">INDEX(Destination!$F$2:$F$501,MATCH(B351,Destination!$A$2:$A$501,0))</f>
        <v>14.23</v>
      </c>
      <c r="H351" s="12" t="n">
        <f aca="false">INDEX(Destination!$G$2:$G$501,MATCH(B351,Destination!$A$2:$A$501,0))</f>
        <v>74.81</v>
      </c>
      <c r="I351" s="12" t="n">
        <f aca="false">INDEX(Destination!$F$2:$F$501,MATCH(D351,Destination!$A$2:$A$501,0))</f>
        <v>14.09</v>
      </c>
      <c r="J351" s="12" t="n">
        <f aca="false">INDEX(Destination!$G$2:$G$501,MATCH(D351,Destination!$A$2:$A$501,0))</f>
        <v>74.49</v>
      </c>
      <c r="K351" s="17" t="n">
        <f aca="false">Assumptions!$B$2*2*ASIN(SQRT(SIN(RADIANS(I351-G351)/2)^2+COS(RADIANS(G351))*COS(RADIANS(I351))*SIN(RADIANS(J351-H351)/2)^2))</f>
        <v>37.850709379136</v>
      </c>
      <c r="L351" s="18" t="n">
        <f aca="false">K351*Assumptions!$B$3</f>
        <v>49.2059221928768</v>
      </c>
      <c r="M351" s="19" t="n">
        <f aca="false">L351/Assumptions!$B$4</f>
        <v>1.09346493761949</v>
      </c>
      <c r="N351" s="9" t="s">
        <v>1365</v>
      </c>
    </row>
    <row r="352" customFormat="false" ht="15" hidden="false" customHeight="false" outlineLevel="0" collapsed="false">
      <c r="A352" s="9" t="s">
        <v>1715</v>
      </c>
      <c r="B352" s="9" t="s">
        <v>395</v>
      </c>
      <c r="C352" s="9" t="str">
        <f aca="false">IFERROR(INDEX(Destination!$B$2:$B$501,MATCH(B352,Destination!$A$2:$A$501,0)),"")</f>
        <v>Jog Falls</v>
      </c>
      <c r="D352" s="9" t="s">
        <v>423</v>
      </c>
      <c r="E352" s="9" t="str">
        <f aca="false">IFERROR(INDEX(Destination!$B$2:$B$501,MATCH(D352,Destination!$A$2:$A$501,0)),"")</f>
        <v>Yana</v>
      </c>
      <c r="F352" s="9" t="s">
        <v>1364</v>
      </c>
      <c r="G352" s="12" t="n">
        <f aca="false">INDEX(Destination!$F$2:$F$501,MATCH(B352,Destination!$A$2:$A$501,0))</f>
        <v>14.23</v>
      </c>
      <c r="H352" s="12" t="n">
        <f aca="false">INDEX(Destination!$G$2:$G$501,MATCH(B352,Destination!$A$2:$A$501,0))</f>
        <v>74.81</v>
      </c>
      <c r="I352" s="12" t="n">
        <f aca="false">INDEX(Destination!$F$2:$F$501,MATCH(D352,Destination!$A$2:$A$501,0))</f>
        <v>14.57</v>
      </c>
      <c r="J352" s="12" t="n">
        <f aca="false">INDEX(Destination!$G$2:$G$501,MATCH(D352,Destination!$A$2:$A$501,0))</f>
        <v>74.55</v>
      </c>
      <c r="K352" s="17" t="n">
        <f aca="false">Assumptions!$B$2*2*ASIN(SQRT(SIN(RADIANS(I352-G352)/2)^2+COS(RADIANS(G352))*COS(RADIANS(I352))*SIN(RADIANS(J352-H352)/2)^2))</f>
        <v>47.0472733404767</v>
      </c>
      <c r="L352" s="18" t="n">
        <f aca="false">K352*Assumptions!$B$3</f>
        <v>61.1614553426197</v>
      </c>
      <c r="M352" s="19" t="n">
        <f aca="false">L352/Assumptions!$B$4</f>
        <v>1.35914345205822</v>
      </c>
      <c r="N352" s="9" t="s">
        <v>1365</v>
      </c>
    </row>
    <row r="353" customFormat="false" ht="15" hidden="false" customHeight="false" outlineLevel="0" collapsed="false">
      <c r="A353" s="9" t="s">
        <v>1716</v>
      </c>
      <c r="B353" s="9" t="s">
        <v>397</v>
      </c>
      <c r="C353" s="9" t="str">
        <f aca="false">IFERROR(INDEX(Destination!$B$2:$B$501,MATCH(B353,Destination!$A$2:$A$501,0)),"")</f>
        <v>Kabini</v>
      </c>
      <c r="D353" s="9" t="s">
        <v>425</v>
      </c>
      <c r="E353" s="9" t="str">
        <f aca="false">IFERROR(INDEX(Destination!$B$2:$B$501,MATCH(D353,Destination!$A$2:$A$501,0)),"")</f>
        <v>Nagarhole</v>
      </c>
      <c r="F353" s="9" t="s">
        <v>1364</v>
      </c>
      <c r="G353" s="12" t="n">
        <f aca="false">INDEX(Destination!$F$2:$F$501,MATCH(B353,Destination!$A$2:$A$501,0))</f>
        <v>11.99</v>
      </c>
      <c r="H353" s="12" t="n">
        <f aca="false">INDEX(Destination!$G$2:$G$501,MATCH(B353,Destination!$A$2:$A$501,0))</f>
        <v>76.35</v>
      </c>
      <c r="I353" s="12" t="n">
        <f aca="false">INDEX(Destination!$F$2:$F$501,MATCH(D353,Destination!$A$2:$A$501,0))</f>
        <v>12.05</v>
      </c>
      <c r="J353" s="12" t="n">
        <f aca="false">INDEX(Destination!$G$2:$G$501,MATCH(D353,Destination!$A$2:$A$501,0))</f>
        <v>76.1</v>
      </c>
      <c r="K353" s="17" t="n">
        <f aca="false">Assumptions!$B$2*2*ASIN(SQRT(SIN(RADIANS(I353-G353)/2)^2+COS(RADIANS(G353))*COS(RADIANS(I353))*SIN(RADIANS(J353-H353)/2)^2))</f>
        <v>27.9958275174204</v>
      </c>
      <c r="L353" s="18" t="n">
        <f aca="false">K353*Assumptions!$B$3</f>
        <v>36.3945757726465</v>
      </c>
      <c r="M353" s="19" t="n">
        <f aca="false">L353/Assumptions!$B$4</f>
        <v>0.808768350503255</v>
      </c>
      <c r="N353" s="9" t="s">
        <v>1365</v>
      </c>
    </row>
    <row r="354" customFormat="false" ht="15" hidden="false" customHeight="false" outlineLevel="0" collapsed="false">
      <c r="A354" s="9" t="s">
        <v>1717</v>
      </c>
      <c r="B354" s="9" t="s">
        <v>397</v>
      </c>
      <c r="C354" s="9" t="str">
        <f aca="false">IFERROR(INDEX(Destination!$B$2:$B$501,MATCH(B354,Destination!$A$2:$A$501,0)),"")</f>
        <v>Kabini</v>
      </c>
      <c r="D354" s="9" t="s">
        <v>502</v>
      </c>
      <c r="E354" s="9" t="str">
        <f aca="false">IFERROR(INDEX(Destination!$B$2:$B$501,MATCH(D354,Destination!$A$2:$A$501,0)),"")</f>
        <v>Wayanad</v>
      </c>
      <c r="F354" s="9" t="s">
        <v>1364</v>
      </c>
      <c r="G354" s="12" t="n">
        <f aca="false">INDEX(Destination!$F$2:$F$501,MATCH(B354,Destination!$A$2:$A$501,0))</f>
        <v>11.99</v>
      </c>
      <c r="H354" s="12" t="n">
        <f aca="false">INDEX(Destination!$G$2:$G$501,MATCH(B354,Destination!$A$2:$A$501,0))</f>
        <v>76.35</v>
      </c>
      <c r="I354" s="12" t="n">
        <f aca="false">INDEX(Destination!$F$2:$F$501,MATCH(D354,Destination!$A$2:$A$501,0))</f>
        <v>11.69</v>
      </c>
      <c r="J354" s="12" t="n">
        <f aca="false">INDEX(Destination!$G$2:$G$501,MATCH(D354,Destination!$A$2:$A$501,0))</f>
        <v>76.08</v>
      </c>
      <c r="K354" s="17" t="n">
        <f aca="false">Assumptions!$B$2*2*ASIN(SQRT(SIN(RADIANS(I354-G354)/2)^2+COS(RADIANS(G354))*COS(RADIANS(I354))*SIN(RADIANS(J354-H354)/2)^2))</f>
        <v>44.454450554322</v>
      </c>
      <c r="L354" s="18" t="n">
        <f aca="false">K354*Assumptions!$B$3</f>
        <v>57.7907857206186</v>
      </c>
      <c r="M354" s="19" t="n">
        <f aca="false">L354/Assumptions!$B$4</f>
        <v>1.28423968268041</v>
      </c>
      <c r="N354" s="9" t="s">
        <v>1365</v>
      </c>
    </row>
    <row r="355" customFormat="false" ht="15" hidden="false" customHeight="false" outlineLevel="0" collapsed="false">
      <c r="A355" s="9" t="s">
        <v>1718</v>
      </c>
      <c r="B355" s="9" t="s">
        <v>399</v>
      </c>
      <c r="C355" s="9" t="str">
        <f aca="false">IFERROR(INDEX(Destination!$B$2:$B$501,MATCH(B355,Destination!$A$2:$A$501,0)),"")</f>
        <v>Bandipur</v>
      </c>
      <c r="D355" s="9" t="s">
        <v>441</v>
      </c>
      <c r="E355" s="9" t="str">
        <f aca="false">IFERROR(INDEX(Destination!$B$2:$B$501,MATCH(D355,Destination!$A$2:$A$501,0)),"")</f>
        <v>Ooty</v>
      </c>
      <c r="F355" s="9" t="s">
        <v>1364</v>
      </c>
      <c r="G355" s="12" t="n">
        <f aca="false">INDEX(Destination!$F$2:$F$501,MATCH(B355,Destination!$A$2:$A$501,0))</f>
        <v>11.67</v>
      </c>
      <c r="H355" s="12" t="n">
        <f aca="false">INDEX(Destination!$G$2:$G$501,MATCH(B355,Destination!$A$2:$A$501,0))</f>
        <v>76.63</v>
      </c>
      <c r="I355" s="12" t="n">
        <f aca="false">INDEX(Destination!$F$2:$F$501,MATCH(D355,Destination!$A$2:$A$501,0))</f>
        <v>11.41</v>
      </c>
      <c r="J355" s="12" t="n">
        <f aca="false">INDEX(Destination!$G$2:$G$501,MATCH(D355,Destination!$A$2:$A$501,0))</f>
        <v>76.7</v>
      </c>
      <c r="K355" s="17" t="n">
        <f aca="false">Assumptions!$B$2*2*ASIN(SQRT(SIN(RADIANS(I355-G355)/2)^2+COS(RADIANS(G355))*COS(RADIANS(I355))*SIN(RADIANS(J355-H355)/2)^2))</f>
        <v>29.8996291117792</v>
      </c>
      <c r="L355" s="18" t="n">
        <f aca="false">K355*Assumptions!$B$3</f>
        <v>38.8695178453129</v>
      </c>
      <c r="M355" s="19" t="n">
        <f aca="false">L355/Assumptions!$B$4</f>
        <v>0.863767063229177</v>
      </c>
      <c r="N355" s="9" t="s">
        <v>1365</v>
      </c>
    </row>
    <row r="356" customFormat="false" ht="15" hidden="false" customHeight="false" outlineLevel="0" collapsed="false">
      <c r="A356" s="9" t="s">
        <v>1719</v>
      </c>
      <c r="B356" s="9" t="s">
        <v>399</v>
      </c>
      <c r="C356" s="9" t="str">
        <f aca="false">IFERROR(INDEX(Destination!$B$2:$B$501,MATCH(B356,Destination!$A$2:$A$501,0)),"")</f>
        <v>Bandipur</v>
      </c>
      <c r="D356" s="9" t="s">
        <v>443</v>
      </c>
      <c r="E356" s="9" t="str">
        <f aca="false">IFERROR(INDEX(Destination!$B$2:$B$501,MATCH(D356,Destination!$A$2:$A$501,0)),"")</f>
        <v>Coonoor</v>
      </c>
      <c r="F356" s="9" t="s">
        <v>1364</v>
      </c>
      <c r="G356" s="12" t="n">
        <f aca="false">INDEX(Destination!$F$2:$F$501,MATCH(B356,Destination!$A$2:$A$501,0))</f>
        <v>11.67</v>
      </c>
      <c r="H356" s="12" t="n">
        <f aca="false">INDEX(Destination!$G$2:$G$501,MATCH(B356,Destination!$A$2:$A$501,0))</f>
        <v>76.63</v>
      </c>
      <c r="I356" s="12" t="n">
        <f aca="false">INDEX(Destination!$F$2:$F$501,MATCH(D356,Destination!$A$2:$A$501,0))</f>
        <v>11.35</v>
      </c>
      <c r="J356" s="12" t="n">
        <f aca="false">INDEX(Destination!$G$2:$G$501,MATCH(D356,Destination!$A$2:$A$501,0))</f>
        <v>76.8</v>
      </c>
      <c r="K356" s="17" t="n">
        <f aca="false">Assumptions!$B$2*2*ASIN(SQRT(SIN(RADIANS(I356-G356)/2)^2+COS(RADIANS(G356))*COS(RADIANS(I356))*SIN(RADIANS(J356-H356)/2)^2))</f>
        <v>40.1149073492521</v>
      </c>
      <c r="L356" s="18" t="n">
        <f aca="false">K356*Assumptions!$B$3</f>
        <v>52.1493795540277</v>
      </c>
      <c r="M356" s="19" t="n">
        <f aca="false">L356/Assumptions!$B$4</f>
        <v>1.15887510120061</v>
      </c>
      <c r="N356" s="9" t="s">
        <v>1365</v>
      </c>
    </row>
    <row r="357" customFormat="false" ht="15" hidden="false" customHeight="false" outlineLevel="0" collapsed="false">
      <c r="A357" s="9" t="s">
        <v>1720</v>
      </c>
      <c r="B357" s="9" t="s">
        <v>399</v>
      </c>
      <c r="C357" s="9" t="str">
        <f aca="false">IFERROR(INDEX(Destination!$B$2:$B$501,MATCH(B357,Destination!$A$2:$A$501,0)),"")</f>
        <v>Bandipur</v>
      </c>
      <c r="D357" s="9" t="s">
        <v>476</v>
      </c>
      <c r="E357" s="9" t="str">
        <f aca="false">IFERROR(INDEX(Destination!$B$2:$B$501,MATCH(D357,Destination!$A$2:$A$501,0)),"")</f>
        <v>Mudumalai</v>
      </c>
      <c r="F357" s="9" t="s">
        <v>1364</v>
      </c>
      <c r="G357" s="12" t="n">
        <f aca="false">INDEX(Destination!$F$2:$F$501,MATCH(B357,Destination!$A$2:$A$501,0))</f>
        <v>11.67</v>
      </c>
      <c r="H357" s="12" t="n">
        <f aca="false">INDEX(Destination!$G$2:$G$501,MATCH(B357,Destination!$A$2:$A$501,0))</f>
        <v>76.63</v>
      </c>
      <c r="I357" s="12" t="n">
        <f aca="false">INDEX(Destination!$F$2:$F$501,MATCH(D357,Destination!$A$2:$A$501,0))</f>
        <v>11.57</v>
      </c>
      <c r="J357" s="12" t="n">
        <f aca="false">INDEX(Destination!$G$2:$G$501,MATCH(D357,Destination!$A$2:$A$501,0))</f>
        <v>76.53</v>
      </c>
      <c r="K357" s="17" t="n">
        <f aca="false">Assumptions!$B$2*2*ASIN(SQRT(SIN(RADIANS(I357-G357)/2)^2+COS(RADIANS(G357))*COS(RADIANS(I357))*SIN(RADIANS(J357-H357)/2)^2))</f>
        <v>15.5650250079544</v>
      </c>
      <c r="L357" s="18" t="n">
        <f aca="false">K357*Assumptions!$B$3</f>
        <v>20.2345325103407</v>
      </c>
      <c r="M357" s="19" t="n">
        <f aca="false">L357/Assumptions!$B$4</f>
        <v>0.449656278007572</v>
      </c>
      <c r="N357" s="9" t="s">
        <v>1365</v>
      </c>
    </row>
    <row r="358" customFormat="false" ht="15" hidden="false" customHeight="false" outlineLevel="0" collapsed="false">
      <c r="A358" s="9" t="s">
        <v>1721</v>
      </c>
      <c r="B358" s="9" t="s">
        <v>403</v>
      </c>
      <c r="C358" s="9" t="str">
        <f aca="false">IFERROR(INDEX(Destination!$B$2:$B$501,MATCH(B358,Destination!$A$2:$A$501,0)),"")</f>
        <v>Sakleshpur</v>
      </c>
      <c r="D358" s="9" t="s">
        <v>409</v>
      </c>
      <c r="E358" s="9" t="str">
        <f aca="false">IFERROR(INDEX(Destination!$B$2:$B$501,MATCH(D358,Destination!$A$2:$A$501,0)),"")</f>
        <v>Dharmasthala</v>
      </c>
      <c r="F358" s="9" t="s">
        <v>1364</v>
      </c>
      <c r="G358" s="12" t="n">
        <f aca="false">INDEX(Destination!$F$2:$F$501,MATCH(B358,Destination!$A$2:$A$501,0))</f>
        <v>12.94</v>
      </c>
      <c r="H358" s="12" t="n">
        <f aca="false">INDEX(Destination!$G$2:$G$501,MATCH(B358,Destination!$A$2:$A$501,0))</f>
        <v>75.79</v>
      </c>
      <c r="I358" s="12" t="n">
        <f aca="false">INDEX(Destination!$F$2:$F$501,MATCH(D358,Destination!$A$2:$A$501,0))</f>
        <v>12.95</v>
      </c>
      <c r="J358" s="12" t="n">
        <f aca="false">INDEX(Destination!$G$2:$G$501,MATCH(D358,Destination!$A$2:$A$501,0))</f>
        <v>75.38</v>
      </c>
      <c r="K358" s="17" t="n">
        <f aca="false">Assumptions!$B$2*2*ASIN(SQRT(SIN(RADIANS(I358-G358)/2)^2+COS(RADIANS(G358))*COS(RADIANS(I358))*SIN(RADIANS(J358-H358)/2)^2))</f>
        <v>44.4451843097757</v>
      </c>
      <c r="L358" s="18" t="n">
        <f aca="false">K358*Assumptions!$B$3</f>
        <v>57.7787396027085</v>
      </c>
      <c r="M358" s="19" t="n">
        <f aca="false">L358/Assumptions!$B$4</f>
        <v>1.2839719911713</v>
      </c>
      <c r="N358" s="9" t="s">
        <v>1365</v>
      </c>
    </row>
    <row r="359" customFormat="false" ht="15" hidden="false" customHeight="false" outlineLevel="0" collapsed="false">
      <c r="A359" s="9" t="s">
        <v>1722</v>
      </c>
      <c r="B359" s="9" t="s">
        <v>405</v>
      </c>
      <c r="C359" s="9" t="str">
        <f aca="false">IFERROR(INDEX(Destination!$B$2:$B$501,MATCH(B359,Destination!$A$2:$A$501,0)),"")</f>
        <v>Murudeshwar</v>
      </c>
      <c r="D359" s="9" t="s">
        <v>423</v>
      </c>
      <c r="E359" s="9" t="str">
        <f aca="false">IFERROR(INDEX(Destination!$B$2:$B$501,MATCH(D359,Destination!$A$2:$A$501,0)),"")</f>
        <v>Yana</v>
      </c>
      <c r="F359" s="9" t="s">
        <v>1364</v>
      </c>
      <c r="G359" s="12" t="n">
        <f aca="false">INDEX(Destination!$F$2:$F$501,MATCH(B359,Destination!$A$2:$A$501,0))</f>
        <v>14.09</v>
      </c>
      <c r="H359" s="12" t="n">
        <f aca="false">INDEX(Destination!$G$2:$G$501,MATCH(B359,Destination!$A$2:$A$501,0))</f>
        <v>74.49</v>
      </c>
      <c r="I359" s="12" t="n">
        <f aca="false">INDEX(Destination!$F$2:$F$501,MATCH(D359,Destination!$A$2:$A$501,0))</f>
        <v>14.57</v>
      </c>
      <c r="J359" s="12" t="n">
        <f aca="false">INDEX(Destination!$G$2:$G$501,MATCH(D359,Destination!$A$2:$A$501,0))</f>
        <v>74.55</v>
      </c>
      <c r="K359" s="17" t="n">
        <f aca="false">Assumptions!$B$2*2*ASIN(SQRT(SIN(RADIANS(I359-G359)/2)^2+COS(RADIANS(G359))*COS(RADIANS(I359))*SIN(RADIANS(J359-H359)/2)^2))</f>
        <v>53.7635740914716</v>
      </c>
      <c r="L359" s="18" t="n">
        <f aca="false">K359*Assumptions!$B$3</f>
        <v>69.8926463189131</v>
      </c>
      <c r="M359" s="19" t="n">
        <f aca="false">L359/Assumptions!$B$4</f>
        <v>1.55316991819807</v>
      </c>
      <c r="N359" s="9" t="s">
        <v>1365</v>
      </c>
    </row>
    <row r="360" customFormat="false" ht="15" hidden="false" customHeight="false" outlineLevel="0" collapsed="false">
      <c r="A360" s="9" t="s">
        <v>1723</v>
      </c>
      <c r="B360" s="9" t="s">
        <v>407</v>
      </c>
      <c r="C360" s="9" t="str">
        <f aca="false">IFERROR(INDEX(Destination!$B$2:$B$501,MATCH(B360,Destination!$A$2:$A$501,0)),"")</f>
        <v>Sringeri</v>
      </c>
      <c r="D360" s="9" t="s">
        <v>409</v>
      </c>
      <c r="E360" s="9" t="str">
        <f aca="false">IFERROR(INDEX(Destination!$B$2:$B$501,MATCH(D360,Destination!$A$2:$A$501,0)),"")</f>
        <v>Dharmasthala</v>
      </c>
      <c r="F360" s="9" t="s">
        <v>1364</v>
      </c>
      <c r="G360" s="12" t="n">
        <f aca="false">INDEX(Destination!$F$2:$F$501,MATCH(B360,Destination!$A$2:$A$501,0))</f>
        <v>13.42</v>
      </c>
      <c r="H360" s="12" t="n">
        <f aca="false">INDEX(Destination!$G$2:$G$501,MATCH(B360,Destination!$A$2:$A$501,0))</f>
        <v>75.25</v>
      </c>
      <c r="I360" s="12" t="n">
        <f aca="false">INDEX(Destination!$F$2:$F$501,MATCH(D360,Destination!$A$2:$A$501,0))</f>
        <v>12.95</v>
      </c>
      <c r="J360" s="12" t="n">
        <f aca="false">INDEX(Destination!$G$2:$G$501,MATCH(D360,Destination!$A$2:$A$501,0))</f>
        <v>75.38</v>
      </c>
      <c r="K360" s="17" t="n">
        <f aca="false">Assumptions!$B$2*2*ASIN(SQRT(SIN(RADIANS(I360-G360)/2)^2+COS(RADIANS(G360))*COS(RADIANS(I360))*SIN(RADIANS(J360-H360)/2)^2))</f>
        <v>54.1235666395705</v>
      </c>
      <c r="L360" s="18" t="n">
        <f aca="false">K360*Assumptions!$B$3</f>
        <v>70.3606366314416</v>
      </c>
      <c r="M360" s="19" t="n">
        <f aca="false">L360/Assumptions!$B$4</f>
        <v>1.56356970292092</v>
      </c>
      <c r="N360" s="9" t="s">
        <v>1365</v>
      </c>
    </row>
    <row r="361" customFormat="false" ht="15" hidden="false" customHeight="false" outlineLevel="0" collapsed="false">
      <c r="A361" s="9" t="s">
        <v>1724</v>
      </c>
      <c r="B361" s="9" t="s">
        <v>407</v>
      </c>
      <c r="C361" s="9" t="str">
        <f aca="false">IFERROR(INDEX(Destination!$B$2:$B$501,MATCH(B361,Destination!$A$2:$A$501,0)),"")</f>
        <v>Sringeri</v>
      </c>
      <c r="D361" s="9" t="s">
        <v>419</v>
      </c>
      <c r="E361" s="9" t="str">
        <f aca="false">IFERROR(INDEX(Destination!$B$2:$B$501,MATCH(D361,Destination!$A$2:$A$501,0)),"")</f>
        <v>Kudremukh</v>
      </c>
      <c r="F361" s="9" t="s">
        <v>1364</v>
      </c>
      <c r="G361" s="12" t="n">
        <f aca="false">INDEX(Destination!$F$2:$F$501,MATCH(B361,Destination!$A$2:$A$501,0))</f>
        <v>13.42</v>
      </c>
      <c r="H361" s="12" t="n">
        <f aca="false">INDEX(Destination!$G$2:$G$501,MATCH(B361,Destination!$A$2:$A$501,0))</f>
        <v>75.25</v>
      </c>
      <c r="I361" s="12" t="n">
        <f aca="false">INDEX(Destination!$F$2:$F$501,MATCH(D361,Destination!$A$2:$A$501,0))</f>
        <v>13.22</v>
      </c>
      <c r="J361" s="12" t="n">
        <f aca="false">INDEX(Destination!$G$2:$G$501,MATCH(D361,Destination!$A$2:$A$501,0))</f>
        <v>75.25</v>
      </c>
      <c r="K361" s="17" t="n">
        <f aca="false">Assumptions!$B$2*2*ASIN(SQRT(SIN(RADIANS(I361-G361)/2)^2+COS(RADIANS(G361))*COS(RADIANS(I361))*SIN(RADIANS(J361-H361)/2)^2))</f>
        <v>22.2389853289117</v>
      </c>
      <c r="L361" s="18" t="n">
        <f aca="false">K361*Assumptions!$B$3</f>
        <v>28.9106809275852</v>
      </c>
      <c r="M361" s="19" t="n">
        <f aca="false">L361/Assumptions!$B$4</f>
        <v>0.642459576168559</v>
      </c>
      <c r="N361" s="9" t="s">
        <v>1365</v>
      </c>
    </row>
    <row r="362" customFormat="false" ht="15" hidden="false" customHeight="false" outlineLevel="0" collapsed="false">
      <c r="A362" s="9" t="s">
        <v>1725</v>
      </c>
      <c r="B362" s="9" t="s">
        <v>407</v>
      </c>
      <c r="C362" s="9" t="str">
        <f aca="false">IFERROR(INDEX(Destination!$B$2:$B$501,MATCH(B362,Destination!$A$2:$A$501,0)),"")</f>
        <v>Sringeri</v>
      </c>
      <c r="D362" s="9" t="s">
        <v>421</v>
      </c>
      <c r="E362" s="9" t="str">
        <f aca="false">IFERROR(INDEX(Destination!$B$2:$B$501,MATCH(D362,Destination!$A$2:$A$501,0)),"")</f>
        <v>Agumbe</v>
      </c>
      <c r="F362" s="9" t="s">
        <v>1364</v>
      </c>
      <c r="G362" s="12" t="n">
        <f aca="false">INDEX(Destination!$F$2:$F$501,MATCH(B362,Destination!$A$2:$A$501,0))</f>
        <v>13.42</v>
      </c>
      <c r="H362" s="12" t="n">
        <f aca="false">INDEX(Destination!$G$2:$G$501,MATCH(B362,Destination!$A$2:$A$501,0))</f>
        <v>75.25</v>
      </c>
      <c r="I362" s="12" t="n">
        <f aca="false">INDEX(Destination!$F$2:$F$501,MATCH(D362,Destination!$A$2:$A$501,0))</f>
        <v>13.5</v>
      </c>
      <c r="J362" s="12" t="n">
        <f aca="false">INDEX(Destination!$G$2:$G$501,MATCH(D362,Destination!$A$2:$A$501,0))</f>
        <v>75.09</v>
      </c>
      <c r="K362" s="17" t="n">
        <f aca="false">Assumptions!$B$2*2*ASIN(SQRT(SIN(RADIANS(I362-G362)/2)^2+COS(RADIANS(G362))*COS(RADIANS(I362))*SIN(RADIANS(J362-H362)/2)^2))</f>
        <v>19.4552932664785</v>
      </c>
      <c r="L362" s="18" t="n">
        <f aca="false">K362*Assumptions!$B$3</f>
        <v>25.2918812464221</v>
      </c>
      <c r="M362" s="19" t="n">
        <f aca="false">L362/Assumptions!$B$4</f>
        <v>0.562041805476047</v>
      </c>
      <c r="N362" s="9" t="s">
        <v>1365</v>
      </c>
    </row>
    <row r="363" customFormat="false" ht="15" hidden="false" customHeight="false" outlineLevel="0" collapsed="false">
      <c r="A363" s="9" t="s">
        <v>1726</v>
      </c>
      <c r="B363" s="9" t="s">
        <v>409</v>
      </c>
      <c r="C363" s="9" t="str">
        <f aca="false">IFERROR(INDEX(Destination!$B$2:$B$501,MATCH(B363,Destination!$A$2:$A$501,0)),"")</f>
        <v>Dharmasthala</v>
      </c>
      <c r="D363" s="9" t="s">
        <v>419</v>
      </c>
      <c r="E363" s="9" t="str">
        <f aca="false">IFERROR(INDEX(Destination!$B$2:$B$501,MATCH(D363,Destination!$A$2:$A$501,0)),"")</f>
        <v>Kudremukh</v>
      </c>
      <c r="F363" s="9" t="s">
        <v>1364</v>
      </c>
      <c r="G363" s="12" t="n">
        <f aca="false">INDEX(Destination!$F$2:$F$501,MATCH(B363,Destination!$A$2:$A$501,0))</f>
        <v>12.95</v>
      </c>
      <c r="H363" s="12" t="n">
        <f aca="false">INDEX(Destination!$G$2:$G$501,MATCH(B363,Destination!$A$2:$A$501,0))</f>
        <v>75.38</v>
      </c>
      <c r="I363" s="12" t="n">
        <f aca="false">INDEX(Destination!$F$2:$F$501,MATCH(D363,Destination!$A$2:$A$501,0))</f>
        <v>13.22</v>
      </c>
      <c r="J363" s="12" t="n">
        <f aca="false">INDEX(Destination!$G$2:$G$501,MATCH(D363,Destination!$A$2:$A$501,0))</f>
        <v>75.25</v>
      </c>
      <c r="K363" s="17" t="n">
        <f aca="false">Assumptions!$B$2*2*ASIN(SQRT(SIN(RADIANS(I363-G363)/2)^2+COS(RADIANS(G363))*COS(RADIANS(I363))*SIN(RADIANS(J363-H363)/2)^2))</f>
        <v>33.1602867297266</v>
      </c>
      <c r="L363" s="18" t="n">
        <f aca="false">K363*Assumptions!$B$3</f>
        <v>43.1083727486445</v>
      </c>
      <c r="M363" s="19" t="n">
        <f aca="false">L363/Assumptions!$B$4</f>
        <v>0.957963838858767</v>
      </c>
      <c r="N363" s="9" t="s">
        <v>1365</v>
      </c>
    </row>
    <row r="364" customFormat="false" ht="15" hidden="false" customHeight="false" outlineLevel="0" collapsed="false">
      <c r="A364" s="9" t="s">
        <v>1727</v>
      </c>
      <c r="B364" s="9" t="s">
        <v>409</v>
      </c>
      <c r="C364" s="9" t="str">
        <f aca="false">IFERROR(INDEX(Destination!$B$2:$B$501,MATCH(B364,Destination!$A$2:$A$501,0)),"")</f>
        <v>Dharmasthala</v>
      </c>
      <c r="D364" s="9" t="s">
        <v>514</v>
      </c>
      <c r="E364" s="9" t="str">
        <f aca="false">IFERROR(INDEX(Destination!$B$2:$B$501,MATCH(D364,Destination!$A$2:$A$501,0)),"")</f>
        <v>Bekal</v>
      </c>
      <c r="F364" s="9" t="s">
        <v>1364</v>
      </c>
      <c r="G364" s="12" t="n">
        <f aca="false">INDEX(Destination!$F$2:$F$501,MATCH(B364,Destination!$A$2:$A$501,0))</f>
        <v>12.95</v>
      </c>
      <c r="H364" s="12" t="n">
        <f aca="false">INDEX(Destination!$G$2:$G$501,MATCH(B364,Destination!$A$2:$A$501,0))</f>
        <v>75.38</v>
      </c>
      <c r="I364" s="12" t="n">
        <f aca="false">INDEX(Destination!$F$2:$F$501,MATCH(D364,Destination!$A$2:$A$501,0))</f>
        <v>12.39</v>
      </c>
      <c r="J364" s="12" t="n">
        <f aca="false">INDEX(Destination!$G$2:$G$501,MATCH(D364,Destination!$A$2:$A$501,0))</f>
        <v>75.03</v>
      </c>
      <c r="K364" s="17" t="n">
        <f aca="false">Assumptions!$B$2*2*ASIN(SQRT(SIN(RADIANS(I364-G364)/2)^2+COS(RADIANS(G364))*COS(RADIANS(I364))*SIN(RADIANS(J364-H364)/2)^2))</f>
        <v>72.9328263141874</v>
      </c>
      <c r="L364" s="18" t="n">
        <f aca="false">K364*Assumptions!$B$3</f>
        <v>94.8126742084437</v>
      </c>
      <c r="M364" s="19" t="n">
        <f aca="false">L364/Assumptions!$B$4</f>
        <v>2.10694831574319</v>
      </c>
      <c r="N364" s="9" t="s">
        <v>1365</v>
      </c>
    </row>
    <row r="365" customFormat="false" ht="15" hidden="false" customHeight="false" outlineLevel="0" collapsed="false">
      <c r="A365" s="9" t="s">
        <v>1728</v>
      </c>
      <c r="B365" s="9" t="s">
        <v>415</v>
      </c>
      <c r="C365" s="9" t="str">
        <f aca="false">IFERROR(INDEX(Destination!$B$2:$B$501,MATCH(B365,Destination!$A$2:$A$501,0)),"")</f>
        <v>Bidar</v>
      </c>
      <c r="D365" s="9" t="s">
        <v>604</v>
      </c>
      <c r="E365" s="9" t="str">
        <f aca="false">IFERROR(INDEX(Destination!$B$2:$B$501,MATCH(D365,Destination!$A$2:$A$501,0)),"")</f>
        <v>Medak</v>
      </c>
      <c r="F365" s="9" t="s">
        <v>1364</v>
      </c>
      <c r="G365" s="12" t="n">
        <f aca="false">INDEX(Destination!$F$2:$F$501,MATCH(B365,Destination!$A$2:$A$501,0))</f>
        <v>17.91</v>
      </c>
      <c r="H365" s="12" t="n">
        <f aca="false">INDEX(Destination!$G$2:$G$501,MATCH(B365,Destination!$A$2:$A$501,0))</f>
        <v>77.52</v>
      </c>
      <c r="I365" s="12" t="n">
        <f aca="false">INDEX(Destination!$F$2:$F$501,MATCH(D365,Destination!$A$2:$A$501,0))</f>
        <v>18.05</v>
      </c>
      <c r="J365" s="12" t="n">
        <f aca="false">INDEX(Destination!$G$2:$G$501,MATCH(D365,Destination!$A$2:$A$501,0))</f>
        <v>78.26</v>
      </c>
      <c r="K365" s="17" t="n">
        <f aca="false">Assumptions!$B$2*2*ASIN(SQRT(SIN(RADIANS(I365-G365)/2)^2+COS(RADIANS(G365))*COS(RADIANS(I365))*SIN(RADIANS(J365-H365)/2)^2))</f>
        <v>79.7989345368014</v>
      </c>
      <c r="L365" s="18" t="n">
        <f aca="false">K365*Assumptions!$B$3</f>
        <v>103.738614897842</v>
      </c>
      <c r="M365" s="19" t="n">
        <f aca="false">L365/Assumptions!$B$4</f>
        <v>2.30530255328538</v>
      </c>
      <c r="N365" s="9" t="s">
        <v>1365</v>
      </c>
    </row>
    <row r="366" customFormat="false" ht="15" hidden="false" customHeight="false" outlineLevel="0" collapsed="false">
      <c r="A366" s="9" t="s">
        <v>1729</v>
      </c>
      <c r="B366" s="9" t="s">
        <v>415</v>
      </c>
      <c r="C366" s="9" t="str">
        <f aca="false">IFERROR(INDEX(Destination!$B$2:$B$501,MATCH(B366,Destination!$A$2:$A$501,0)),"")</f>
        <v>Bidar</v>
      </c>
      <c r="D366" s="9" t="s">
        <v>612</v>
      </c>
      <c r="E366" s="9" t="str">
        <f aca="false">IFERROR(INDEX(Destination!$B$2:$B$501,MATCH(D366,Destination!$A$2:$A$501,0)),"")</f>
        <v>Ananthagiri Hills</v>
      </c>
      <c r="F366" s="9" t="s">
        <v>1364</v>
      </c>
      <c r="G366" s="12" t="n">
        <f aca="false">INDEX(Destination!$F$2:$F$501,MATCH(B366,Destination!$A$2:$A$501,0))</f>
        <v>17.91</v>
      </c>
      <c r="H366" s="12" t="n">
        <f aca="false">INDEX(Destination!$G$2:$G$501,MATCH(B366,Destination!$A$2:$A$501,0))</f>
        <v>77.52</v>
      </c>
      <c r="I366" s="12" t="n">
        <f aca="false">INDEX(Destination!$F$2:$F$501,MATCH(D366,Destination!$A$2:$A$501,0))</f>
        <v>17.32</v>
      </c>
      <c r="J366" s="12" t="n">
        <f aca="false">INDEX(Destination!$G$2:$G$501,MATCH(D366,Destination!$A$2:$A$501,0))</f>
        <v>77.87</v>
      </c>
      <c r="K366" s="17" t="n">
        <f aca="false">Assumptions!$B$2*2*ASIN(SQRT(SIN(RADIANS(I366-G366)/2)^2+COS(RADIANS(G366))*COS(RADIANS(I366))*SIN(RADIANS(J366-H366)/2)^2))</f>
        <v>75.3652536790295</v>
      </c>
      <c r="L366" s="18" t="n">
        <f aca="false">K366*Assumptions!$B$3</f>
        <v>97.9748297827383</v>
      </c>
      <c r="M366" s="19" t="n">
        <f aca="false">L366/Assumptions!$B$4</f>
        <v>2.17721843961641</v>
      </c>
      <c r="N366" s="9" t="s">
        <v>1365</v>
      </c>
    </row>
    <row r="367" customFormat="false" ht="15" hidden="false" customHeight="false" outlineLevel="0" collapsed="false">
      <c r="A367" s="9" t="s">
        <v>1730</v>
      </c>
      <c r="B367" s="9" t="s">
        <v>415</v>
      </c>
      <c r="C367" s="9" t="str">
        <f aca="false">IFERROR(INDEX(Destination!$B$2:$B$501,MATCH(B367,Destination!$A$2:$A$501,0)),"")</f>
        <v>Bidar</v>
      </c>
      <c r="D367" s="9" t="s">
        <v>614</v>
      </c>
      <c r="E367" s="9" t="str">
        <f aca="false">IFERROR(INDEX(Destination!$B$2:$B$501,MATCH(D367,Destination!$A$2:$A$501,0)),"")</f>
        <v>Pocharam</v>
      </c>
      <c r="F367" s="9" t="s">
        <v>1364</v>
      </c>
      <c r="G367" s="12" t="n">
        <f aca="false">INDEX(Destination!$F$2:$F$501,MATCH(B367,Destination!$A$2:$A$501,0))</f>
        <v>17.91</v>
      </c>
      <c r="H367" s="12" t="n">
        <f aca="false">INDEX(Destination!$G$2:$G$501,MATCH(B367,Destination!$A$2:$A$501,0))</f>
        <v>77.52</v>
      </c>
      <c r="I367" s="12" t="n">
        <f aca="false">INDEX(Destination!$F$2:$F$501,MATCH(D367,Destination!$A$2:$A$501,0))</f>
        <v>18.02</v>
      </c>
      <c r="J367" s="12" t="n">
        <f aca="false">INDEX(Destination!$G$2:$G$501,MATCH(D367,Destination!$A$2:$A$501,0))</f>
        <v>78.18</v>
      </c>
      <c r="K367" s="17" t="n">
        <f aca="false">Assumptions!$B$2*2*ASIN(SQRT(SIN(RADIANS(I367-G367)/2)^2+COS(RADIANS(G367))*COS(RADIANS(I367))*SIN(RADIANS(J367-H367)/2)^2))</f>
        <v>70.8739751090401</v>
      </c>
      <c r="L367" s="18" t="n">
        <f aca="false">K367*Assumptions!$B$3</f>
        <v>92.1361676417521</v>
      </c>
      <c r="M367" s="19" t="n">
        <f aca="false">L367/Assumptions!$B$4</f>
        <v>2.04747039203894</v>
      </c>
      <c r="N367" s="9" t="s">
        <v>1365</v>
      </c>
    </row>
    <row r="368" customFormat="false" ht="15" hidden="false" customHeight="false" outlineLevel="0" collapsed="false">
      <c r="A368" s="9" t="s">
        <v>1731</v>
      </c>
      <c r="B368" s="9" t="s">
        <v>419</v>
      </c>
      <c r="C368" s="9" t="str">
        <f aca="false">IFERROR(INDEX(Destination!$B$2:$B$501,MATCH(B368,Destination!$A$2:$A$501,0)),"")</f>
        <v>Kudremukh</v>
      </c>
      <c r="D368" s="9" t="s">
        <v>421</v>
      </c>
      <c r="E368" s="9" t="str">
        <f aca="false">IFERROR(INDEX(Destination!$B$2:$B$501,MATCH(D368,Destination!$A$2:$A$501,0)),"")</f>
        <v>Agumbe</v>
      </c>
      <c r="F368" s="9" t="s">
        <v>1364</v>
      </c>
      <c r="G368" s="12" t="n">
        <f aca="false">INDEX(Destination!$F$2:$F$501,MATCH(B368,Destination!$A$2:$A$501,0))</f>
        <v>13.22</v>
      </c>
      <c r="H368" s="12" t="n">
        <f aca="false">INDEX(Destination!$G$2:$G$501,MATCH(B368,Destination!$A$2:$A$501,0))</f>
        <v>75.25</v>
      </c>
      <c r="I368" s="12" t="n">
        <f aca="false">INDEX(Destination!$F$2:$F$501,MATCH(D368,Destination!$A$2:$A$501,0))</f>
        <v>13.5</v>
      </c>
      <c r="J368" s="12" t="n">
        <f aca="false">INDEX(Destination!$G$2:$G$501,MATCH(D368,Destination!$A$2:$A$501,0))</f>
        <v>75.09</v>
      </c>
      <c r="K368" s="17" t="n">
        <f aca="false">Assumptions!$B$2*2*ASIN(SQRT(SIN(RADIANS(I368-G368)/2)^2+COS(RADIANS(G368))*COS(RADIANS(I368))*SIN(RADIANS(J368-H368)/2)^2))</f>
        <v>35.6228507457628</v>
      </c>
      <c r="L368" s="18" t="n">
        <f aca="false">K368*Assumptions!$B$3</f>
        <v>46.3097059694916</v>
      </c>
      <c r="M368" s="19" t="n">
        <f aca="false">L368/Assumptions!$B$4</f>
        <v>1.02910457709981</v>
      </c>
      <c r="N368" s="9" t="s">
        <v>1365</v>
      </c>
    </row>
    <row r="369" customFormat="false" ht="15" hidden="false" customHeight="false" outlineLevel="0" collapsed="false">
      <c r="A369" s="9" t="s">
        <v>1732</v>
      </c>
      <c r="B369" s="9" t="s">
        <v>425</v>
      </c>
      <c r="C369" s="9" t="str">
        <f aca="false">IFERROR(INDEX(Destination!$B$2:$B$501,MATCH(B369,Destination!$A$2:$A$501,0)),"")</f>
        <v>Nagarhole</v>
      </c>
      <c r="D369" s="9" t="s">
        <v>502</v>
      </c>
      <c r="E369" s="9" t="str">
        <f aca="false">IFERROR(INDEX(Destination!$B$2:$B$501,MATCH(D369,Destination!$A$2:$A$501,0)),"")</f>
        <v>Wayanad</v>
      </c>
      <c r="F369" s="9" t="s">
        <v>1364</v>
      </c>
      <c r="G369" s="12" t="n">
        <f aca="false">INDEX(Destination!$F$2:$F$501,MATCH(B369,Destination!$A$2:$A$501,0))</f>
        <v>12.05</v>
      </c>
      <c r="H369" s="12" t="n">
        <f aca="false">INDEX(Destination!$G$2:$G$501,MATCH(B369,Destination!$A$2:$A$501,0))</f>
        <v>76.1</v>
      </c>
      <c r="I369" s="12" t="n">
        <f aca="false">INDEX(Destination!$F$2:$F$501,MATCH(D369,Destination!$A$2:$A$501,0))</f>
        <v>11.69</v>
      </c>
      <c r="J369" s="12" t="n">
        <f aca="false">INDEX(Destination!$G$2:$G$501,MATCH(D369,Destination!$A$2:$A$501,0))</f>
        <v>76.08</v>
      </c>
      <c r="K369" s="17" t="n">
        <f aca="false">Assumptions!$B$2*2*ASIN(SQRT(SIN(RADIANS(I369-G369)/2)^2+COS(RADIANS(G369))*COS(RADIANS(I369))*SIN(RADIANS(J369-H369)/2)^2))</f>
        <v>40.0892910336308</v>
      </c>
      <c r="L369" s="18" t="n">
        <f aca="false">K369*Assumptions!$B$3</f>
        <v>52.11607834372</v>
      </c>
      <c r="M369" s="19" t="n">
        <f aca="false">L369/Assumptions!$B$4</f>
        <v>1.15813507430489</v>
      </c>
      <c r="N369" s="9" t="s">
        <v>1365</v>
      </c>
    </row>
    <row r="370" customFormat="false" ht="15" hidden="false" customHeight="false" outlineLevel="0" collapsed="false">
      <c r="A370" s="9" t="s">
        <v>1733</v>
      </c>
      <c r="B370" s="9" t="s">
        <v>427</v>
      </c>
      <c r="C370" s="9" t="str">
        <f aca="false">IFERROR(INDEX(Destination!$B$2:$B$501,MATCH(B370,Destination!$A$2:$A$501,0)),"")</f>
        <v>Chennai</v>
      </c>
      <c r="D370" s="9" t="s">
        <v>429</v>
      </c>
      <c r="E370" s="9" t="str">
        <f aca="false">IFERROR(INDEX(Destination!$B$2:$B$501,MATCH(D370,Destination!$A$2:$A$501,0)),"")</f>
        <v>Mahabalipuram</v>
      </c>
      <c r="F370" s="9" t="s">
        <v>1364</v>
      </c>
      <c r="G370" s="12" t="n">
        <f aca="false">INDEX(Destination!$F$2:$F$501,MATCH(B370,Destination!$A$2:$A$501,0))</f>
        <v>13.08</v>
      </c>
      <c r="H370" s="12" t="n">
        <f aca="false">INDEX(Destination!$G$2:$G$501,MATCH(B370,Destination!$A$2:$A$501,0))</f>
        <v>80.27</v>
      </c>
      <c r="I370" s="12" t="n">
        <f aca="false">INDEX(Destination!$F$2:$F$501,MATCH(D370,Destination!$A$2:$A$501,0))</f>
        <v>12.62</v>
      </c>
      <c r="J370" s="12" t="n">
        <f aca="false">INDEX(Destination!$G$2:$G$501,MATCH(D370,Destination!$A$2:$A$501,0))</f>
        <v>80.19</v>
      </c>
      <c r="K370" s="17" t="n">
        <f aca="false">Assumptions!$B$2*2*ASIN(SQRT(SIN(RADIANS(I370-G370)/2)^2+COS(RADIANS(G370))*COS(RADIANS(I370))*SIN(RADIANS(J370-H370)/2)^2))</f>
        <v>51.8797216536769</v>
      </c>
      <c r="L370" s="18" t="n">
        <f aca="false">K370*Assumptions!$B$3</f>
        <v>67.44363814978</v>
      </c>
      <c r="M370" s="19" t="n">
        <f aca="false">L370/Assumptions!$B$4</f>
        <v>1.49874751443955</v>
      </c>
      <c r="N370" s="9" t="s">
        <v>1365</v>
      </c>
    </row>
    <row r="371" customFormat="false" ht="15" hidden="false" customHeight="false" outlineLevel="0" collapsed="false">
      <c r="A371" s="9" t="s">
        <v>1734</v>
      </c>
      <c r="B371" s="9" t="s">
        <v>427</v>
      </c>
      <c r="C371" s="9" t="str">
        <f aca="false">IFERROR(INDEX(Destination!$B$2:$B$501,MATCH(B371,Destination!$A$2:$A$501,0)),"")</f>
        <v>Chennai</v>
      </c>
      <c r="D371" s="9" t="s">
        <v>431</v>
      </c>
      <c r="E371" s="9" t="str">
        <f aca="false">IFERROR(INDEX(Destination!$B$2:$B$501,MATCH(D371,Destination!$A$2:$A$501,0)),"")</f>
        <v>Kanchipuram</v>
      </c>
      <c r="F371" s="9" t="s">
        <v>1364</v>
      </c>
      <c r="G371" s="12" t="n">
        <f aca="false">INDEX(Destination!$F$2:$F$501,MATCH(B371,Destination!$A$2:$A$501,0))</f>
        <v>13.08</v>
      </c>
      <c r="H371" s="12" t="n">
        <f aca="false">INDEX(Destination!$G$2:$G$501,MATCH(B371,Destination!$A$2:$A$501,0))</f>
        <v>80.27</v>
      </c>
      <c r="I371" s="12" t="n">
        <f aca="false">INDEX(Destination!$F$2:$F$501,MATCH(D371,Destination!$A$2:$A$501,0))</f>
        <v>12.83</v>
      </c>
      <c r="J371" s="12" t="n">
        <f aca="false">INDEX(Destination!$G$2:$G$501,MATCH(D371,Destination!$A$2:$A$501,0))</f>
        <v>79.7</v>
      </c>
      <c r="K371" s="17" t="n">
        <f aca="false">Assumptions!$B$2*2*ASIN(SQRT(SIN(RADIANS(I371-G371)/2)^2+COS(RADIANS(G371))*COS(RADIANS(I371))*SIN(RADIANS(J371-H371)/2)^2))</f>
        <v>67.7349697413713</v>
      </c>
      <c r="L371" s="18" t="n">
        <f aca="false">K371*Assumptions!$B$3</f>
        <v>88.0554606637827</v>
      </c>
      <c r="M371" s="19" t="n">
        <f aca="false">L371/Assumptions!$B$4</f>
        <v>1.95678801475073</v>
      </c>
      <c r="N371" s="9" t="s">
        <v>1365</v>
      </c>
    </row>
    <row r="372" customFormat="false" ht="15" hidden="false" customHeight="false" outlineLevel="0" collapsed="false">
      <c r="A372" s="9" t="s">
        <v>1735</v>
      </c>
      <c r="B372" s="9" t="s">
        <v>427</v>
      </c>
      <c r="C372" s="9" t="str">
        <f aca="false">IFERROR(INDEX(Destination!$B$2:$B$501,MATCH(B372,Destination!$A$2:$A$501,0)),"")</f>
        <v>Chennai</v>
      </c>
      <c r="D372" s="9" t="s">
        <v>547</v>
      </c>
      <c r="E372" s="9" t="str">
        <f aca="false">IFERROR(INDEX(Destination!$B$2:$B$501,MATCH(D372,Destination!$A$2:$A$501,0)),"")</f>
        <v>Tirupati</v>
      </c>
      <c r="F372" s="9" t="s">
        <v>1364</v>
      </c>
      <c r="G372" s="12" t="n">
        <f aca="false">INDEX(Destination!$F$2:$F$501,MATCH(B372,Destination!$A$2:$A$501,0))</f>
        <v>13.08</v>
      </c>
      <c r="H372" s="12" t="n">
        <f aca="false">INDEX(Destination!$G$2:$G$501,MATCH(B372,Destination!$A$2:$A$501,0))</f>
        <v>80.27</v>
      </c>
      <c r="I372" s="12" t="n">
        <f aca="false">INDEX(Destination!$F$2:$F$501,MATCH(D372,Destination!$A$2:$A$501,0))</f>
        <v>13.63</v>
      </c>
      <c r="J372" s="12" t="n">
        <f aca="false">INDEX(Destination!$G$2:$G$501,MATCH(D372,Destination!$A$2:$A$501,0))</f>
        <v>79.42</v>
      </c>
      <c r="K372" s="17" t="n">
        <f aca="false">Assumptions!$B$2*2*ASIN(SQRT(SIN(RADIANS(I372-G372)/2)^2+COS(RADIANS(G372))*COS(RADIANS(I372))*SIN(RADIANS(J372-H372)/2)^2))</f>
        <v>110.438746856225</v>
      </c>
      <c r="L372" s="18" t="n">
        <f aca="false">K372*Assumptions!$B$3</f>
        <v>143.570370913093</v>
      </c>
      <c r="M372" s="19" t="n">
        <f aca="false">L372/Assumptions!$B$4</f>
        <v>3.19045268695762</v>
      </c>
      <c r="N372" s="9" t="s">
        <v>1365</v>
      </c>
    </row>
    <row r="373" customFormat="false" ht="15" hidden="false" customHeight="false" outlineLevel="0" collapsed="false">
      <c r="A373" s="9" t="s">
        <v>1736</v>
      </c>
      <c r="B373" s="9" t="s">
        <v>427</v>
      </c>
      <c r="C373" s="9" t="str">
        <f aca="false">IFERROR(INDEX(Destination!$B$2:$B$501,MATCH(B373,Destination!$A$2:$A$501,0)),"")</f>
        <v>Chennai</v>
      </c>
      <c r="D373" s="9" t="s">
        <v>567</v>
      </c>
      <c r="E373" s="9" t="str">
        <f aca="false">IFERROR(INDEX(Destination!$B$2:$B$501,MATCH(D373,Destination!$A$2:$A$501,0)),"")</f>
        <v>Nellore</v>
      </c>
      <c r="F373" s="9" t="s">
        <v>1364</v>
      </c>
      <c r="G373" s="12" t="n">
        <f aca="false">INDEX(Destination!$F$2:$F$501,MATCH(B373,Destination!$A$2:$A$501,0))</f>
        <v>13.08</v>
      </c>
      <c r="H373" s="12" t="n">
        <f aca="false">INDEX(Destination!$G$2:$G$501,MATCH(B373,Destination!$A$2:$A$501,0))</f>
        <v>80.27</v>
      </c>
      <c r="I373" s="12" t="n">
        <f aca="false">INDEX(Destination!$F$2:$F$501,MATCH(D373,Destination!$A$2:$A$501,0))</f>
        <v>14.44</v>
      </c>
      <c r="J373" s="12" t="n">
        <f aca="false">INDEX(Destination!$G$2:$G$501,MATCH(D373,Destination!$A$2:$A$501,0))</f>
        <v>79.99</v>
      </c>
      <c r="K373" s="17" t="n">
        <f aca="false">Assumptions!$B$2*2*ASIN(SQRT(SIN(RADIANS(I373-G373)/2)^2+COS(RADIANS(G373))*COS(RADIANS(I373))*SIN(RADIANS(J373-H373)/2)^2))</f>
        <v>154.219001296971</v>
      </c>
      <c r="L373" s="18" t="n">
        <f aca="false">K373*Assumptions!$B$3</f>
        <v>200.484701686063</v>
      </c>
      <c r="M373" s="19" t="n">
        <f aca="false">L373/Assumptions!$B$4</f>
        <v>4.45521559302362</v>
      </c>
      <c r="N373" s="9" t="s">
        <v>1365</v>
      </c>
    </row>
    <row r="374" customFormat="false" ht="15" hidden="false" customHeight="false" outlineLevel="0" collapsed="false">
      <c r="A374" s="9" t="s">
        <v>1737</v>
      </c>
      <c r="B374" s="9" t="s">
        <v>429</v>
      </c>
      <c r="C374" s="9" t="str">
        <f aca="false">IFERROR(INDEX(Destination!$B$2:$B$501,MATCH(B374,Destination!$A$2:$A$501,0)),"")</f>
        <v>Mahabalipuram</v>
      </c>
      <c r="D374" s="9" t="s">
        <v>431</v>
      </c>
      <c r="E374" s="9" t="str">
        <f aca="false">IFERROR(INDEX(Destination!$B$2:$B$501,MATCH(D374,Destination!$A$2:$A$501,0)),"")</f>
        <v>Kanchipuram</v>
      </c>
      <c r="F374" s="9" t="s">
        <v>1364</v>
      </c>
      <c r="G374" s="12" t="n">
        <f aca="false">INDEX(Destination!$F$2:$F$501,MATCH(B374,Destination!$A$2:$A$501,0))</f>
        <v>12.62</v>
      </c>
      <c r="H374" s="12" t="n">
        <f aca="false">INDEX(Destination!$G$2:$G$501,MATCH(B374,Destination!$A$2:$A$501,0))</f>
        <v>80.19</v>
      </c>
      <c r="I374" s="12" t="n">
        <f aca="false">INDEX(Destination!$F$2:$F$501,MATCH(D374,Destination!$A$2:$A$501,0))</f>
        <v>12.83</v>
      </c>
      <c r="J374" s="12" t="n">
        <f aca="false">INDEX(Destination!$G$2:$G$501,MATCH(D374,Destination!$A$2:$A$501,0))</f>
        <v>79.7</v>
      </c>
      <c r="K374" s="17" t="n">
        <f aca="false">Assumptions!$B$2*2*ASIN(SQRT(SIN(RADIANS(I374-G374)/2)^2+COS(RADIANS(G374))*COS(RADIANS(I374))*SIN(RADIANS(J374-H374)/2)^2))</f>
        <v>58.0507873963373</v>
      </c>
      <c r="L374" s="18" t="n">
        <f aca="false">K374*Assumptions!$B$3</f>
        <v>75.4660236152385</v>
      </c>
      <c r="M374" s="19" t="n">
        <f aca="false">L374/Assumptions!$B$4</f>
        <v>1.6770227470053</v>
      </c>
      <c r="N374" s="9" t="s">
        <v>1365</v>
      </c>
    </row>
    <row r="375" customFormat="false" ht="15" hidden="false" customHeight="false" outlineLevel="0" collapsed="false">
      <c r="A375" s="9" t="s">
        <v>1738</v>
      </c>
      <c r="B375" s="9" t="s">
        <v>429</v>
      </c>
      <c r="C375" s="9" t="str">
        <f aca="false">IFERROR(INDEX(Destination!$B$2:$B$501,MATCH(B375,Destination!$A$2:$A$501,0)),"")</f>
        <v>Mahabalipuram</v>
      </c>
      <c r="D375" s="9" t="s">
        <v>484</v>
      </c>
      <c r="E375" s="9" t="str">
        <f aca="false">IFERROR(INDEX(Destination!$B$2:$B$501,MATCH(D375,Destination!$A$2:$A$501,0)),"")</f>
        <v>Gingee</v>
      </c>
      <c r="F375" s="9" t="s">
        <v>1364</v>
      </c>
      <c r="G375" s="12" t="n">
        <f aca="false">INDEX(Destination!$F$2:$F$501,MATCH(B375,Destination!$A$2:$A$501,0))</f>
        <v>12.62</v>
      </c>
      <c r="H375" s="12" t="n">
        <f aca="false">INDEX(Destination!$G$2:$G$501,MATCH(B375,Destination!$A$2:$A$501,0))</f>
        <v>80.19</v>
      </c>
      <c r="I375" s="12" t="n">
        <f aca="false">INDEX(Destination!$F$2:$F$501,MATCH(D375,Destination!$A$2:$A$501,0))</f>
        <v>12.25</v>
      </c>
      <c r="J375" s="12" t="n">
        <f aca="false">INDEX(Destination!$G$2:$G$501,MATCH(D375,Destination!$A$2:$A$501,0))</f>
        <v>79.42</v>
      </c>
      <c r="K375" s="17" t="n">
        <f aca="false">Assumptions!$B$2*2*ASIN(SQRT(SIN(RADIANS(I375-G375)/2)^2+COS(RADIANS(G375))*COS(RADIANS(I375))*SIN(RADIANS(J375-H375)/2)^2))</f>
        <v>93.1854531367441</v>
      </c>
      <c r="L375" s="18" t="n">
        <f aca="false">K375*Assumptions!$B$3</f>
        <v>121.141089077767</v>
      </c>
      <c r="M375" s="19" t="n">
        <f aca="false">L375/Assumptions!$B$4</f>
        <v>2.69202420172816</v>
      </c>
      <c r="N375" s="9" t="s">
        <v>1365</v>
      </c>
    </row>
    <row r="376" customFormat="false" ht="15" hidden="false" customHeight="false" outlineLevel="0" collapsed="false">
      <c r="A376" s="9" t="s">
        <v>1739</v>
      </c>
      <c r="B376" s="9" t="s">
        <v>431</v>
      </c>
      <c r="C376" s="9" t="str">
        <f aca="false">IFERROR(INDEX(Destination!$B$2:$B$501,MATCH(B376,Destination!$A$2:$A$501,0)),"")</f>
        <v>Kanchipuram</v>
      </c>
      <c r="D376" s="9" t="s">
        <v>482</v>
      </c>
      <c r="E376" s="9" t="str">
        <f aca="false">IFERROR(INDEX(Destination!$B$2:$B$501,MATCH(D376,Destination!$A$2:$A$501,0)),"")</f>
        <v>Vellore</v>
      </c>
      <c r="F376" s="9" t="s">
        <v>1364</v>
      </c>
      <c r="G376" s="12" t="n">
        <f aca="false">INDEX(Destination!$F$2:$F$501,MATCH(B376,Destination!$A$2:$A$501,0))</f>
        <v>12.83</v>
      </c>
      <c r="H376" s="12" t="n">
        <f aca="false">INDEX(Destination!$G$2:$G$501,MATCH(B376,Destination!$A$2:$A$501,0))</f>
        <v>79.7</v>
      </c>
      <c r="I376" s="12" t="n">
        <f aca="false">INDEX(Destination!$F$2:$F$501,MATCH(D376,Destination!$A$2:$A$501,0))</f>
        <v>12.92</v>
      </c>
      <c r="J376" s="12" t="n">
        <f aca="false">INDEX(Destination!$G$2:$G$501,MATCH(D376,Destination!$A$2:$A$501,0))</f>
        <v>79.13</v>
      </c>
      <c r="K376" s="17" t="n">
        <f aca="false">Assumptions!$B$2*2*ASIN(SQRT(SIN(RADIANS(I376-G376)/2)^2+COS(RADIANS(G376))*COS(RADIANS(I376))*SIN(RADIANS(J376-H376)/2)^2))</f>
        <v>62.5927915661161</v>
      </c>
      <c r="L376" s="18" t="n">
        <f aca="false">K376*Assumptions!$B$3</f>
        <v>81.370629035951</v>
      </c>
      <c r="M376" s="19" t="n">
        <f aca="false">L376/Assumptions!$B$4</f>
        <v>1.80823620079891</v>
      </c>
      <c r="N376" s="9" t="s">
        <v>1365</v>
      </c>
    </row>
    <row r="377" customFormat="false" ht="15" hidden="false" customHeight="false" outlineLevel="0" collapsed="false">
      <c r="A377" s="9" t="s">
        <v>1740</v>
      </c>
      <c r="B377" s="9" t="s">
        <v>431</v>
      </c>
      <c r="C377" s="9" t="str">
        <f aca="false">IFERROR(INDEX(Destination!$B$2:$B$501,MATCH(B377,Destination!$A$2:$A$501,0)),"")</f>
        <v>Kanchipuram</v>
      </c>
      <c r="D377" s="9" t="s">
        <v>484</v>
      </c>
      <c r="E377" s="9" t="str">
        <f aca="false">IFERROR(INDEX(Destination!$B$2:$B$501,MATCH(D377,Destination!$A$2:$A$501,0)),"")</f>
        <v>Gingee</v>
      </c>
      <c r="F377" s="9" t="s">
        <v>1364</v>
      </c>
      <c r="G377" s="12" t="n">
        <f aca="false">INDEX(Destination!$F$2:$F$501,MATCH(B377,Destination!$A$2:$A$501,0))</f>
        <v>12.83</v>
      </c>
      <c r="H377" s="12" t="n">
        <f aca="false">INDEX(Destination!$G$2:$G$501,MATCH(B377,Destination!$A$2:$A$501,0))</f>
        <v>79.7</v>
      </c>
      <c r="I377" s="12" t="n">
        <f aca="false">INDEX(Destination!$F$2:$F$501,MATCH(D377,Destination!$A$2:$A$501,0))</f>
        <v>12.25</v>
      </c>
      <c r="J377" s="12" t="n">
        <f aca="false">INDEX(Destination!$G$2:$G$501,MATCH(D377,Destination!$A$2:$A$501,0))</f>
        <v>79.42</v>
      </c>
      <c r="K377" s="17" t="n">
        <f aca="false">Assumptions!$B$2*2*ASIN(SQRT(SIN(RADIANS(I377-G377)/2)^2+COS(RADIANS(G377))*COS(RADIANS(I377))*SIN(RADIANS(J377-H377)/2)^2))</f>
        <v>71.2952318456888</v>
      </c>
      <c r="L377" s="18" t="n">
        <f aca="false">K377*Assumptions!$B$3</f>
        <v>92.6838013993955</v>
      </c>
      <c r="M377" s="19" t="n">
        <f aca="false">L377/Assumptions!$B$4</f>
        <v>2.05964003109768</v>
      </c>
      <c r="N377" s="9" t="s">
        <v>1365</v>
      </c>
    </row>
    <row r="378" customFormat="false" ht="15" hidden="false" customHeight="false" outlineLevel="0" collapsed="false">
      <c r="A378" s="9" t="s">
        <v>1741</v>
      </c>
      <c r="B378" s="9" t="s">
        <v>431</v>
      </c>
      <c r="C378" s="9" t="str">
        <f aca="false">IFERROR(INDEX(Destination!$B$2:$B$501,MATCH(B378,Destination!$A$2:$A$501,0)),"")</f>
        <v>Kanchipuram</v>
      </c>
      <c r="D378" s="9" t="s">
        <v>547</v>
      </c>
      <c r="E378" s="9" t="str">
        <f aca="false">IFERROR(INDEX(Destination!$B$2:$B$501,MATCH(D378,Destination!$A$2:$A$501,0)),"")</f>
        <v>Tirupati</v>
      </c>
      <c r="F378" s="9" t="s">
        <v>1364</v>
      </c>
      <c r="G378" s="12" t="n">
        <f aca="false">INDEX(Destination!$F$2:$F$501,MATCH(B378,Destination!$A$2:$A$501,0))</f>
        <v>12.83</v>
      </c>
      <c r="H378" s="12" t="n">
        <f aca="false">INDEX(Destination!$G$2:$G$501,MATCH(B378,Destination!$A$2:$A$501,0))</f>
        <v>79.7</v>
      </c>
      <c r="I378" s="12" t="n">
        <f aca="false">INDEX(Destination!$F$2:$F$501,MATCH(D378,Destination!$A$2:$A$501,0))</f>
        <v>13.63</v>
      </c>
      <c r="J378" s="12" t="n">
        <f aca="false">INDEX(Destination!$G$2:$G$501,MATCH(D378,Destination!$A$2:$A$501,0))</f>
        <v>79.42</v>
      </c>
      <c r="K378" s="17" t="n">
        <f aca="false">Assumptions!$B$2*2*ASIN(SQRT(SIN(RADIANS(I378-G378)/2)^2+COS(RADIANS(G378))*COS(RADIANS(I378))*SIN(RADIANS(J378-H378)/2)^2))</f>
        <v>93.9772929676311</v>
      </c>
      <c r="L378" s="18" t="n">
        <f aca="false">K378*Assumptions!$B$3</f>
        <v>122.17048085792</v>
      </c>
      <c r="M378" s="19" t="n">
        <f aca="false">L378/Assumptions!$B$4</f>
        <v>2.71489957462045</v>
      </c>
      <c r="N378" s="9" t="s">
        <v>1365</v>
      </c>
    </row>
    <row r="379" customFormat="false" ht="15" hidden="false" customHeight="false" outlineLevel="0" collapsed="false">
      <c r="A379" s="9" t="s">
        <v>1742</v>
      </c>
      <c r="B379" s="9" t="s">
        <v>433</v>
      </c>
      <c r="C379" s="9" t="str">
        <f aca="false">IFERROR(INDEX(Destination!$B$2:$B$501,MATCH(B379,Destination!$A$2:$A$501,0)),"")</f>
        <v>Madurai</v>
      </c>
      <c r="D379" s="9" t="s">
        <v>445</v>
      </c>
      <c r="E379" s="9" t="str">
        <f aca="false">IFERROR(INDEX(Destination!$B$2:$B$501,MATCH(D379,Destination!$A$2:$A$501,0)),"")</f>
        <v>Kodaikanal</v>
      </c>
      <c r="F379" s="9" t="s">
        <v>1364</v>
      </c>
      <c r="G379" s="12" t="n">
        <f aca="false">INDEX(Destination!$F$2:$F$501,MATCH(B379,Destination!$A$2:$A$501,0))</f>
        <v>9.93</v>
      </c>
      <c r="H379" s="12" t="n">
        <f aca="false">INDEX(Destination!$G$2:$G$501,MATCH(B379,Destination!$A$2:$A$501,0))</f>
        <v>78.12</v>
      </c>
      <c r="I379" s="12" t="n">
        <f aca="false">INDEX(Destination!$F$2:$F$501,MATCH(D379,Destination!$A$2:$A$501,0))</f>
        <v>10.24</v>
      </c>
      <c r="J379" s="12" t="n">
        <f aca="false">INDEX(Destination!$G$2:$G$501,MATCH(D379,Destination!$A$2:$A$501,0))</f>
        <v>77.49</v>
      </c>
      <c r="K379" s="17" t="n">
        <f aca="false">Assumptions!$B$2*2*ASIN(SQRT(SIN(RADIANS(I379-G379)/2)^2+COS(RADIANS(G379))*COS(RADIANS(I379))*SIN(RADIANS(J379-H379)/2)^2))</f>
        <v>77.1045736622611</v>
      </c>
      <c r="L379" s="18" t="n">
        <f aca="false">K379*Assumptions!$B$3</f>
        <v>100.235945760939</v>
      </c>
      <c r="M379" s="19" t="n">
        <f aca="false">L379/Assumptions!$B$4</f>
        <v>2.22746546135421</v>
      </c>
      <c r="N379" s="9" t="s">
        <v>1365</v>
      </c>
    </row>
    <row r="380" customFormat="false" ht="15" hidden="false" customHeight="false" outlineLevel="0" collapsed="false">
      <c r="A380" s="9" t="s">
        <v>1743</v>
      </c>
      <c r="B380" s="9" t="s">
        <v>433</v>
      </c>
      <c r="C380" s="9" t="str">
        <f aca="false">IFERROR(INDEX(Destination!$B$2:$B$501,MATCH(B380,Destination!$A$2:$A$501,0)),"")</f>
        <v>Madurai</v>
      </c>
      <c r="D380" s="9" t="s">
        <v>467</v>
      </c>
      <c r="E380" s="9" t="str">
        <f aca="false">IFERROR(INDEX(Destination!$B$2:$B$501,MATCH(D380,Destination!$A$2:$A$501,0)),"")</f>
        <v>Chettinad</v>
      </c>
      <c r="F380" s="9" t="s">
        <v>1364</v>
      </c>
      <c r="G380" s="12" t="n">
        <f aca="false">INDEX(Destination!$F$2:$F$501,MATCH(B380,Destination!$A$2:$A$501,0))</f>
        <v>9.93</v>
      </c>
      <c r="H380" s="12" t="n">
        <f aca="false">INDEX(Destination!$G$2:$G$501,MATCH(B380,Destination!$A$2:$A$501,0))</f>
        <v>78.12</v>
      </c>
      <c r="I380" s="12" t="n">
        <f aca="false">INDEX(Destination!$F$2:$F$501,MATCH(D380,Destination!$A$2:$A$501,0))</f>
        <v>10.07</v>
      </c>
      <c r="J380" s="12" t="n">
        <f aca="false">INDEX(Destination!$G$2:$G$501,MATCH(D380,Destination!$A$2:$A$501,0))</f>
        <v>78.78</v>
      </c>
      <c r="K380" s="17" t="n">
        <f aca="false">Assumptions!$B$2*2*ASIN(SQRT(SIN(RADIANS(I380-G380)/2)^2+COS(RADIANS(G380))*COS(RADIANS(I380))*SIN(RADIANS(J380-H380)/2)^2))</f>
        <v>73.9312215959099</v>
      </c>
      <c r="L380" s="18" t="n">
        <f aca="false">K380*Assumptions!$B$3</f>
        <v>96.1105880746829</v>
      </c>
      <c r="M380" s="19" t="n">
        <f aca="false">L380/Assumptions!$B$4</f>
        <v>2.13579084610406</v>
      </c>
      <c r="N380" s="9" t="s">
        <v>1365</v>
      </c>
    </row>
    <row r="381" customFormat="false" ht="15" hidden="false" customHeight="false" outlineLevel="0" collapsed="false">
      <c r="A381" s="9" t="s">
        <v>1744</v>
      </c>
      <c r="B381" s="9" t="s">
        <v>433</v>
      </c>
      <c r="C381" s="9" t="str">
        <f aca="false">IFERROR(INDEX(Destination!$B$2:$B$501,MATCH(B381,Destination!$A$2:$A$501,0)),"")</f>
        <v>Madurai</v>
      </c>
      <c r="D381" s="9" t="s">
        <v>470</v>
      </c>
      <c r="E381" s="9" t="str">
        <f aca="false">IFERROR(INDEX(Destination!$B$2:$B$501,MATCH(D381,Destination!$A$2:$A$501,0)),"")</f>
        <v>Karaikudi</v>
      </c>
      <c r="F381" s="9" t="s">
        <v>1364</v>
      </c>
      <c r="G381" s="12" t="n">
        <f aca="false">INDEX(Destination!$F$2:$F$501,MATCH(B381,Destination!$A$2:$A$501,0))</f>
        <v>9.93</v>
      </c>
      <c r="H381" s="12" t="n">
        <f aca="false">INDEX(Destination!$G$2:$G$501,MATCH(B381,Destination!$A$2:$A$501,0))</f>
        <v>78.12</v>
      </c>
      <c r="I381" s="12" t="n">
        <f aca="false">INDEX(Destination!$F$2:$F$501,MATCH(D381,Destination!$A$2:$A$501,0))</f>
        <v>10.07</v>
      </c>
      <c r="J381" s="12" t="n">
        <f aca="false">INDEX(Destination!$G$2:$G$501,MATCH(D381,Destination!$A$2:$A$501,0))</f>
        <v>78.78</v>
      </c>
      <c r="K381" s="17" t="n">
        <f aca="false">Assumptions!$B$2*2*ASIN(SQRT(SIN(RADIANS(I381-G381)/2)^2+COS(RADIANS(G381))*COS(RADIANS(I381))*SIN(RADIANS(J381-H381)/2)^2))</f>
        <v>73.9312215959099</v>
      </c>
      <c r="L381" s="18" t="n">
        <f aca="false">K381*Assumptions!$B$3</f>
        <v>96.1105880746829</v>
      </c>
      <c r="M381" s="19" t="n">
        <f aca="false">L381/Assumptions!$B$4</f>
        <v>2.13579084610406</v>
      </c>
      <c r="N381" s="9" t="s">
        <v>1365</v>
      </c>
    </row>
    <row r="382" customFormat="false" ht="15" hidden="false" customHeight="false" outlineLevel="0" collapsed="false">
      <c r="A382" s="9" t="s">
        <v>1745</v>
      </c>
      <c r="B382" s="9" t="s">
        <v>435</v>
      </c>
      <c r="C382" s="9" t="str">
        <f aca="false">IFERROR(INDEX(Destination!$B$2:$B$501,MATCH(B382,Destination!$A$2:$A$501,0)),"")</f>
        <v>Thanjavur</v>
      </c>
      <c r="D382" s="9" t="s">
        <v>437</v>
      </c>
      <c r="E382" s="9" t="str">
        <f aca="false">IFERROR(INDEX(Destination!$B$2:$B$501,MATCH(D382,Destination!$A$2:$A$501,0)),"")</f>
        <v>Trichy</v>
      </c>
      <c r="F382" s="9" t="s">
        <v>1364</v>
      </c>
      <c r="G382" s="12" t="n">
        <f aca="false">INDEX(Destination!$F$2:$F$501,MATCH(B382,Destination!$A$2:$A$501,0))</f>
        <v>10.79</v>
      </c>
      <c r="H382" s="12" t="n">
        <f aca="false">INDEX(Destination!$G$2:$G$501,MATCH(B382,Destination!$A$2:$A$501,0))</f>
        <v>79.14</v>
      </c>
      <c r="I382" s="12" t="n">
        <f aca="false">INDEX(Destination!$F$2:$F$501,MATCH(D382,Destination!$A$2:$A$501,0))</f>
        <v>10.79</v>
      </c>
      <c r="J382" s="12" t="n">
        <f aca="false">INDEX(Destination!$G$2:$G$501,MATCH(D382,Destination!$A$2:$A$501,0))</f>
        <v>78.7</v>
      </c>
      <c r="K382" s="17" t="n">
        <f aca="false">Assumptions!$B$2*2*ASIN(SQRT(SIN(RADIANS(I382-G382)/2)^2+COS(RADIANS(G382))*COS(RADIANS(I382))*SIN(RADIANS(J382-H382)/2)^2))</f>
        <v>48.0607530745134</v>
      </c>
      <c r="L382" s="18" t="n">
        <f aca="false">K382*Assumptions!$B$3</f>
        <v>62.4789789968674</v>
      </c>
      <c r="M382" s="19" t="n">
        <f aca="false">L382/Assumptions!$B$4</f>
        <v>1.38842175548594</v>
      </c>
      <c r="N382" s="9" t="s">
        <v>1365</v>
      </c>
    </row>
    <row r="383" customFormat="false" ht="15" hidden="false" customHeight="false" outlineLevel="0" collapsed="false">
      <c r="A383" s="9" t="s">
        <v>1746</v>
      </c>
      <c r="B383" s="9" t="s">
        <v>435</v>
      </c>
      <c r="C383" s="9" t="str">
        <f aca="false">IFERROR(INDEX(Destination!$B$2:$B$501,MATCH(B383,Destination!$A$2:$A$501,0)),"")</f>
        <v>Thanjavur</v>
      </c>
      <c r="D383" s="9" t="s">
        <v>453</v>
      </c>
      <c r="E383" s="9" t="str">
        <f aca="false">IFERROR(INDEX(Destination!$B$2:$B$501,MATCH(D383,Destination!$A$2:$A$501,0)),"")</f>
        <v>Kumbakonam</v>
      </c>
      <c r="F383" s="9" t="s">
        <v>1364</v>
      </c>
      <c r="G383" s="12" t="n">
        <f aca="false">INDEX(Destination!$F$2:$F$501,MATCH(B383,Destination!$A$2:$A$501,0))</f>
        <v>10.79</v>
      </c>
      <c r="H383" s="12" t="n">
        <f aca="false">INDEX(Destination!$G$2:$G$501,MATCH(B383,Destination!$A$2:$A$501,0))</f>
        <v>79.14</v>
      </c>
      <c r="I383" s="12" t="n">
        <f aca="false">INDEX(Destination!$F$2:$F$501,MATCH(D383,Destination!$A$2:$A$501,0))</f>
        <v>10.96</v>
      </c>
      <c r="J383" s="12" t="n">
        <f aca="false">INDEX(Destination!$G$2:$G$501,MATCH(D383,Destination!$A$2:$A$501,0))</f>
        <v>79.38</v>
      </c>
      <c r="K383" s="17" t="n">
        <f aca="false">Assumptions!$B$2*2*ASIN(SQRT(SIN(RADIANS(I383-G383)/2)^2+COS(RADIANS(G383))*COS(RADIANS(I383))*SIN(RADIANS(J383-H383)/2)^2))</f>
        <v>32.3134957302407</v>
      </c>
      <c r="L383" s="18" t="n">
        <f aca="false">K383*Assumptions!$B$3</f>
        <v>42.007544449313</v>
      </c>
      <c r="M383" s="19" t="n">
        <f aca="false">L383/Assumptions!$B$4</f>
        <v>0.93350098776251</v>
      </c>
      <c r="N383" s="9" t="s">
        <v>1365</v>
      </c>
    </row>
    <row r="384" customFormat="false" ht="15" hidden="false" customHeight="false" outlineLevel="0" collapsed="false">
      <c r="A384" s="9" t="s">
        <v>1747</v>
      </c>
      <c r="B384" s="9" t="s">
        <v>435</v>
      </c>
      <c r="C384" s="9" t="str">
        <f aca="false">IFERROR(INDEX(Destination!$B$2:$B$501,MATCH(B384,Destination!$A$2:$A$501,0)),"")</f>
        <v>Thanjavur</v>
      </c>
      <c r="D384" s="9" t="s">
        <v>457</v>
      </c>
      <c r="E384" s="9" t="str">
        <f aca="false">IFERROR(INDEX(Destination!$B$2:$B$501,MATCH(D384,Destination!$A$2:$A$501,0)),"")</f>
        <v>Srirangam</v>
      </c>
      <c r="F384" s="9" t="s">
        <v>1364</v>
      </c>
      <c r="G384" s="12" t="n">
        <f aca="false">INDEX(Destination!$F$2:$F$501,MATCH(B384,Destination!$A$2:$A$501,0))</f>
        <v>10.79</v>
      </c>
      <c r="H384" s="12" t="n">
        <f aca="false">INDEX(Destination!$G$2:$G$501,MATCH(B384,Destination!$A$2:$A$501,0))</f>
        <v>79.14</v>
      </c>
      <c r="I384" s="12" t="n">
        <f aca="false">INDEX(Destination!$F$2:$F$501,MATCH(D384,Destination!$A$2:$A$501,0))</f>
        <v>10.86</v>
      </c>
      <c r="J384" s="12" t="n">
        <f aca="false">INDEX(Destination!$G$2:$G$501,MATCH(D384,Destination!$A$2:$A$501,0))</f>
        <v>78.69</v>
      </c>
      <c r="K384" s="17" t="n">
        <f aca="false">Assumptions!$B$2*2*ASIN(SQRT(SIN(RADIANS(I384-G384)/2)^2+COS(RADIANS(G384))*COS(RADIANS(I384))*SIN(RADIANS(J384-H384)/2)^2))</f>
        <v>49.7598532274821</v>
      </c>
      <c r="L384" s="18" t="n">
        <f aca="false">K384*Assumptions!$B$3</f>
        <v>64.6878091957267</v>
      </c>
      <c r="M384" s="19" t="n">
        <f aca="false">L384/Assumptions!$B$4</f>
        <v>1.43750687101615</v>
      </c>
      <c r="N384" s="9" t="s">
        <v>1365</v>
      </c>
    </row>
    <row r="385" customFormat="false" ht="15" hidden="false" customHeight="false" outlineLevel="0" collapsed="false">
      <c r="A385" s="9" t="s">
        <v>1748</v>
      </c>
      <c r="B385" s="9" t="s">
        <v>437</v>
      </c>
      <c r="C385" s="9" t="str">
        <f aca="false">IFERROR(INDEX(Destination!$B$2:$B$501,MATCH(B385,Destination!$A$2:$A$501,0)),"")</f>
        <v>Trichy</v>
      </c>
      <c r="D385" s="9" t="s">
        <v>453</v>
      </c>
      <c r="E385" s="9" t="str">
        <f aca="false">IFERROR(INDEX(Destination!$B$2:$B$501,MATCH(D385,Destination!$A$2:$A$501,0)),"")</f>
        <v>Kumbakonam</v>
      </c>
      <c r="F385" s="9" t="s">
        <v>1364</v>
      </c>
      <c r="G385" s="12" t="n">
        <f aca="false">INDEX(Destination!$F$2:$F$501,MATCH(B385,Destination!$A$2:$A$501,0))</f>
        <v>10.79</v>
      </c>
      <c r="H385" s="12" t="n">
        <f aca="false">INDEX(Destination!$G$2:$G$501,MATCH(B385,Destination!$A$2:$A$501,0))</f>
        <v>78.7</v>
      </c>
      <c r="I385" s="12" t="n">
        <f aca="false">INDEX(Destination!$F$2:$F$501,MATCH(D385,Destination!$A$2:$A$501,0))</f>
        <v>10.96</v>
      </c>
      <c r="J385" s="12" t="n">
        <f aca="false">INDEX(Destination!$G$2:$G$501,MATCH(D385,Destination!$A$2:$A$501,0))</f>
        <v>79.38</v>
      </c>
      <c r="K385" s="17" t="n">
        <f aca="false">Assumptions!$B$2*2*ASIN(SQRT(SIN(RADIANS(I385-G385)/2)^2+COS(RADIANS(G385))*COS(RADIANS(I385))*SIN(RADIANS(J385-H385)/2)^2))</f>
        <v>76.6229239844908</v>
      </c>
      <c r="L385" s="18" t="n">
        <f aca="false">K385*Assumptions!$B$3</f>
        <v>99.6098011798381</v>
      </c>
      <c r="M385" s="19" t="n">
        <f aca="false">L385/Assumptions!$B$4</f>
        <v>2.21355113732973</v>
      </c>
      <c r="N385" s="9" t="s">
        <v>1365</v>
      </c>
    </row>
    <row r="386" customFormat="false" ht="15" hidden="false" customHeight="false" outlineLevel="0" collapsed="false">
      <c r="A386" s="9" t="s">
        <v>1749</v>
      </c>
      <c r="B386" s="9" t="s">
        <v>437</v>
      </c>
      <c r="C386" s="9" t="str">
        <f aca="false">IFERROR(INDEX(Destination!$B$2:$B$501,MATCH(B386,Destination!$A$2:$A$501,0)),"")</f>
        <v>Trichy</v>
      </c>
      <c r="D386" s="9" t="s">
        <v>467</v>
      </c>
      <c r="E386" s="9" t="str">
        <f aca="false">IFERROR(INDEX(Destination!$B$2:$B$501,MATCH(D386,Destination!$A$2:$A$501,0)),"")</f>
        <v>Chettinad</v>
      </c>
      <c r="F386" s="9" t="s">
        <v>1364</v>
      </c>
      <c r="G386" s="12" t="n">
        <f aca="false">INDEX(Destination!$F$2:$F$501,MATCH(B386,Destination!$A$2:$A$501,0))</f>
        <v>10.79</v>
      </c>
      <c r="H386" s="12" t="n">
        <f aca="false">INDEX(Destination!$G$2:$G$501,MATCH(B386,Destination!$A$2:$A$501,0))</f>
        <v>78.7</v>
      </c>
      <c r="I386" s="12" t="n">
        <f aca="false">INDEX(Destination!$F$2:$F$501,MATCH(D386,Destination!$A$2:$A$501,0))</f>
        <v>10.07</v>
      </c>
      <c r="J386" s="12" t="n">
        <f aca="false">INDEX(Destination!$G$2:$G$501,MATCH(D386,Destination!$A$2:$A$501,0))</f>
        <v>78.78</v>
      </c>
      <c r="K386" s="17" t="n">
        <f aca="false">Assumptions!$B$2*2*ASIN(SQRT(SIN(RADIANS(I386-G386)/2)^2+COS(RADIANS(G386))*COS(RADIANS(I386))*SIN(RADIANS(J386-H386)/2)^2))</f>
        <v>80.5369248767654</v>
      </c>
      <c r="L386" s="18" t="n">
        <f aca="false">K386*Assumptions!$B$3</f>
        <v>104.698002339795</v>
      </c>
      <c r="M386" s="19" t="n">
        <f aca="false">L386/Assumptions!$B$4</f>
        <v>2.32662227421767</v>
      </c>
      <c r="N386" s="9" t="s">
        <v>1365</v>
      </c>
    </row>
    <row r="387" customFormat="false" ht="15" hidden="false" customHeight="false" outlineLevel="0" collapsed="false">
      <c r="A387" s="9" t="s">
        <v>1750</v>
      </c>
      <c r="B387" s="9" t="s">
        <v>437</v>
      </c>
      <c r="C387" s="9" t="str">
        <f aca="false">IFERROR(INDEX(Destination!$B$2:$B$501,MATCH(B387,Destination!$A$2:$A$501,0)),"")</f>
        <v>Trichy</v>
      </c>
      <c r="D387" s="9" t="s">
        <v>470</v>
      </c>
      <c r="E387" s="9" t="str">
        <f aca="false">IFERROR(INDEX(Destination!$B$2:$B$501,MATCH(D387,Destination!$A$2:$A$501,0)),"")</f>
        <v>Karaikudi</v>
      </c>
      <c r="F387" s="9" t="s">
        <v>1364</v>
      </c>
      <c r="G387" s="12" t="n">
        <f aca="false">INDEX(Destination!$F$2:$F$501,MATCH(B387,Destination!$A$2:$A$501,0))</f>
        <v>10.79</v>
      </c>
      <c r="H387" s="12" t="n">
        <f aca="false">INDEX(Destination!$G$2:$G$501,MATCH(B387,Destination!$A$2:$A$501,0))</f>
        <v>78.7</v>
      </c>
      <c r="I387" s="12" t="n">
        <f aca="false">INDEX(Destination!$F$2:$F$501,MATCH(D387,Destination!$A$2:$A$501,0))</f>
        <v>10.07</v>
      </c>
      <c r="J387" s="12" t="n">
        <f aca="false">INDEX(Destination!$G$2:$G$501,MATCH(D387,Destination!$A$2:$A$501,0))</f>
        <v>78.78</v>
      </c>
      <c r="K387" s="17" t="n">
        <f aca="false">Assumptions!$B$2*2*ASIN(SQRT(SIN(RADIANS(I387-G387)/2)^2+COS(RADIANS(G387))*COS(RADIANS(I387))*SIN(RADIANS(J387-H387)/2)^2))</f>
        <v>80.5369248767654</v>
      </c>
      <c r="L387" s="18" t="n">
        <f aca="false">K387*Assumptions!$B$3</f>
        <v>104.698002339795</v>
      </c>
      <c r="M387" s="19" t="n">
        <f aca="false">L387/Assumptions!$B$4</f>
        <v>2.32662227421767</v>
      </c>
      <c r="N387" s="9" t="s">
        <v>1365</v>
      </c>
    </row>
    <row r="388" customFormat="false" ht="15" hidden="false" customHeight="false" outlineLevel="0" collapsed="false">
      <c r="A388" s="9" t="s">
        <v>1751</v>
      </c>
      <c r="B388" s="9" t="s">
        <v>439</v>
      </c>
      <c r="C388" s="9" t="str">
        <f aca="false">IFERROR(INDEX(Destination!$B$2:$B$501,MATCH(B388,Destination!$A$2:$A$501,0)),"")</f>
        <v>Kanyakumari</v>
      </c>
      <c r="D388" s="9" t="s">
        <v>451</v>
      </c>
      <c r="E388" s="9" t="str">
        <f aca="false">IFERROR(INDEX(Destination!$B$2:$B$501,MATCH(D388,Destination!$A$2:$A$501,0)),"")</f>
        <v>Tirunelveli</v>
      </c>
      <c r="F388" s="9" t="s">
        <v>1364</v>
      </c>
      <c r="G388" s="12" t="n">
        <f aca="false">INDEX(Destination!$F$2:$F$501,MATCH(B388,Destination!$A$2:$A$501,0))</f>
        <v>8.09</v>
      </c>
      <c r="H388" s="12" t="n">
        <f aca="false">INDEX(Destination!$G$2:$G$501,MATCH(B388,Destination!$A$2:$A$501,0))</f>
        <v>77.54</v>
      </c>
      <c r="I388" s="12" t="n">
        <f aca="false">INDEX(Destination!$F$2:$F$501,MATCH(D388,Destination!$A$2:$A$501,0))</f>
        <v>8.73</v>
      </c>
      <c r="J388" s="12" t="n">
        <f aca="false">INDEX(Destination!$G$2:$G$501,MATCH(D388,Destination!$A$2:$A$501,0))</f>
        <v>77.7</v>
      </c>
      <c r="K388" s="17" t="n">
        <f aca="false">Assumptions!$B$2*2*ASIN(SQRT(SIN(RADIANS(I388-G388)/2)^2+COS(RADIANS(G388))*COS(RADIANS(I388))*SIN(RADIANS(J388-H388)/2)^2))</f>
        <v>73.3087599919624</v>
      </c>
      <c r="L388" s="18" t="n">
        <f aca="false">K388*Assumptions!$B$3</f>
        <v>95.3013879895511</v>
      </c>
      <c r="M388" s="19" t="n">
        <f aca="false">L388/Assumptions!$B$4</f>
        <v>2.11780862199002</v>
      </c>
      <c r="N388" s="9" t="s">
        <v>1365</v>
      </c>
    </row>
    <row r="389" customFormat="false" ht="15" hidden="false" customHeight="false" outlineLevel="0" collapsed="false">
      <c r="A389" s="9" t="s">
        <v>1752</v>
      </c>
      <c r="B389" s="9" t="s">
        <v>439</v>
      </c>
      <c r="C389" s="9" t="str">
        <f aca="false">IFERROR(INDEX(Destination!$B$2:$B$501,MATCH(B389,Destination!$A$2:$A$501,0)),"")</f>
        <v>Kanyakumari</v>
      </c>
      <c r="D389" s="9" t="s">
        <v>486</v>
      </c>
      <c r="E389" s="9" t="str">
        <f aca="false">IFERROR(INDEX(Destination!$B$2:$B$501,MATCH(D389,Destination!$A$2:$A$501,0)),"")</f>
        <v>Tiruchendur</v>
      </c>
      <c r="F389" s="9" t="s">
        <v>1364</v>
      </c>
      <c r="G389" s="12" t="n">
        <f aca="false">INDEX(Destination!$F$2:$F$501,MATCH(B389,Destination!$A$2:$A$501,0))</f>
        <v>8.09</v>
      </c>
      <c r="H389" s="12" t="n">
        <f aca="false">INDEX(Destination!$G$2:$G$501,MATCH(B389,Destination!$A$2:$A$501,0))</f>
        <v>77.54</v>
      </c>
      <c r="I389" s="12" t="n">
        <f aca="false">INDEX(Destination!$F$2:$F$501,MATCH(D389,Destination!$A$2:$A$501,0))</f>
        <v>8.49</v>
      </c>
      <c r="J389" s="12" t="n">
        <f aca="false">INDEX(Destination!$G$2:$G$501,MATCH(D389,Destination!$A$2:$A$501,0))</f>
        <v>78.12</v>
      </c>
      <c r="K389" s="17" t="n">
        <f aca="false">Assumptions!$B$2*2*ASIN(SQRT(SIN(RADIANS(I389-G389)/2)^2+COS(RADIANS(G389))*COS(RADIANS(I389))*SIN(RADIANS(J389-H389)/2)^2))</f>
        <v>77.7891875142821</v>
      </c>
      <c r="L389" s="18" t="n">
        <f aca="false">K389*Assumptions!$B$3</f>
        <v>101.125943768567</v>
      </c>
      <c r="M389" s="19" t="n">
        <f aca="false">L389/Assumptions!$B$4</f>
        <v>2.24724319485704</v>
      </c>
      <c r="N389" s="9" t="s">
        <v>1365</v>
      </c>
    </row>
    <row r="390" customFormat="false" ht="15" hidden="false" customHeight="false" outlineLevel="0" collapsed="false">
      <c r="A390" s="9" t="s">
        <v>1753</v>
      </c>
      <c r="B390" s="9" t="s">
        <v>439</v>
      </c>
      <c r="C390" s="9" t="str">
        <f aca="false">IFERROR(INDEX(Destination!$B$2:$B$501,MATCH(B390,Destination!$A$2:$A$501,0)),"")</f>
        <v>Kanyakumari</v>
      </c>
      <c r="D390" s="9" t="s">
        <v>504</v>
      </c>
      <c r="E390" s="9" t="str">
        <f aca="false">IFERROR(INDEX(Destination!$B$2:$B$501,MATCH(D390,Destination!$A$2:$A$501,0)),"")</f>
        <v>Kovalam</v>
      </c>
      <c r="F390" s="9" t="s">
        <v>1364</v>
      </c>
      <c r="G390" s="12" t="n">
        <f aca="false">INDEX(Destination!$F$2:$F$501,MATCH(B390,Destination!$A$2:$A$501,0))</f>
        <v>8.09</v>
      </c>
      <c r="H390" s="12" t="n">
        <f aca="false">INDEX(Destination!$G$2:$G$501,MATCH(B390,Destination!$A$2:$A$501,0))</f>
        <v>77.54</v>
      </c>
      <c r="I390" s="12" t="n">
        <f aca="false">INDEX(Destination!$F$2:$F$501,MATCH(D390,Destination!$A$2:$A$501,0))</f>
        <v>8.4</v>
      </c>
      <c r="J390" s="12" t="n">
        <f aca="false">INDEX(Destination!$G$2:$G$501,MATCH(D390,Destination!$A$2:$A$501,0))</f>
        <v>76.98</v>
      </c>
      <c r="K390" s="17" t="n">
        <f aca="false">Assumptions!$B$2*2*ASIN(SQRT(SIN(RADIANS(I390-G390)/2)^2+COS(RADIANS(G390))*COS(RADIANS(I390))*SIN(RADIANS(J390-H390)/2)^2))</f>
        <v>70.6109548245996</v>
      </c>
      <c r="L390" s="18" t="n">
        <f aca="false">K390*Assumptions!$B$3</f>
        <v>91.7942412719795</v>
      </c>
      <c r="M390" s="19" t="n">
        <f aca="false">L390/Assumptions!$B$4</f>
        <v>2.03987202826621</v>
      </c>
      <c r="N390" s="9" t="s">
        <v>1365</v>
      </c>
    </row>
    <row r="391" customFormat="false" ht="15" hidden="false" customHeight="false" outlineLevel="0" collapsed="false">
      <c r="A391" s="9" t="s">
        <v>1754</v>
      </c>
      <c r="B391" s="9" t="s">
        <v>439</v>
      </c>
      <c r="C391" s="9" t="str">
        <f aca="false">IFERROR(INDEX(Destination!$B$2:$B$501,MATCH(B391,Destination!$A$2:$A$501,0)),"")</f>
        <v>Kanyakumari</v>
      </c>
      <c r="D391" s="9" t="s">
        <v>529</v>
      </c>
      <c r="E391" s="9" t="str">
        <f aca="false">IFERROR(INDEX(Destination!$B$2:$B$501,MATCH(D391,Destination!$A$2:$A$501,0)),"")</f>
        <v>Poovar</v>
      </c>
      <c r="F391" s="9" t="s">
        <v>1364</v>
      </c>
      <c r="G391" s="12" t="n">
        <f aca="false">INDEX(Destination!$F$2:$F$501,MATCH(B391,Destination!$A$2:$A$501,0))</f>
        <v>8.09</v>
      </c>
      <c r="H391" s="12" t="n">
        <f aca="false">INDEX(Destination!$G$2:$G$501,MATCH(B391,Destination!$A$2:$A$501,0))</f>
        <v>77.54</v>
      </c>
      <c r="I391" s="12" t="n">
        <f aca="false">INDEX(Destination!$F$2:$F$501,MATCH(D391,Destination!$A$2:$A$501,0))</f>
        <v>8.32</v>
      </c>
      <c r="J391" s="12" t="n">
        <f aca="false">INDEX(Destination!$G$2:$G$501,MATCH(D391,Destination!$A$2:$A$501,0))</f>
        <v>77.07</v>
      </c>
      <c r="K391" s="17" t="n">
        <f aca="false">Assumptions!$B$2*2*ASIN(SQRT(SIN(RADIANS(I391-G391)/2)^2+COS(RADIANS(G391))*COS(RADIANS(I391))*SIN(RADIANS(J391-H391)/2)^2))</f>
        <v>57.7036802677978</v>
      </c>
      <c r="L391" s="18" t="n">
        <f aca="false">K391*Assumptions!$B$3</f>
        <v>75.0147843481371</v>
      </c>
      <c r="M391" s="19" t="n">
        <f aca="false">L391/Assumptions!$B$4</f>
        <v>1.66699520773638</v>
      </c>
      <c r="N391" s="9" t="s">
        <v>1365</v>
      </c>
    </row>
    <row r="392" customFormat="false" ht="15" hidden="false" customHeight="false" outlineLevel="0" collapsed="false">
      <c r="A392" s="9" t="s">
        <v>1755</v>
      </c>
      <c r="B392" s="9" t="s">
        <v>441</v>
      </c>
      <c r="C392" s="9" t="str">
        <f aca="false">IFERROR(INDEX(Destination!$B$2:$B$501,MATCH(B392,Destination!$A$2:$A$501,0)),"")</f>
        <v>Ooty</v>
      </c>
      <c r="D392" s="9" t="s">
        <v>443</v>
      </c>
      <c r="E392" s="9" t="str">
        <f aca="false">IFERROR(INDEX(Destination!$B$2:$B$501,MATCH(D392,Destination!$A$2:$A$501,0)),"")</f>
        <v>Coonoor</v>
      </c>
      <c r="F392" s="9" t="s">
        <v>1364</v>
      </c>
      <c r="G392" s="12" t="n">
        <f aca="false">INDEX(Destination!$F$2:$F$501,MATCH(B392,Destination!$A$2:$A$501,0))</f>
        <v>11.41</v>
      </c>
      <c r="H392" s="12" t="n">
        <f aca="false">INDEX(Destination!$G$2:$G$501,MATCH(B392,Destination!$A$2:$A$501,0))</f>
        <v>76.7</v>
      </c>
      <c r="I392" s="12" t="n">
        <f aca="false">INDEX(Destination!$F$2:$F$501,MATCH(D392,Destination!$A$2:$A$501,0))</f>
        <v>11.35</v>
      </c>
      <c r="J392" s="12" t="n">
        <f aca="false">INDEX(Destination!$G$2:$G$501,MATCH(D392,Destination!$A$2:$A$501,0))</f>
        <v>76.8</v>
      </c>
      <c r="K392" s="17" t="n">
        <f aca="false">Assumptions!$B$2*2*ASIN(SQRT(SIN(RADIANS(I392-G392)/2)^2+COS(RADIANS(G392))*COS(RADIANS(I392))*SIN(RADIANS(J392-H392)/2)^2))</f>
        <v>12.7804849398339</v>
      </c>
      <c r="L392" s="18" t="n">
        <f aca="false">K392*Assumptions!$B$3</f>
        <v>16.614630421784</v>
      </c>
      <c r="M392" s="19" t="n">
        <f aca="false">L392/Assumptions!$B$4</f>
        <v>0.369214009372979</v>
      </c>
      <c r="N392" s="9" t="s">
        <v>1365</v>
      </c>
    </row>
    <row r="393" customFormat="false" ht="15" hidden="false" customHeight="false" outlineLevel="0" collapsed="false">
      <c r="A393" s="9" t="s">
        <v>1756</v>
      </c>
      <c r="B393" s="9" t="s">
        <v>441</v>
      </c>
      <c r="C393" s="9" t="str">
        <f aca="false">IFERROR(INDEX(Destination!$B$2:$B$501,MATCH(B393,Destination!$A$2:$A$501,0)),"")</f>
        <v>Ooty</v>
      </c>
      <c r="D393" s="9" t="s">
        <v>449</v>
      </c>
      <c r="E393" s="9" t="str">
        <f aca="false">IFERROR(INDEX(Destination!$B$2:$B$501,MATCH(D393,Destination!$A$2:$A$501,0)),"")</f>
        <v>Coimbatore</v>
      </c>
      <c r="F393" s="9" t="s">
        <v>1364</v>
      </c>
      <c r="G393" s="12" t="n">
        <f aca="false">INDEX(Destination!$F$2:$F$501,MATCH(B393,Destination!$A$2:$A$501,0))</f>
        <v>11.41</v>
      </c>
      <c r="H393" s="12" t="n">
        <f aca="false">INDEX(Destination!$G$2:$G$501,MATCH(B393,Destination!$A$2:$A$501,0))</f>
        <v>76.7</v>
      </c>
      <c r="I393" s="12" t="n">
        <f aca="false">INDEX(Destination!$F$2:$F$501,MATCH(D393,Destination!$A$2:$A$501,0))</f>
        <v>11.02</v>
      </c>
      <c r="J393" s="12" t="n">
        <f aca="false">INDEX(Destination!$G$2:$G$501,MATCH(D393,Destination!$A$2:$A$501,0))</f>
        <v>76.96</v>
      </c>
      <c r="K393" s="17" t="n">
        <f aca="false">Assumptions!$B$2*2*ASIN(SQRT(SIN(RADIANS(I393-G393)/2)^2+COS(RADIANS(G393))*COS(RADIANS(I393))*SIN(RADIANS(J393-H393)/2)^2))</f>
        <v>51.8152397667585</v>
      </c>
      <c r="L393" s="18" t="n">
        <f aca="false">K393*Assumptions!$B$3</f>
        <v>67.3598116967861</v>
      </c>
      <c r="M393" s="19" t="n">
        <f aca="false">L393/Assumptions!$B$4</f>
        <v>1.49688470437302</v>
      </c>
      <c r="N393" s="9" t="s">
        <v>1365</v>
      </c>
    </row>
    <row r="394" customFormat="false" ht="15" hidden="false" customHeight="false" outlineLevel="0" collapsed="false">
      <c r="A394" s="9" t="s">
        <v>1757</v>
      </c>
      <c r="B394" s="9" t="s">
        <v>441</v>
      </c>
      <c r="C394" s="9" t="str">
        <f aca="false">IFERROR(INDEX(Destination!$B$2:$B$501,MATCH(B394,Destination!$A$2:$A$501,0)),"")</f>
        <v>Ooty</v>
      </c>
      <c r="D394" s="9" t="s">
        <v>476</v>
      </c>
      <c r="E394" s="9" t="str">
        <f aca="false">IFERROR(INDEX(Destination!$B$2:$B$501,MATCH(D394,Destination!$A$2:$A$501,0)),"")</f>
        <v>Mudumalai</v>
      </c>
      <c r="F394" s="9" t="s">
        <v>1364</v>
      </c>
      <c r="G394" s="12" t="n">
        <f aca="false">INDEX(Destination!$F$2:$F$501,MATCH(B394,Destination!$A$2:$A$501,0))</f>
        <v>11.41</v>
      </c>
      <c r="H394" s="12" t="n">
        <f aca="false">INDEX(Destination!$G$2:$G$501,MATCH(B394,Destination!$A$2:$A$501,0))</f>
        <v>76.7</v>
      </c>
      <c r="I394" s="12" t="n">
        <f aca="false">INDEX(Destination!$F$2:$F$501,MATCH(D394,Destination!$A$2:$A$501,0))</f>
        <v>11.57</v>
      </c>
      <c r="J394" s="12" t="n">
        <f aca="false">INDEX(Destination!$G$2:$G$501,MATCH(D394,Destination!$A$2:$A$501,0))</f>
        <v>76.53</v>
      </c>
      <c r="K394" s="17" t="n">
        <f aca="false">Assumptions!$B$2*2*ASIN(SQRT(SIN(RADIANS(I394-G394)/2)^2+COS(RADIANS(G394))*COS(RADIANS(I394))*SIN(RADIANS(J394-H394)/2)^2))</f>
        <v>25.684161282109</v>
      </c>
      <c r="L394" s="18" t="n">
        <f aca="false">K394*Assumptions!$B$3</f>
        <v>33.3894096667417</v>
      </c>
      <c r="M394" s="19" t="n">
        <f aca="false">L394/Assumptions!$B$4</f>
        <v>0.741986881483148</v>
      </c>
      <c r="N394" s="9" t="s">
        <v>1365</v>
      </c>
    </row>
    <row r="395" customFormat="false" ht="15" hidden="false" customHeight="false" outlineLevel="0" collapsed="false">
      <c r="A395" s="9" t="s">
        <v>1758</v>
      </c>
      <c r="B395" s="9" t="s">
        <v>441</v>
      </c>
      <c r="C395" s="9" t="str">
        <f aca="false">IFERROR(INDEX(Destination!$B$2:$B$501,MATCH(B395,Destination!$A$2:$A$501,0)),"")</f>
        <v>Ooty</v>
      </c>
      <c r="D395" s="9" t="s">
        <v>533</v>
      </c>
      <c r="E395" s="9" t="str">
        <f aca="false">IFERROR(INDEX(Destination!$B$2:$B$501,MATCH(D395,Destination!$A$2:$A$501,0)),"")</f>
        <v>Silent Valley</v>
      </c>
      <c r="F395" s="9" t="s">
        <v>1364</v>
      </c>
      <c r="G395" s="12" t="n">
        <f aca="false">INDEX(Destination!$F$2:$F$501,MATCH(B395,Destination!$A$2:$A$501,0))</f>
        <v>11.41</v>
      </c>
      <c r="H395" s="12" t="n">
        <f aca="false">INDEX(Destination!$G$2:$G$501,MATCH(B395,Destination!$A$2:$A$501,0))</f>
        <v>76.7</v>
      </c>
      <c r="I395" s="12" t="n">
        <f aca="false">INDEX(Destination!$F$2:$F$501,MATCH(D395,Destination!$A$2:$A$501,0))</f>
        <v>11.08</v>
      </c>
      <c r="J395" s="12" t="n">
        <f aca="false">INDEX(Destination!$G$2:$G$501,MATCH(D395,Destination!$A$2:$A$501,0))</f>
        <v>76.44</v>
      </c>
      <c r="K395" s="17" t="n">
        <f aca="false">Assumptions!$B$2*2*ASIN(SQRT(SIN(RADIANS(I395-G395)/2)^2+COS(RADIANS(G395))*COS(RADIANS(I395))*SIN(RADIANS(J395-H395)/2)^2))</f>
        <v>46.373641180202</v>
      </c>
      <c r="L395" s="18" t="n">
        <f aca="false">K395*Assumptions!$B$3</f>
        <v>60.2857335342626</v>
      </c>
      <c r="M395" s="19" t="n">
        <f aca="false">L395/Assumptions!$B$4</f>
        <v>1.33968296742806</v>
      </c>
      <c r="N395" s="9" t="s">
        <v>1365</v>
      </c>
    </row>
    <row r="396" customFormat="false" ht="15" hidden="false" customHeight="false" outlineLevel="0" collapsed="false">
      <c r="A396" s="9" t="s">
        <v>1759</v>
      </c>
      <c r="B396" s="9" t="s">
        <v>443</v>
      </c>
      <c r="C396" s="9" t="str">
        <f aca="false">IFERROR(INDEX(Destination!$B$2:$B$501,MATCH(B396,Destination!$A$2:$A$501,0)),"")</f>
        <v>Coonoor</v>
      </c>
      <c r="D396" s="9" t="s">
        <v>449</v>
      </c>
      <c r="E396" s="9" t="str">
        <f aca="false">IFERROR(INDEX(Destination!$B$2:$B$501,MATCH(D396,Destination!$A$2:$A$501,0)),"")</f>
        <v>Coimbatore</v>
      </c>
      <c r="F396" s="9" t="s">
        <v>1364</v>
      </c>
      <c r="G396" s="12" t="n">
        <f aca="false">INDEX(Destination!$F$2:$F$501,MATCH(B396,Destination!$A$2:$A$501,0))</f>
        <v>11.35</v>
      </c>
      <c r="H396" s="12" t="n">
        <f aca="false">INDEX(Destination!$G$2:$G$501,MATCH(B396,Destination!$A$2:$A$501,0))</f>
        <v>76.8</v>
      </c>
      <c r="I396" s="12" t="n">
        <f aca="false">INDEX(Destination!$F$2:$F$501,MATCH(D396,Destination!$A$2:$A$501,0))</f>
        <v>11.02</v>
      </c>
      <c r="J396" s="12" t="n">
        <f aca="false">INDEX(Destination!$G$2:$G$501,MATCH(D396,Destination!$A$2:$A$501,0))</f>
        <v>76.96</v>
      </c>
      <c r="K396" s="17" t="n">
        <f aca="false">Assumptions!$B$2*2*ASIN(SQRT(SIN(RADIANS(I396-G396)/2)^2+COS(RADIANS(G396))*COS(RADIANS(I396))*SIN(RADIANS(J396-H396)/2)^2))</f>
        <v>40.6335938523229</v>
      </c>
      <c r="L396" s="18" t="n">
        <f aca="false">K396*Assumptions!$B$3</f>
        <v>52.8236720080198</v>
      </c>
      <c r="M396" s="19" t="n">
        <f aca="false">L396/Assumptions!$B$4</f>
        <v>1.17385937795599</v>
      </c>
      <c r="N396" s="9" t="s">
        <v>1365</v>
      </c>
    </row>
    <row r="397" customFormat="false" ht="15" hidden="false" customHeight="false" outlineLevel="0" collapsed="false">
      <c r="A397" s="9" t="s">
        <v>1760</v>
      </c>
      <c r="B397" s="9" t="s">
        <v>443</v>
      </c>
      <c r="C397" s="9" t="str">
        <f aca="false">IFERROR(INDEX(Destination!$B$2:$B$501,MATCH(B397,Destination!$A$2:$A$501,0)),"")</f>
        <v>Coonoor</v>
      </c>
      <c r="D397" s="9" t="s">
        <v>476</v>
      </c>
      <c r="E397" s="9" t="str">
        <f aca="false">IFERROR(INDEX(Destination!$B$2:$B$501,MATCH(D397,Destination!$A$2:$A$501,0)),"")</f>
        <v>Mudumalai</v>
      </c>
      <c r="F397" s="9" t="s">
        <v>1364</v>
      </c>
      <c r="G397" s="12" t="n">
        <f aca="false">INDEX(Destination!$F$2:$F$501,MATCH(B397,Destination!$A$2:$A$501,0))</f>
        <v>11.35</v>
      </c>
      <c r="H397" s="12" t="n">
        <f aca="false">INDEX(Destination!$G$2:$G$501,MATCH(B397,Destination!$A$2:$A$501,0))</f>
        <v>76.8</v>
      </c>
      <c r="I397" s="12" t="n">
        <f aca="false">INDEX(Destination!$F$2:$F$501,MATCH(D397,Destination!$A$2:$A$501,0))</f>
        <v>11.57</v>
      </c>
      <c r="J397" s="12" t="n">
        <f aca="false">INDEX(Destination!$G$2:$G$501,MATCH(D397,Destination!$A$2:$A$501,0))</f>
        <v>76.53</v>
      </c>
      <c r="K397" s="17" t="n">
        <f aca="false">Assumptions!$B$2*2*ASIN(SQRT(SIN(RADIANS(I397-G397)/2)^2+COS(RADIANS(G397))*COS(RADIANS(I397))*SIN(RADIANS(J397-H397)/2)^2))</f>
        <v>38.2649763640493</v>
      </c>
      <c r="L397" s="18" t="n">
        <f aca="false">K397*Assumptions!$B$3</f>
        <v>49.7444692732641</v>
      </c>
      <c r="M397" s="19" t="n">
        <f aca="false">L397/Assumptions!$B$4</f>
        <v>1.10543265051698</v>
      </c>
      <c r="N397" s="9" t="s">
        <v>1365</v>
      </c>
    </row>
    <row r="398" customFormat="false" ht="15" hidden="false" customHeight="false" outlineLevel="0" collapsed="false">
      <c r="A398" s="9" t="s">
        <v>1761</v>
      </c>
      <c r="B398" s="9" t="s">
        <v>443</v>
      </c>
      <c r="C398" s="9" t="str">
        <f aca="false">IFERROR(INDEX(Destination!$B$2:$B$501,MATCH(B398,Destination!$A$2:$A$501,0)),"")</f>
        <v>Coonoor</v>
      </c>
      <c r="D398" s="9" t="s">
        <v>533</v>
      </c>
      <c r="E398" s="9" t="str">
        <f aca="false">IFERROR(INDEX(Destination!$B$2:$B$501,MATCH(D398,Destination!$A$2:$A$501,0)),"")</f>
        <v>Silent Valley</v>
      </c>
      <c r="F398" s="9" t="s">
        <v>1364</v>
      </c>
      <c r="G398" s="12" t="n">
        <f aca="false">INDEX(Destination!$F$2:$F$501,MATCH(B398,Destination!$A$2:$A$501,0))</f>
        <v>11.35</v>
      </c>
      <c r="H398" s="12" t="n">
        <f aca="false">INDEX(Destination!$G$2:$G$501,MATCH(B398,Destination!$A$2:$A$501,0))</f>
        <v>76.8</v>
      </c>
      <c r="I398" s="12" t="n">
        <f aca="false">INDEX(Destination!$F$2:$F$501,MATCH(D398,Destination!$A$2:$A$501,0))</f>
        <v>11.08</v>
      </c>
      <c r="J398" s="12" t="n">
        <f aca="false">INDEX(Destination!$G$2:$G$501,MATCH(D398,Destination!$A$2:$A$501,0))</f>
        <v>76.44</v>
      </c>
      <c r="K398" s="17" t="n">
        <f aca="false">Assumptions!$B$2*2*ASIN(SQRT(SIN(RADIANS(I398-G398)/2)^2+COS(RADIANS(G398))*COS(RADIANS(I398))*SIN(RADIANS(J398-H398)/2)^2))</f>
        <v>49.4282864262612</v>
      </c>
      <c r="L398" s="18" t="n">
        <f aca="false">K398*Assumptions!$B$3</f>
        <v>64.2567723541396</v>
      </c>
      <c r="M398" s="19" t="n">
        <f aca="false">L398/Assumptions!$B$4</f>
        <v>1.42792827453644</v>
      </c>
      <c r="N398" s="9" t="s">
        <v>1365</v>
      </c>
    </row>
    <row r="399" customFormat="false" ht="15" hidden="false" customHeight="false" outlineLevel="0" collapsed="false">
      <c r="A399" s="9" t="s">
        <v>1762</v>
      </c>
      <c r="B399" s="9" t="s">
        <v>445</v>
      </c>
      <c r="C399" s="9" t="str">
        <f aca="false">IFERROR(INDEX(Destination!$B$2:$B$501,MATCH(B399,Destination!$A$2:$A$501,0)),"")</f>
        <v>Kodaikanal</v>
      </c>
      <c r="D399" s="9" t="s">
        <v>478</v>
      </c>
      <c r="E399" s="9" t="str">
        <f aca="false">IFERROR(INDEX(Destination!$B$2:$B$501,MATCH(D399,Destination!$A$2:$A$501,0)),"")</f>
        <v>Valparai</v>
      </c>
      <c r="F399" s="9" t="s">
        <v>1364</v>
      </c>
      <c r="G399" s="12" t="n">
        <f aca="false">INDEX(Destination!$F$2:$F$501,MATCH(B399,Destination!$A$2:$A$501,0))</f>
        <v>10.24</v>
      </c>
      <c r="H399" s="12" t="n">
        <f aca="false">INDEX(Destination!$G$2:$G$501,MATCH(B399,Destination!$A$2:$A$501,0))</f>
        <v>77.49</v>
      </c>
      <c r="I399" s="12" t="n">
        <f aca="false">INDEX(Destination!$F$2:$F$501,MATCH(D399,Destination!$A$2:$A$501,0))</f>
        <v>10.33</v>
      </c>
      <c r="J399" s="12" t="n">
        <f aca="false">INDEX(Destination!$G$2:$G$501,MATCH(D399,Destination!$A$2:$A$501,0))</f>
        <v>76.96</v>
      </c>
      <c r="K399" s="17" t="n">
        <f aca="false">Assumptions!$B$2*2*ASIN(SQRT(SIN(RADIANS(I399-G399)/2)^2+COS(RADIANS(G399))*COS(RADIANS(I399))*SIN(RADIANS(J399-H399)/2)^2))</f>
        <v>58.843583487879</v>
      </c>
      <c r="L399" s="18" t="n">
        <f aca="false">K399*Assumptions!$B$3</f>
        <v>76.4966585342427</v>
      </c>
      <c r="M399" s="19" t="n">
        <f aca="false">L399/Assumptions!$B$4</f>
        <v>1.69992574520539</v>
      </c>
      <c r="N399" s="9" t="s">
        <v>1365</v>
      </c>
    </row>
    <row r="400" customFormat="false" ht="15" hidden="false" customHeight="false" outlineLevel="0" collapsed="false">
      <c r="A400" s="9" t="s">
        <v>1763</v>
      </c>
      <c r="B400" s="9" t="s">
        <v>445</v>
      </c>
      <c r="C400" s="9" t="str">
        <f aca="false">IFERROR(INDEX(Destination!$B$2:$B$501,MATCH(B400,Destination!$A$2:$A$501,0)),"")</f>
        <v>Kodaikanal</v>
      </c>
      <c r="D400" s="9" t="s">
        <v>488</v>
      </c>
      <c r="E400" s="9" t="str">
        <f aca="false">IFERROR(INDEX(Destination!$B$2:$B$501,MATCH(D400,Destination!$A$2:$A$501,0)),"")</f>
        <v>Palani</v>
      </c>
      <c r="F400" s="9" t="s">
        <v>1364</v>
      </c>
      <c r="G400" s="12" t="n">
        <f aca="false">INDEX(Destination!$F$2:$F$501,MATCH(B400,Destination!$A$2:$A$501,0))</f>
        <v>10.24</v>
      </c>
      <c r="H400" s="12" t="n">
        <f aca="false">INDEX(Destination!$G$2:$G$501,MATCH(B400,Destination!$A$2:$A$501,0))</f>
        <v>77.49</v>
      </c>
      <c r="I400" s="12" t="n">
        <f aca="false">INDEX(Destination!$F$2:$F$501,MATCH(D400,Destination!$A$2:$A$501,0))</f>
        <v>10.45</v>
      </c>
      <c r="J400" s="12" t="n">
        <f aca="false">INDEX(Destination!$G$2:$G$501,MATCH(D400,Destination!$A$2:$A$501,0))</f>
        <v>77.52</v>
      </c>
      <c r="K400" s="17" t="n">
        <f aca="false">Assumptions!$B$2*2*ASIN(SQRT(SIN(RADIANS(I400-G400)/2)^2+COS(RADIANS(G400))*COS(RADIANS(I400))*SIN(RADIANS(J400-H400)/2)^2))</f>
        <v>23.5803980324474</v>
      </c>
      <c r="L400" s="18" t="n">
        <f aca="false">K400*Assumptions!$B$3</f>
        <v>30.6545174421816</v>
      </c>
      <c r="M400" s="19" t="n">
        <f aca="false">L400/Assumptions!$B$4</f>
        <v>0.681211498715147</v>
      </c>
      <c r="N400" s="9" t="s">
        <v>1365</v>
      </c>
    </row>
    <row r="401" customFormat="false" ht="15" hidden="false" customHeight="false" outlineLevel="0" collapsed="false">
      <c r="A401" s="9" t="s">
        <v>1764</v>
      </c>
      <c r="B401" s="9" t="s">
        <v>447</v>
      </c>
      <c r="C401" s="9" t="str">
        <f aca="false">IFERROR(INDEX(Destination!$B$2:$B$501,MATCH(B401,Destination!$A$2:$A$501,0)),"")</f>
        <v>Yercaud</v>
      </c>
      <c r="D401" s="9" t="s">
        <v>461</v>
      </c>
      <c r="E401" s="9" t="str">
        <f aca="false">IFERROR(INDEX(Destination!$B$2:$B$501,MATCH(D401,Destination!$A$2:$A$501,0)),"")</f>
        <v>Tiruvannamalai</v>
      </c>
      <c r="F401" s="9" t="s">
        <v>1364</v>
      </c>
      <c r="G401" s="12" t="n">
        <f aca="false">INDEX(Destination!$F$2:$F$501,MATCH(B401,Destination!$A$2:$A$501,0))</f>
        <v>11.78</v>
      </c>
      <c r="H401" s="12" t="n">
        <f aca="false">INDEX(Destination!$G$2:$G$501,MATCH(B401,Destination!$A$2:$A$501,0))</f>
        <v>78.21</v>
      </c>
      <c r="I401" s="12" t="n">
        <f aca="false">INDEX(Destination!$F$2:$F$501,MATCH(D401,Destination!$A$2:$A$501,0))</f>
        <v>12.23</v>
      </c>
      <c r="J401" s="12" t="n">
        <f aca="false">INDEX(Destination!$G$2:$G$501,MATCH(D401,Destination!$A$2:$A$501,0))</f>
        <v>79.07</v>
      </c>
      <c r="K401" s="17" t="n">
        <f aca="false">Assumptions!$B$2*2*ASIN(SQRT(SIN(RADIANS(I401-G401)/2)^2+COS(RADIANS(G401))*COS(RADIANS(I401))*SIN(RADIANS(J401-H401)/2)^2))</f>
        <v>106.078919618018</v>
      </c>
      <c r="L401" s="18" t="n">
        <f aca="false">K401*Assumptions!$B$3</f>
        <v>137.902595503424</v>
      </c>
      <c r="M401" s="19" t="n">
        <f aca="false">L401/Assumptions!$B$4</f>
        <v>3.0645021222983</v>
      </c>
      <c r="N401" s="9" t="s">
        <v>1365</v>
      </c>
    </row>
    <row r="402" customFormat="false" ht="15" hidden="false" customHeight="false" outlineLevel="0" collapsed="false">
      <c r="A402" s="9" t="s">
        <v>1765</v>
      </c>
      <c r="B402" s="9" t="s">
        <v>447</v>
      </c>
      <c r="C402" s="9" t="str">
        <f aca="false">IFERROR(INDEX(Destination!$B$2:$B$501,MATCH(B402,Destination!$A$2:$A$501,0)),"")</f>
        <v>Yercaud</v>
      </c>
      <c r="D402" s="9" t="s">
        <v>490</v>
      </c>
      <c r="E402" s="9" t="str">
        <f aca="false">IFERROR(INDEX(Destination!$B$2:$B$501,MATCH(D402,Destination!$A$2:$A$501,0)),"")</f>
        <v>Sathanur</v>
      </c>
      <c r="F402" s="9" t="s">
        <v>1364</v>
      </c>
      <c r="G402" s="12" t="n">
        <f aca="false">INDEX(Destination!$F$2:$F$501,MATCH(B402,Destination!$A$2:$A$501,0))</f>
        <v>11.78</v>
      </c>
      <c r="H402" s="12" t="n">
        <f aca="false">INDEX(Destination!$G$2:$G$501,MATCH(B402,Destination!$A$2:$A$501,0))</f>
        <v>78.21</v>
      </c>
      <c r="I402" s="12" t="n">
        <f aca="false">INDEX(Destination!$F$2:$F$501,MATCH(D402,Destination!$A$2:$A$501,0))</f>
        <v>12.18</v>
      </c>
      <c r="J402" s="12" t="n">
        <f aca="false">INDEX(Destination!$G$2:$G$501,MATCH(D402,Destination!$A$2:$A$501,0))</f>
        <v>78.85</v>
      </c>
      <c r="K402" s="17" t="n">
        <f aca="false">Assumptions!$B$2*2*ASIN(SQRT(SIN(RADIANS(I402-G402)/2)^2+COS(RADIANS(G402))*COS(RADIANS(I402))*SIN(RADIANS(J402-H402)/2)^2))</f>
        <v>82.6104397963158</v>
      </c>
      <c r="L402" s="18" t="n">
        <f aca="false">K402*Assumptions!$B$3</f>
        <v>107.393571735211</v>
      </c>
      <c r="M402" s="19" t="n">
        <f aca="false">L402/Assumptions!$B$4</f>
        <v>2.38652381633801</v>
      </c>
      <c r="N402" s="9" t="s">
        <v>1365</v>
      </c>
    </row>
    <row r="403" customFormat="false" ht="15" hidden="false" customHeight="false" outlineLevel="0" collapsed="false">
      <c r="A403" s="9" t="s">
        <v>1766</v>
      </c>
      <c r="B403" s="9" t="s">
        <v>447</v>
      </c>
      <c r="C403" s="9" t="str">
        <f aca="false">IFERROR(INDEX(Destination!$B$2:$B$501,MATCH(B403,Destination!$A$2:$A$501,0)),"")</f>
        <v>Yercaud</v>
      </c>
      <c r="D403" s="9" t="s">
        <v>492</v>
      </c>
      <c r="E403" s="9" t="str">
        <f aca="false">IFERROR(INDEX(Destination!$B$2:$B$501,MATCH(D403,Destination!$A$2:$A$501,0)),"")</f>
        <v>Yelagiri</v>
      </c>
      <c r="F403" s="9" t="s">
        <v>1364</v>
      </c>
      <c r="G403" s="12" t="n">
        <f aca="false">INDEX(Destination!$F$2:$F$501,MATCH(B403,Destination!$A$2:$A$501,0))</f>
        <v>11.78</v>
      </c>
      <c r="H403" s="12" t="n">
        <f aca="false">INDEX(Destination!$G$2:$G$501,MATCH(B403,Destination!$A$2:$A$501,0))</f>
        <v>78.21</v>
      </c>
      <c r="I403" s="12" t="n">
        <f aca="false">INDEX(Destination!$F$2:$F$501,MATCH(D403,Destination!$A$2:$A$501,0))</f>
        <v>12.58</v>
      </c>
      <c r="J403" s="12" t="n">
        <f aca="false">INDEX(Destination!$G$2:$G$501,MATCH(D403,Destination!$A$2:$A$501,0))</f>
        <v>78.64</v>
      </c>
      <c r="K403" s="17" t="n">
        <f aca="false">Assumptions!$B$2*2*ASIN(SQRT(SIN(RADIANS(I403-G403)/2)^2+COS(RADIANS(G403))*COS(RADIANS(I403))*SIN(RADIANS(J403-H403)/2)^2))</f>
        <v>100.48638446076</v>
      </c>
      <c r="L403" s="18" t="n">
        <f aca="false">K403*Assumptions!$B$3</f>
        <v>130.632299798988</v>
      </c>
      <c r="M403" s="19" t="n">
        <f aca="false">L403/Assumptions!$B$4</f>
        <v>2.90293999553308</v>
      </c>
      <c r="N403" s="9" t="s">
        <v>1365</v>
      </c>
    </row>
    <row r="404" customFormat="false" ht="15" hidden="false" customHeight="false" outlineLevel="0" collapsed="false">
      <c r="A404" s="9" t="s">
        <v>1767</v>
      </c>
      <c r="B404" s="9" t="s">
        <v>449</v>
      </c>
      <c r="C404" s="9" t="str">
        <f aca="false">IFERROR(INDEX(Destination!$B$2:$B$501,MATCH(B404,Destination!$A$2:$A$501,0)),"")</f>
        <v>Coimbatore</v>
      </c>
      <c r="D404" s="9" t="s">
        <v>480</v>
      </c>
      <c r="E404" s="9" t="str">
        <f aca="false">IFERROR(INDEX(Destination!$B$2:$B$501,MATCH(D404,Destination!$A$2:$A$501,0)),"")</f>
        <v>Pollachi</v>
      </c>
      <c r="F404" s="9" t="s">
        <v>1364</v>
      </c>
      <c r="G404" s="12" t="n">
        <f aca="false">INDEX(Destination!$F$2:$F$501,MATCH(B404,Destination!$A$2:$A$501,0))</f>
        <v>11.02</v>
      </c>
      <c r="H404" s="12" t="n">
        <f aca="false">INDEX(Destination!$G$2:$G$501,MATCH(B404,Destination!$A$2:$A$501,0))</f>
        <v>76.96</v>
      </c>
      <c r="I404" s="12" t="n">
        <f aca="false">INDEX(Destination!$F$2:$F$501,MATCH(D404,Destination!$A$2:$A$501,0))</f>
        <v>10.66</v>
      </c>
      <c r="J404" s="12" t="n">
        <f aca="false">INDEX(Destination!$G$2:$G$501,MATCH(D404,Destination!$A$2:$A$501,0))</f>
        <v>77.01</v>
      </c>
      <c r="K404" s="17" t="n">
        <f aca="false">Assumptions!$B$2*2*ASIN(SQRT(SIN(RADIANS(I404-G404)/2)^2+COS(RADIANS(G404))*COS(RADIANS(I404))*SIN(RADIANS(J404-H404)/2)^2))</f>
        <v>40.4008932859771</v>
      </c>
      <c r="L404" s="18" t="n">
        <f aca="false">K404*Assumptions!$B$3</f>
        <v>52.5211612717703</v>
      </c>
      <c r="M404" s="19" t="n">
        <f aca="false">L404/Assumptions!$B$4</f>
        <v>1.16713691715045</v>
      </c>
      <c r="N404" s="9" t="s">
        <v>1365</v>
      </c>
    </row>
    <row r="405" customFormat="false" ht="15" hidden="false" customHeight="false" outlineLevel="0" collapsed="false">
      <c r="A405" s="9" t="s">
        <v>1768</v>
      </c>
      <c r="B405" s="9" t="s">
        <v>451</v>
      </c>
      <c r="C405" s="9" t="str">
        <f aca="false">IFERROR(INDEX(Destination!$B$2:$B$501,MATCH(B405,Destination!$A$2:$A$501,0)),"")</f>
        <v>Tirunelveli</v>
      </c>
      <c r="D405" s="9" t="s">
        <v>463</v>
      </c>
      <c r="E405" s="9" t="str">
        <f aca="false">IFERROR(INDEX(Destination!$B$2:$B$501,MATCH(D405,Destination!$A$2:$A$501,0)),"")</f>
        <v>Courtallam</v>
      </c>
      <c r="F405" s="9" t="s">
        <v>1364</v>
      </c>
      <c r="G405" s="12" t="n">
        <f aca="false">INDEX(Destination!$F$2:$F$501,MATCH(B405,Destination!$A$2:$A$501,0))</f>
        <v>8.73</v>
      </c>
      <c r="H405" s="12" t="n">
        <f aca="false">INDEX(Destination!$G$2:$G$501,MATCH(B405,Destination!$A$2:$A$501,0))</f>
        <v>77.7</v>
      </c>
      <c r="I405" s="12" t="n">
        <f aca="false">INDEX(Destination!$F$2:$F$501,MATCH(D405,Destination!$A$2:$A$501,0))</f>
        <v>8.93</v>
      </c>
      <c r="J405" s="12" t="n">
        <f aca="false">INDEX(Destination!$G$2:$G$501,MATCH(D405,Destination!$A$2:$A$501,0))</f>
        <v>77.27</v>
      </c>
      <c r="K405" s="17" t="n">
        <f aca="false">Assumptions!$B$2*2*ASIN(SQRT(SIN(RADIANS(I405-G405)/2)^2+COS(RADIANS(G405))*COS(RADIANS(I405))*SIN(RADIANS(J405-H405)/2)^2))</f>
        <v>52.2193607998357</v>
      </c>
      <c r="L405" s="18" t="n">
        <f aca="false">K405*Assumptions!$B$3</f>
        <v>67.8851690397864</v>
      </c>
      <c r="M405" s="19" t="n">
        <f aca="false">L405/Assumptions!$B$4</f>
        <v>1.50855931199525</v>
      </c>
      <c r="N405" s="9" t="s">
        <v>1365</v>
      </c>
    </row>
    <row r="406" customFormat="false" ht="15" hidden="false" customHeight="false" outlineLevel="0" collapsed="false">
      <c r="A406" s="9" t="s">
        <v>1769</v>
      </c>
      <c r="B406" s="9" t="s">
        <v>451</v>
      </c>
      <c r="C406" s="9" t="str">
        <f aca="false">IFERROR(INDEX(Destination!$B$2:$B$501,MATCH(B406,Destination!$A$2:$A$501,0)),"")</f>
        <v>Tirunelveli</v>
      </c>
      <c r="D406" s="9" t="s">
        <v>486</v>
      </c>
      <c r="E406" s="9" t="str">
        <f aca="false">IFERROR(INDEX(Destination!$B$2:$B$501,MATCH(D406,Destination!$A$2:$A$501,0)),"")</f>
        <v>Tiruchendur</v>
      </c>
      <c r="F406" s="9" t="s">
        <v>1364</v>
      </c>
      <c r="G406" s="12" t="n">
        <f aca="false">INDEX(Destination!$F$2:$F$501,MATCH(B406,Destination!$A$2:$A$501,0))</f>
        <v>8.73</v>
      </c>
      <c r="H406" s="12" t="n">
        <f aca="false">INDEX(Destination!$G$2:$G$501,MATCH(B406,Destination!$A$2:$A$501,0))</f>
        <v>77.7</v>
      </c>
      <c r="I406" s="12" t="n">
        <f aca="false">INDEX(Destination!$F$2:$F$501,MATCH(D406,Destination!$A$2:$A$501,0))</f>
        <v>8.49</v>
      </c>
      <c r="J406" s="12" t="n">
        <f aca="false">INDEX(Destination!$G$2:$G$501,MATCH(D406,Destination!$A$2:$A$501,0))</f>
        <v>78.12</v>
      </c>
      <c r="K406" s="17" t="n">
        <f aca="false">Assumptions!$B$2*2*ASIN(SQRT(SIN(RADIANS(I406-G406)/2)^2+COS(RADIANS(G406))*COS(RADIANS(I406))*SIN(RADIANS(J406-H406)/2)^2))</f>
        <v>53.3325639196169</v>
      </c>
      <c r="L406" s="18" t="n">
        <f aca="false">K406*Assumptions!$B$3</f>
        <v>69.3323330955019</v>
      </c>
      <c r="M406" s="19" t="n">
        <f aca="false">L406/Assumptions!$B$4</f>
        <v>1.54071851323338</v>
      </c>
      <c r="N406" s="9" t="s">
        <v>1365</v>
      </c>
    </row>
    <row r="407" customFormat="false" ht="15" hidden="false" customHeight="false" outlineLevel="0" collapsed="false">
      <c r="A407" s="9" t="s">
        <v>1770</v>
      </c>
      <c r="B407" s="9" t="s">
        <v>451</v>
      </c>
      <c r="C407" s="9" t="str">
        <f aca="false">IFERROR(INDEX(Destination!$B$2:$B$501,MATCH(B407,Destination!$A$2:$A$501,0)),"")</f>
        <v>Tirunelveli</v>
      </c>
      <c r="D407" s="9" t="s">
        <v>518</v>
      </c>
      <c r="E407" s="9" t="str">
        <f aca="false">IFERROR(INDEX(Destination!$B$2:$B$501,MATCH(D407,Destination!$A$2:$A$501,0)),"")</f>
        <v>Ponmudi</v>
      </c>
      <c r="F407" s="9" t="s">
        <v>1364</v>
      </c>
      <c r="G407" s="12" t="n">
        <f aca="false">INDEX(Destination!$F$2:$F$501,MATCH(B407,Destination!$A$2:$A$501,0))</f>
        <v>8.73</v>
      </c>
      <c r="H407" s="12" t="n">
        <f aca="false">INDEX(Destination!$G$2:$G$501,MATCH(B407,Destination!$A$2:$A$501,0))</f>
        <v>77.7</v>
      </c>
      <c r="I407" s="12" t="n">
        <f aca="false">INDEX(Destination!$F$2:$F$501,MATCH(D407,Destination!$A$2:$A$501,0))</f>
        <v>8.76</v>
      </c>
      <c r="J407" s="12" t="n">
        <f aca="false">INDEX(Destination!$G$2:$G$501,MATCH(D407,Destination!$A$2:$A$501,0))</f>
        <v>77.11</v>
      </c>
      <c r="K407" s="17" t="n">
        <f aca="false">Assumptions!$B$2*2*ASIN(SQRT(SIN(RADIANS(I407-G407)/2)^2+COS(RADIANS(G407))*COS(RADIANS(I407))*SIN(RADIANS(J407-H407)/2)^2))</f>
        <v>64.928077324958</v>
      </c>
      <c r="L407" s="18" t="n">
        <f aca="false">K407*Assumptions!$B$3</f>
        <v>84.4065005224454</v>
      </c>
      <c r="M407" s="19" t="n">
        <f aca="false">L407/Assumptions!$B$4</f>
        <v>1.8757000116099</v>
      </c>
      <c r="N407" s="9" t="s">
        <v>1365</v>
      </c>
    </row>
    <row r="408" customFormat="false" ht="15" hidden="false" customHeight="false" outlineLevel="0" collapsed="false">
      <c r="A408" s="9" t="s">
        <v>1771</v>
      </c>
      <c r="B408" s="9" t="s">
        <v>453</v>
      </c>
      <c r="C408" s="9" t="str">
        <f aca="false">IFERROR(INDEX(Destination!$B$2:$B$501,MATCH(B408,Destination!$A$2:$A$501,0)),"")</f>
        <v>Kumbakonam</v>
      </c>
      <c r="D408" s="9" t="s">
        <v>455</v>
      </c>
      <c r="E408" s="9" t="str">
        <f aca="false">IFERROR(INDEX(Destination!$B$2:$B$501,MATCH(D408,Destination!$A$2:$A$501,0)),"")</f>
        <v>Chidambaram</v>
      </c>
      <c r="F408" s="9" t="s">
        <v>1364</v>
      </c>
      <c r="G408" s="12" t="n">
        <f aca="false">INDEX(Destination!$F$2:$F$501,MATCH(B408,Destination!$A$2:$A$501,0))</f>
        <v>10.96</v>
      </c>
      <c r="H408" s="12" t="n">
        <f aca="false">INDEX(Destination!$G$2:$G$501,MATCH(B408,Destination!$A$2:$A$501,0))</f>
        <v>79.38</v>
      </c>
      <c r="I408" s="12" t="n">
        <f aca="false">INDEX(Destination!$F$2:$F$501,MATCH(D408,Destination!$A$2:$A$501,0))</f>
        <v>11.4</v>
      </c>
      <c r="J408" s="12" t="n">
        <f aca="false">INDEX(Destination!$G$2:$G$501,MATCH(D408,Destination!$A$2:$A$501,0))</f>
        <v>79.69</v>
      </c>
      <c r="K408" s="17" t="n">
        <f aca="false">Assumptions!$B$2*2*ASIN(SQRT(SIN(RADIANS(I408-G408)/2)^2+COS(RADIANS(G408))*COS(RADIANS(I408))*SIN(RADIANS(J408-H408)/2)^2))</f>
        <v>59.4749110767219</v>
      </c>
      <c r="L408" s="18" t="n">
        <f aca="false">K408*Assumptions!$B$3</f>
        <v>77.3173843997384</v>
      </c>
      <c r="M408" s="19" t="n">
        <f aca="false">L408/Assumptions!$B$4</f>
        <v>1.71816409777197</v>
      </c>
      <c r="N408" s="9" t="s">
        <v>1365</v>
      </c>
    </row>
    <row r="409" customFormat="false" ht="15" hidden="false" customHeight="false" outlineLevel="0" collapsed="false">
      <c r="A409" s="9" t="s">
        <v>1772</v>
      </c>
      <c r="B409" s="9" t="s">
        <v>453</v>
      </c>
      <c r="C409" s="9" t="str">
        <f aca="false">IFERROR(INDEX(Destination!$B$2:$B$501,MATCH(B409,Destination!$A$2:$A$501,0)),"")</f>
        <v>Kumbakonam</v>
      </c>
      <c r="D409" s="9" t="s">
        <v>457</v>
      </c>
      <c r="E409" s="9" t="str">
        <f aca="false">IFERROR(INDEX(Destination!$B$2:$B$501,MATCH(D409,Destination!$A$2:$A$501,0)),"")</f>
        <v>Srirangam</v>
      </c>
      <c r="F409" s="9" t="s">
        <v>1364</v>
      </c>
      <c r="G409" s="12" t="n">
        <f aca="false">INDEX(Destination!$F$2:$F$501,MATCH(B409,Destination!$A$2:$A$501,0))</f>
        <v>10.96</v>
      </c>
      <c r="H409" s="12" t="n">
        <f aca="false">INDEX(Destination!$G$2:$G$501,MATCH(B409,Destination!$A$2:$A$501,0))</f>
        <v>79.38</v>
      </c>
      <c r="I409" s="12" t="n">
        <f aca="false">INDEX(Destination!$F$2:$F$501,MATCH(D409,Destination!$A$2:$A$501,0))</f>
        <v>10.86</v>
      </c>
      <c r="J409" s="12" t="n">
        <f aca="false">INDEX(Destination!$G$2:$G$501,MATCH(D409,Destination!$A$2:$A$501,0))</f>
        <v>78.69</v>
      </c>
      <c r="K409" s="17" t="n">
        <f aca="false">Assumptions!$B$2*2*ASIN(SQRT(SIN(RADIANS(I409-G409)/2)^2+COS(RADIANS(G409))*COS(RADIANS(I409))*SIN(RADIANS(J409-H409)/2)^2))</f>
        <v>76.153901662387</v>
      </c>
      <c r="L409" s="18" t="n">
        <f aca="false">K409*Assumptions!$B$3</f>
        <v>99.0000721611031</v>
      </c>
      <c r="M409" s="19" t="n">
        <f aca="false">L409/Assumptions!$B$4</f>
        <v>2.20000160358007</v>
      </c>
      <c r="N409" s="9" t="s">
        <v>1365</v>
      </c>
    </row>
    <row r="410" customFormat="false" ht="15" hidden="false" customHeight="false" outlineLevel="0" collapsed="false">
      <c r="A410" s="9" t="s">
        <v>1773</v>
      </c>
      <c r="B410" s="9" t="s">
        <v>453</v>
      </c>
      <c r="C410" s="9" t="str">
        <f aca="false">IFERROR(INDEX(Destination!$B$2:$B$501,MATCH(B410,Destination!$A$2:$A$501,0)),"")</f>
        <v>Kumbakonam</v>
      </c>
      <c r="D410" s="9" t="s">
        <v>459</v>
      </c>
      <c r="E410" s="9" t="str">
        <f aca="false">IFERROR(INDEX(Destination!$B$2:$B$501,MATCH(D410,Destination!$A$2:$A$501,0)),"")</f>
        <v>Velankanni</v>
      </c>
      <c r="F410" s="9" t="s">
        <v>1364</v>
      </c>
      <c r="G410" s="12" t="n">
        <f aca="false">INDEX(Destination!$F$2:$F$501,MATCH(B410,Destination!$A$2:$A$501,0))</f>
        <v>10.96</v>
      </c>
      <c r="H410" s="12" t="n">
        <f aca="false">INDEX(Destination!$G$2:$G$501,MATCH(B410,Destination!$A$2:$A$501,0))</f>
        <v>79.38</v>
      </c>
      <c r="I410" s="12" t="n">
        <f aca="false">INDEX(Destination!$F$2:$F$501,MATCH(D410,Destination!$A$2:$A$501,0))</f>
        <v>10.68</v>
      </c>
      <c r="J410" s="12" t="n">
        <f aca="false">INDEX(Destination!$G$2:$G$501,MATCH(D410,Destination!$A$2:$A$501,0))</f>
        <v>79.85</v>
      </c>
      <c r="K410" s="17" t="n">
        <f aca="false">Assumptions!$B$2*2*ASIN(SQRT(SIN(RADIANS(I410-G410)/2)^2+COS(RADIANS(G410))*COS(RADIANS(I410))*SIN(RADIANS(J410-H410)/2)^2))</f>
        <v>60.0364969220624</v>
      </c>
      <c r="L410" s="18" t="n">
        <f aca="false">K410*Assumptions!$B$3</f>
        <v>78.0474459986811</v>
      </c>
      <c r="M410" s="19" t="n">
        <f aca="false">L410/Assumptions!$B$4</f>
        <v>1.73438768885958</v>
      </c>
      <c r="N410" s="9" t="s">
        <v>1365</v>
      </c>
    </row>
    <row r="411" customFormat="false" ht="15" hidden="false" customHeight="false" outlineLevel="0" collapsed="false">
      <c r="A411" s="9" t="s">
        <v>1774</v>
      </c>
      <c r="B411" s="9" t="s">
        <v>453</v>
      </c>
      <c r="C411" s="9" t="str">
        <f aca="false">IFERROR(INDEX(Destination!$B$2:$B$501,MATCH(B411,Destination!$A$2:$A$501,0)),"")</f>
        <v>Kumbakonam</v>
      </c>
      <c r="D411" s="9" t="s">
        <v>472</v>
      </c>
      <c r="E411" s="9" t="str">
        <f aca="false">IFERROR(INDEX(Destination!$B$2:$B$501,MATCH(D411,Destination!$A$2:$A$501,0)),"")</f>
        <v>Nagapattinam</v>
      </c>
      <c r="F411" s="9" t="s">
        <v>1364</v>
      </c>
      <c r="G411" s="12" t="n">
        <f aca="false">INDEX(Destination!$F$2:$F$501,MATCH(B411,Destination!$A$2:$A$501,0))</f>
        <v>10.96</v>
      </c>
      <c r="H411" s="12" t="n">
        <f aca="false">INDEX(Destination!$G$2:$G$501,MATCH(B411,Destination!$A$2:$A$501,0))</f>
        <v>79.38</v>
      </c>
      <c r="I411" s="12" t="n">
        <f aca="false">INDEX(Destination!$F$2:$F$501,MATCH(D411,Destination!$A$2:$A$501,0))</f>
        <v>10.77</v>
      </c>
      <c r="J411" s="12" t="n">
        <f aca="false">INDEX(Destination!$G$2:$G$501,MATCH(D411,Destination!$A$2:$A$501,0))</f>
        <v>79.84</v>
      </c>
      <c r="K411" s="17" t="n">
        <f aca="false">Assumptions!$B$2*2*ASIN(SQRT(SIN(RADIANS(I411-G411)/2)^2+COS(RADIANS(G411))*COS(RADIANS(I411))*SIN(RADIANS(J411-H411)/2)^2))</f>
        <v>54.4947586972089</v>
      </c>
      <c r="L411" s="18" t="n">
        <f aca="false">K411*Assumptions!$B$3</f>
        <v>70.8431863063716</v>
      </c>
      <c r="M411" s="19" t="n">
        <f aca="false">L411/Assumptions!$B$4</f>
        <v>1.57429302903048</v>
      </c>
      <c r="N411" s="9" t="s">
        <v>1365</v>
      </c>
    </row>
    <row r="412" customFormat="false" ht="15" hidden="false" customHeight="false" outlineLevel="0" collapsed="false">
      <c r="A412" s="9" t="s">
        <v>1775</v>
      </c>
      <c r="B412" s="9" t="s">
        <v>453</v>
      </c>
      <c r="C412" s="9" t="str">
        <f aca="false">IFERROR(INDEX(Destination!$B$2:$B$501,MATCH(B412,Destination!$A$2:$A$501,0)),"")</f>
        <v>Kumbakonam</v>
      </c>
      <c r="D412" s="9" t="s">
        <v>474</v>
      </c>
      <c r="E412" s="9" t="str">
        <f aca="false">IFERROR(INDEX(Destination!$B$2:$B$501,MATCH(D412,Destination!$A$2:$A$501,0)),"")</f>
        <v>Pichavaram</v>
      </c>
      <c r="F412" s="9" t="s">
        <v>1364</v>
      </c>
      <c r="G412" s="12" t="n">
        <f aca="false">INDEX(Destination!$F$2:$F$501,MATCH(B412,Destination!$A$2:$A$501,0))</f>
        <v>10.96</v>
      </c>
      <c r="H412" s="12" t="n">
        <f aca="false">INDEX(Destination!$G$2:$G$501,MATCH(B412,Destination!$A$2:$A$501,0))</f>
        <v>79.38</v>
      </c>
      <c r="I412" s="12" t="n">
        <f aca="false">INDEX(Destination!$F$2:$F$501,MATCH(D412,Destination!$A$2:$A$501,0))</f>
        <v>11.43</v>
      </c>
      <c r="J412" s="12" t="n">
        <f aca="false">INDEX(Destination!$G$2:$G$501,MATCH(D412,Destination!$A$2:$A$501,0))</f>
        <v>79.78</v>
      </c>
      <c r="K412" s="17" t="n">
        <f aca="false">Assumptions!$B$2*2*ASIN(SQRT(SIN(RADIANS(I412-G412)/2)^2+COS(RADIANS(G412))*COS(RADIANS(I412))*SIN(RADIANS(J412-H412)/2)^2))</f>
        <v>68.0807239568184</v>
      </c>
      <c r="L412" s="18" t="n">
        <f aca="false">K412*Assumptions!$B$3</f>
        <v>88.5049411438639</v>
      </c>
      <c r="M412" s="19" t="n">
        <f aca="false">L412/Assumptions!$B$4</f>
        <v>1.96677646986364</v>
      </c>
      <c r="N412" s="9" t="s">
        <v>1365</v>
      </c>
    </row>
    <row r="413" customFormat="false" ht="15" hidden="false" customHeight="false" outlineLevel="0" collapsed="false">
      <c r="A413" s="9" t="s">
        <v>1776</v>
      </c>
      <c r="B413" s="9" t="s">
        <v>453</v>
      </c>
      <c r="C413" s="9" t="str">
        <f aca="false">IFERROR(INDEX(Destination!$B$2:$B$501,MATCH(B413,Destination!$A$2:$A$501,0)),"")</f>
        <v>Kumbakonam</v>
      </c>
      <c r="D413" s="9" t="s">
        <v>494</v>
      </c>
      <c r="E413" s="9" t="str">
        <f aca="false">IFERROR(INDEX(Destination!$B$2:$B$501,MATCH(D413,Destination!$A$2:$A$501,0)),"")</f>
        <v>Poompuhar</v>
      </c>
      <c r="F413" s="9" t="s">
        <v>1364</v>
      </c>
      <c r="G413" s="12" t="n">
        <f aca="false">INDEX(Destination!$F$2:$F$501,MATCH(B413,Destination!$A$2:$A$501,0))</f>
        <v>10.96</v>
      </c>
      <c r="H413" s="12" t="n">
        <f aca="false">INDEX(Destination!$G$2:$G$501,MATCH(B413,Destination!$A$2:$A$501,0))</f>
        <v>79.38</v>
      </c>
      <c r="I413" s="12" t="n">
        <f aca="false">INDEX(Destination!$F$2:$F$501,MATCH(D413,Destination!$A$2:$A$501,0))</f>
        <v>11.14</v>
      </c>
      <c r="J413" s="12" t="n">
        <f aca="false">INDEX(Destination!$G$2:$G$501,MATCH(D413,Destination!$A$2:$A$501,0))</f>
        <v>79.85</v>
      </c>
      <c r="K413" s="17" t="n">
        <f aca="false">Assumptions!$B$2*2*ASIN(SQRT(SIN(RADIANS(I413-G413)/2)^2+COS(RADIANS(G413))*COS(RADIANS(I413))*SIN(RADIANS(J413-H413)/2)^2))</f>
        <v>55.0594396333397</v>
      </c>
      <c r="L413" s="18" t="n">
        <f aca="false">K413*Assumptions!$B$3</f>
        <v>71.5772715233416</v>
      </c>
      <c r="M413" s="19" t="n">
        <f aca="false">L413/Assumptions!$B$4</f>
        <v>1.59060603385204</v>
      </c>
      <c r="N413" s="9" t="s">
        <v>1365</v>
      </c>
    </row>
    <row r="414" customFormat="false" ht="15" hidden="false" customHeight="false" outlineLevel="0" collapsed="false">
      <c r="A414" s="9" t="s">
        <v>1777</v>
      </c>
      <c r="B414" s="9" t="s">
        <v>455</v>
      </c>
      <c r="C414" s="9" t="str">
        <f aca="false">IFERROR(INDEX(Destination!$B$2:$B$501,MATCH(B414,Destination!$A$2:$A$501,0)),"")</f>
        <v>Chidambaram</v>
      </c>
      <c r="D414" s="9" t="s">
        <v>474</v>
      </c>
      <c r="E414" s="9" t="str">
        <f aca="false">IFERROR(INDEX(Destination!$B$2:$B$501,MATCH(D414,Destination!$A$2:$A$501,0)),"")</f>
        <v>Pichavaram</v>
      </c>
      <c r="F414" s="9" t="s">
        <v>1364</v>
      </c>
      <c r="G414" s="12" t="n">
        <f aca="false">INDEX(Destination!$F$2:$F$501,MATCH(B414,Destination!$A$2:$A$501,0))</f>
        <v>11.4</v>
      </c>
      <c r="H414" s="12" t="n">
        <f aca="false">INDEX(Destination!$G$2:$G$501,MATCH(B414,Destination!$A$2:$A$501,0))</f>
        <v>79.69</v>
      </c>
      <c r="I414" s="12" t="n">
        <f aca="false">INDEX(Destination!$F$2:$F$501,MATCH(D414,Destination!$A$2:$A$501,0))</f>
        <v>11.43</v>
      </c>
      <c r="J414" s="12" t="n">
        <f aca="false">INDEX(Destination!$G$2:$G$501,MATCH(D414,Destination!$A$2:$A$501,0))</f>
        <v>79.78</v>
      </c>
      <c r="K414" s="17" t="n">
        <f aca="false">Assumptions!$B$2*2*ASIN(SQRT(SIN(RADIANS(I414-G414)/2)^2+COS(RADIANS(G414))*COS(RADIANS(I414))*SIN(RADIANS(J414-H414)/2)^2))</f>
        <v>10.3612690617814</v>
      </c>
      <c r="L414" s="18" t="n">
        <f aca="false">K414*Assumptions!$B$3</f>
        <v>13.4696497803159</v>
      </c>
      <c r="M414" s="19" t="n">
        <f aca="false">L414/Assumptions!$B$4</f>
        <v>0.299325550673686</v>
      </c>
      <c r="N414" s="9" t="s">
        <v>1365</v>
      </c>
    </row>
    <row r="415" customFormat="false" ht="15" hidden="false" customHeight="false" outlineLevel="0" collapsed="false">
      <c r="A415" s="9" t="s">
        <v>1778</v>
      </c>
      <c r="B415" s="9" t="s">
        <v>455</v>
      </c>
      <c r="C415" s="9" t="str">
        <f aca="false">IFERROR(INDEX(Destination!$B$2:$B$501,MATCH(B415,Destination!$A$2:$A$501,0)),"")</f>
        <v>Chidambaram</v>
      </c>
      <c r="D415" s="9" t="s">
        <v>494</v>
      </c>
      <c r="E415" s="9" t="str">
        <f aca="false">IFERROR(INDEX(Destination!$B$2:$B$501,MATCH(D415,Destination!$A$2:$A$501,0)),"")</f>
        <v>Poompuhar</v>
      </c>
      <c r="F415" s="9" t="s">
        <v>1364</v>
      </c>
      <c r="G415" s="12" t="n">
        <f aca="false">INDEX(Destination!$F$2:$F$501,MATCH(B415,Destination!$A$2:$A$501,0))</f>
        <v>11.4</v>
      </c>
      <c r="H415" s="12" t="n">
        <f aca="false">INDEX(Destination!$G$2:$G$501,MATCH(B415,Destination!$A$2:$A$501,0))</f>
        <v>79.69</v>
      </c>
      <c r="I415" s="12" t="n">
        <f aca="false">INDEX(Destination!$F$2:$F$501,MATCH(D415,Destination!$A$2:$A$501,0))</f>
        <v>11.14</v>
      </c>
      <c r="J415" s="12" t="n">
        <f aca="false">INDEX(Destination!$G$2:$G$501,MATCH(D415,Destination!$A$2:$A$501,0))</f>
        <v>79.85</v>
      </c>
      <c r="K415" s="17" t="n">
        <f aca="false">Assumptions!$B$2*2*ASIN(SQRT(SIN(RADIANS(I415-G415)/2)^2+COS(RADIANS(G415))*COS(RADIANS(I415))*SIN(RADIANS(J415-H415)/2)^2))</f>
        <v>33.7677934359373</v>
      </c>
      <c r="L415" s="18" t="n">
        <f aca="false">K415*Assumptions!$B$3</f>
        <v>43.8981314667184</v>
      </c>
      <c r="M415" s="19" t="n">
        <f aca="false">L415/Assumptions!$B$4</f>
        <v>0.975514032593743</v>
      </c>
      <c r="N415" s="9" t="s">
        <v>1365</v>
      </c>
    </row>
    <row r="416" customFormat="false" ht="15" hidden="false" customHeight="false" outlineLevel="0" collapsed="false">
      <c r="A416" s="9" t="s">
        <v>1779</v>
      </c>
      <c r="B416" s="9" t="s">
        <v>457</v>
      </c>
      <c r="C416" s="9" t="str">
        <f aca="false">IFERROR(INDEX(Destination!$B$2:$B$501,MATCH(B416,Destination!$A$2:$A$501,0)),"")</f>
        <v>Srirangam</v>
      </c>
      <c r="D416" s="9" t="s">
        <v>467</v>
      </c>
      <c r="E416" s="9" t="str">
        <f aca="false">IFERROR(INDEX(Destination!$B$2:$B$501,MATCH(D416,Destination!$A$2:$A$501,0)),"")</f>
        <v>Chettinad</v>
      </c>
      <c r="F416" s="9" t="s">
        <v>1364</v>
      </c>
      <c r="G416" s="12" t="n">
        <f aca="false">INDEX(Destination!$F$2:$F$501,MATCH(B416,Destination!$A$2:$A$501,0))</f>
        <v>10.86</v>
      </c>
      <c r="H416" s="12" t="n">
        <f aca="false">INDEX(Destination!$G$2:$G$501,MATCH(B416,Destination!$A$2:$A$501,0))</f>
        <v>78.69</v>
      </c>
      <c r="I416" s="12" t="n">
        <f aca="false">INDEX(Destination!$F$2:$F$501,MATCH(D416,Destination!$A$2:$A$501,0))</f>
        <v>10.07</v>
      </c>
      <c r="J416" s="12" t="n">
        <f aca="false">INDEX(Destination!$G$2:$G$501,MATCH(D416,Destination!$A$2:$A$501,0))</f>
        <v>78.78</v>
      </c>
      <c r="K416" s="17" t="n">
        <f aca="false">Assumptions!$B$2*2*ASIN(SQRT(SIN(RADIANS(I416-G416)/2)^2+COS(RADIANS(G416))*COS(RADIANS(I416))*SIN(RADIANS(J416-H416)/2)^2))</f>
        <v>88.3935069489328</v>
      </c>
      <c r="L416" s="18" t="n">
        <f aca="false">K416*Assumptions!$B$3</f>
        <v>114.911559033613</v>
      </c>
      <c r="M416" s="19" t="n">
        <f aca="false">L416/Assumptions!$B$4</f>
        <v>2.55359020074695</v>
      </c>
      <c r="N416" s="9" t="s">
        <v>1365</v>
      </c>
    </row>
    <row r="417" customFormat="false" ht="15" hidden="false" customHeight="false" outlineLevel="0" collapsed="false">
      <c r="A417" s="9" t="s">
        <v>1780</v>
      </c>
      <c r="B417" s="9" t="s">
        <v>457</v>
      </c>
      <c r="C417" s="9" t="str">
        <f aca="false">IFERROR(INDEX(Destination!$B$2:$B$501,MATCH(B417,Destination!$A$2:$A$501,0)),"")</f>
        <v>Srirangam</v>
      </c>
      <c r="D417" s="9" t="s">
        <v>470</v>
      </c>
      <c r="E417" s="9" t="str">
        <f aca="false">IFERROR(INDEX(Destination!$B$2:$B$501,MATCH(D417,Destination!$A$2:$A$501,0)),"")</f>
        <v>Karaikudi</v>
      </c>
      <c r="F417" s="9" t="s">
        <v>1364</v>
      </c>
      <c r="G417" s="12" t="n">
        <f aca="false">INDEX(Destination!$F$2:$F$501,MATCH(B417,Destination!$A$2:$A$501,0))</f>
        <v>10.86</v>
      </c>
      <c r="H417" s="12" t="n">
        <f aca="false">INDEX(Destination!$G$2:$G$501,MATCH(B417,Destination!$A$2:$A$501,0))</f>
        <v>78.69</v>
      </c>
      <c r="I417" s="12" t="n">
        <f aca="false">INDEX(Destination!$F$2:$F$501,MATCH(D417,Destination!$A$2:$A$501,0))</f>
        <v>10.07</v>
      </c>
      <c r="J417" s="12" t="n">
        <f aca="false">INDEX(Destination!$G$2:$G$501,MATCH(D417,Destination!$A$2:$A$501,0))</f>
        <v>78.78</v>
      </c>
      <c r="K417" s="17" t="n">
        <f aca="false">Assumptions!$B$2*2*ASIN(SQRT(SIN(RADIANS(I417-G417)/2)^2+COS(RADIANS(G417))*COS(RADIANS(I417))*SIN(RADIANS(J417-H417)/2)^2))</f>
        <v>88.3935069489328</v>
      </c>
      <c r="L417" s="18" t="n">
        <f aca="false">K417*Assumptions!$B$3</f>
        <v>114.911559033613</v>
      </c>
      <c r="M417" s="19" t="n">
        <f aca="false">L417/Assumptions!$B$4</f>
        <v>2.55359020074695</v>
      </c>
      <c r="N417" s="9" t="s">
        <v>1365</v>
      </c>
    </row>
    <row r="418" customFormat="false" ht="15" hidden="false" customHeight="false" outlineLevel="0" collapsed="false">
      <c r="A418" s="9" t="s">
        <v>1781</v>
      </c>
      <c r="B418" s="9" t="s">
        <v>459</v>
      </c>
      <c r="C418" s="9" t="str">
        <f aca="false">IFERROR(INDEX(Destination!$B$2:$B$501,MATCH(B418,Destination!$A$2:$A$501,0)),"")</f>
        <v>Velankanni</v>
      </c>
      <c r="D418" s="9" t="s">
        <v>472</v>
      </c>
      <c r="E418" s="9" t="str">
        <f aca="false">IFERROR(INDEX(Destination!$B$2:$B$501,MATCH(D418,Destination!$A$2:$A$501,0)),"")</f>
        <v>Nagapattinam</v>
      </c>
      <c r="F418" s="9" t="s">
        <v>1364</v>
      </c>
      <c r="G418" s="12" t="n">
        <f aca="false">INDEX(Destination!$F$2:$F$501,MATCH(B418,Destination!$A$2:$A$501,0))</f>
        <v>10.68</v>
      </c>
      <c r="H418" s="12" t="n">
        <f aca="false">INDEX(Destination!$G$2:$G$501,MATCH(B418,Destination!$A$2:$A$501,0))</f>
        <v>79.85</v>
      </c>
      <c r="I418" s="12" t="n">
        <f aca="false">INDEX(Destination!$F$2:$F$501,MATCH(D418,Destination!$A$2:$A$501,0))</f>
        <v>10.77</v>
      </c>
      <c r="J418" s="12" t="n">
        <f aca="false">INDEX(Destination!$G$2:$G$501,MATCH(D418,Destination!$A$2:$A$501,0))</f>
        <v>79.84</v>
      </c>
      <c r="K418" s="17" t="n">
        <f aca="false">Assumptions!$B$2*2*ASIN(SQRT(SIN(RADIANS(I418-G418)/2)^2+COS(RADIANS(G418))*COS(RADIANS(I418))*SIN(RADIANS(J418-H418)/2)^2))</f>
        <v>10.0670023504911</v>
      </c>
      <c r="L418" s="18" t="n">
        <f aca="false">K418*Assumptions!$B$3</f>
        <v>13.0871030556384</v>
      </c>
      <c r="M418" s="19" t="n">
        <f aca="false">L418/Assumptions!$B$4</f>
        <v>0.290824512347521</v>
      </c>
      <c r="N418" s="9" t="s">
        <v>1365</v>
      </c>
    </row>
    <row r="419" customFormat="false" ht="15" hidden="false" customHeight="false" outlineLevel="0" collapsed="false">
      <c r="A419" s="9" t="s">
        <v>1782</v>
      </c>
      <c r="B419" s="9" t="s">
        <v>459</v>
      </c>
      <c r="C419" s="9" t="str">
        <f aca="false">IFERROR(INDEX(Destination!$B$2:$B$501,MATCH(B419,Destination!$A$2:$A$501,0)),"")</f>
        <v>Velankanni</v>
      </c>
      <c r="D419" s="9" t="s">
        <v>494</v>
      </c>
      <c r="E419" s="9" t="str">
        <f aca="false">IFERROR(INDEX(Destination!$B$2:$B$501,MATCH(D419,Destination!$A$2:$A$501,0)),"")</f>
        <v>Poompuhar</v>
      </c>
      <c r="F419" s="9" t="s">
        <v>1364</v>
      </c>
      <c r="G419" s="12" t="n">
        <f aca="false">INDEX(Destination!$F$2:$F$501,MATCH(B419,Destination!$A$2:$A$501,0))</f>
        <v>10.68</v>
      </c>
      <c r="H419" s="12" t="n">
        <f aca="false">INDEX(Destination!$G$2:$G$501,MATCH(B419,Destination!$A$2:$A$501,0))</f>
        <v>79.85</v>
      </c>
      <c r="I419" s="12" t="n">
        <f aca="false">INDEX(Destination!$F$2:$F$501,MATCH(D419,Destination!$A$2:$A$501,0))</f>
        <v>11.14</v>
      </c>
      <c r="J419" s="12" t="n">
        <f aca="false">INDEX(Destination!$G$2:$G$501,MATCH(D419,Destination!$A$2:$A$501,0))</f>
        <v>79.85</v>
      </c>
      <c r="K419" s="17" t="n">
        <f aca="false">Assumptions!$B$2*2*ASIN(SQRT(SIN(RADIANS(I419-G419)/2)^2+COS(RADIANS(G419))*COS(RADIANS(I419))*SIN(RADIANS(J419-H419)/2)^2))</f>
        <v>51.1496662564971</v>
      </c>
      <c r="L419" s="18" t="n">
        <f aca="false">K419*Assumptions!$B$3</f>
        <v>66.4945661334463</v>
      </c>
      <c r="M419" s="19" t="n">
        <f aca="false">L419/Assumptions!$B$4</f>
        <v>1.47765702518769</v>
      </c>
      <c r="N419" s="9" t="s">
        <v>1365</v>
      </c>
    </row>
    <row r="420" customFormat="false" ht="15" hidden="false" customHeight="false" outlineLevel="0" collapsed="false">
      <c r="A420" s="9" t="s">
        <v>1783</v>
      </c>
      <c r="B420" s="9" t="s">
        <v>461</v>
      </c>
      <c r="C420" s="9" t="str">
        <f aca="false">IFERROR(INDEX(Destination!$B$2:$B$501,MATCH(B420,Destination!$A$2:$A$501,0)),"")</f>
        <v>Tiruvannamalai</v>
      </c>
      <c r="D420" s="9" t="s">
        <v>482</v>
      </c>
      <c r="E420" s="9" t="str">
        <f aca="false">IFERROR(INDEX(Destination!$B$2:$B$501,MATCH(D420,Destination!$A$2:$A$501,0)),"")</f>
        <v>Vellore</v>
      </c>
      <c r="F420" s="9" t="s">
        <v>1364</v>
      </c>
      <c r="G420" s="12" t="n">
        <f aca="false">INDEX(Destination!$F$2:$F$501,MATCH(B420,Destination!$A$2:$A$501,0))</f>
        <v>12.23</v>
      </c>
      <c r="H420" s="12" t="n">
        <f aca="false">INDEX(Destination!$G$2:$G$501,MATCH(B420,Destination!$A$2:$A$501,0))</f>
        <v>79.07</v>
      </c>
      <c r="I420" s="12" t="n">
        <f aca="false">INDEX(Destination!$F$2:$F$501,MATCH(D420,Destination!$A$2:$A$501,0))</f>
        <v>12.92</v>
      </c>
      <c r="J420" s="12" t="n">
        <f aca="false">INDEX(Destination!$G$2:$G$501,MATCH(D420,Destination!$A$2:$A$501,0))</f>
        <v>79.13</v>
      </c>
      <c r="K420" s="17" t="n">
        <f aca="false">Assumptions!$B$2*2*ASIN(SQRT(SIN(RADIANS(I420-G420)/2)^2+COS(RADIANS(G420))*COS(RADIANS(I420))*SIN(RADIANS(J420-H420)/2)^2))</f>
        <v>77.0003237280208</v>
      </c>
      <c r="L420" s="18" t="n">
        <f aca="false">K420*Assumptions!$B$3</f>
        <v>100.100420846427</v>
      </c>
      <c r="M420" s="19" t="n">
        <f aca="false">L420/Assumptions!$B$4</f>
        <v>2.22445379658727</v>
      </c>
      <c r="N420" s="9" t="s">
        <v>1365</v>
      </c>
    </row>
    <row r="421" customFormat="false" ht="15" hidden="false" customHeight="false" outlineLevel="0" collapsed="false">
      <c r="A421" s="9" t="s">
        <v>1784</v>
      </c>
      <c r="B421" s="9" t="s">
        <v>461</v>
      </c>
      <c r="C421" s="9" t="str">
        <f aca="false">IFERROR(INDEX(Destination!$B$2:$B$501,MATCH(B421,Destination!$A$2:$A$501,0)),"")</f>
        <v>Tiruvannamalai</v>
      </c>
      <c r="D421" s="9" t="s">
        <v>484</v>
      </c>
      <c r="E421" s="9" t="str">
        <f aca="false">IFERROR(INDEX(Destination!$B$2:$B$501,MATCH(D421,Destination!$A$2:$A$501,0)),"")</f>
        <v>Gingee</v>
      </c>
      <c r="F421" s="9" t="s">
        <v>1364</v>
      </c>
      <c r="G421" s="12" t="n">
        <f aca="false">INDEX(Destination!$F$2:$F$501,MATCH(B421,Destination!$A$2:$A$501,0))</f>
        <v>12.23</v>
      </c>
      <c r="H421" s="12" t="n">
        <f aca="false">INDEX(Destination!$G$2:$G$501,MATCH(B421,Destination!$A$2:$A$501,0))</f>
        <v>79.07</v>
      </c>
      <c r="I421" s="12" t="n">
        <f aca="false">INDEX(Destination!$F$2:$F$501,MATCH(D421,Destination!$A$2:$A$501,0))</f>
        <v>12.25</v>
      </c>
      <c r="J421" s="12" t="n">
        <f aca="false">INDEX(Destination!$G$2:$G$501,MATCH(D421,Destination!$A$2:$A$501,0))</f>
        <v>79.42</v>
      </c>
      <c r="K421" s="17" t="n">
        <f aca="false">Assumptions!$B$2*2*ASIN(SQRT(SIN(RADIANS(I421-G421)/2)^2+COS(RADIANS(G421))*COS(RADIANS(I421))*SIN(RADIANS(J421-H421)/2)^2))</f>
        <v>38.0984996447402</v>
      </c>
      <c r="L421" s="18" t="n">
        <f aca="false">K421*Assumptions!$B$3</f>
        <v>49.5280495381623</v>
      </c>
      <c r="M421" s="19" t="n">
        <f aca="false">L421/Assumptions!$B$4</f>
        <v>1.10062332307027</v>
      </c>
      <c r="N421" s="9" t="s">
        <v>1365</v>
      </c>
    </row>
    <row r="422" customFormat="false" ht="15" hidden="false" customHeight="false" outlineLevel="0" collapsed="false">
      <c r="A422" s="9" t="s">
        <v>1785</v>
      </c>
      <c r="B422" s="9" t="s">
        <v>461</v>
      </c>
      <c r="C422" s="9" t="str">
        <f aca="false">IFERROR(INDEX(Destination!$B$2:$B$501,MATCH(B422,Destination!$A$2:$A$501,0)),"")</f>
        <v>Tiruvannamalai</v>
      </c>
      <c r="D422" s="9" t="s">
        <v>490</v>
      </c>
      <c r="E422" s="9" t="str">
        <f aca="false">IFERROR(INDEX(Destination!$B$2:$B$501,MATCH(D422,Destination!$A$2:$A$501,0)),"")</f>
        <v>Sathanur</v>
      </c>
      <c r="F422" s="9" t="s">
        <v>1364</v>
      </c>
      <c r="G422" s="12" t="n">
        <f aca="false">INDEX(Destination!$F$2:$F$501,MATCH(B422,Destination!$A$2:$A$501,0))</f>
        <v>12.23</v>
      </c>
      <c r="H422" s="12" t="n">
        <f aca="false">INDEX(Destination!$G$2:$G$501,MATCH(B422,Destination!$A$2:$A$501,0))</f>
        <v>79.07</v>
      </c>
      <c r="I422" s="12" t="n">
        <f aca="false">INDEX(Destination!$F$2:$F$501,MATCH(D422,Destination!$A$2:$A$501,0))</f>
        <v>12.18</v>
      </c>
      <c r="J422" s="12" t="n">
        <f aca="false">INDEX(Destination!$G$2:$G$501,MATCH(D422,Destination!$A$2:$A$501,0))</f>
        <v>78.85</v>
      </c>
      <c r="K422" s="17" t="n">
        <f aca="false">Assumptions!$B$2*2*ASIN(SQRT(SIN(RADIANS(I422-G422)/2)^2+COS(RADIANS(G422))*COS(RADIANS(I422))*SIN(RADIANS(J422-H422)/2)^2))</f>
        <v>24.5478493392574</v>
      </c>
      <c r="L422" s="18" t="n">
        <f aca="false">K422*Assumptions!$B$3</f>
        <v>31.9122041410347</v>
      </c>
      <c r="M422" s="19" t="n">
        <f aca="false">L422/Assumptions!$B$4</f>
        <v>0.709160092022993</v>
      </c>
      <c r="N422" s="9" t="s">
        <v>1365</v>
      </c>
    </row>
    <row r="423" customFormat="false" ht="15" hidden="false" customHeight="false" outlineLevel="0" collapsed="false">
      <c r="A423" s="9" t="s">
        <v>1786</v>
      </c>
      <c r="B423" s="9" t="s">
        <v>461</v>
      </c>
      <c r="C423" s="9" t="str">
        <f aca="false">IFERROR(INDEX(Destination!$B$2:$B$501,MATCH(B423,Destination!$A$2:$A$501,0)),"")</f>
        <v>Tiruvannamalai</v>
      </c>
      <c r="D423" s="9" t="s">
        <v>492</v>
      </c>
      <c r="E423" s="9" t="str">
        <f aca="false">IFERROR(INDEX(Destination!$B$2:$B$501,MATCH(D423,Destination!$A$2:$A$501,0)),"")</f>
        <v>Yelagiri</v>
      </c>
      <c r="F423" s="9" t="s">
        <v>1364</v>
      </c>
      <c r="G423" s="12" t="n">
        <f aca="false">INDEX(Destination!$F$2:$F$501,MATCH(B423,Destination!$A$2:$A$501,0))</f>
        <v>12.23</v>
      </c>
      <c r="H423" s="12" t="n">
        <f aca="false">INDEX(Destination!$G$2:$G$501,MATCH(B423,Destination!$A$2:$A$501,0))</f>
        <v>79.07</v>
      </c>
      <c r="I423" s="12" t="n">
        <f aca="false">INDEX(Destination!$F$2:$F$501,MATCH(D423,Destination!$A$2:$A$501,0))</f>
        <v>12.58</v>
      </c>
      <c r="J423" s="12" t="n">
        <f aca="false">INDEX(Destination!$G$2:$G$501,MATCH(D423,Destination!$A$2:$A$501,0))</f>
        <v>78.64</v>
      </c>
      <c r="K423" s="17" t="n">
        <f aca="false">Assumptions!$B$2*2*ASIN(SQRT(SIN(RADIANS(I423-G423)/2)^2+COS(RADIANS(G423))*COS(RADIANS(I423))*SIN(RADIANS(J423-H423)/2)^2))</f>
        <v>60.788812350644</v>
      </c>
      <c r="L423" s="18" t="n">
        <f aca="false">K423*Assumptions!$B$3</f>
        <v>79.0254560558372</v>
      </c>
      <c r="M423" s="19" t="n">
        <f aca="false">L423/Assumptions!$B$4</f>
        <v>1.75612124568527</v>
      </c>
      <c r="N423" s="9" t="s">
        <v>1365</v>
      </c>
    </row>
    <row r="424" customFormat="false" ht="15" hidden="false" customHeight="false" outlineLevel="0" collapsed="false">
      <c r="A424" s="9" t="s">
        <v>1787</v>
      </c>
      <c r="B424" s="9" t="s">
        <v>463</v>
      </c>
      <c r="C424" s="9" t="str">
        <f aca="false">IFERROR(INDEX(Destination!$B$2:$B$501,MATCH(B424,Destination!$A$2:$A$501,0)),"")</f>
        <v>Courtallam</v>
      </c>
      <c r="D424" s="9" t="s">
        <v>486</v>
      </c>
      <c r="E424" s="9" t="str">
        <f aca="false">IFERROR(INDEX(Destination!$B$2:$B$501,MATCH(D424,Destination!$A$2:$A$501,0)),"")</f>
        <v>Tiruchendur</v>
      </c>
      <c r="F424" s="9" t="s">
        <v>1364</v>
      </c>
      <c r="G424" s="12" t="n">
        <f aca="false">INDEX(Destination!$F$2:$F$501,MATCH(B424,Destination!$A$2:$A$501,0))</f>
        <v>8.93</v>
      </c>
      <c r="H424" s="12" t="n">
        <f aca="false">INDEX(Destination!$G$2:$G$501,MATCH(B424,Destination!$A$2:$A$501,0))</f>
        <v>77.27</v>
      </c>
      <c r="I424" s="12" t="n">
        <f aca="false">INDEX(Destination!$F$2:$F$501,MATCH(D424,Destination!$A$2:$A$501,0))</f>
        <v>8.49</v>
      </c>
      <c r="J424" s="12" t="n">
        <f aca="false">INDEX(Destination!$G$2:$G$501,MATCH(D424,Destination!$A$2:$A$501,0))</f>
        <v>78.12</v>
      </c>
      <c r="K424" s="17" t="n">
        <f aca="false">Assumptions!$B$2*2*ASIN(SQRT(SIN(RADIANS(I424-G424)/2)^2+COS(RADIANS(G424))*COS(RADIANS(I424))*SIN(RADIANS(J424-H424)/2)^2))</f>
        <v>105.461079877435</v>
      </c>
      <c r="L424" s="18" t="n">
        <f aca="false">K424*Assumptions!$B$3</f>
        <v>137.099403840665</v>
      </c>
      <c r="M424" s="19" t="n">
        <f aca="false">L424/Assumptions!$B$4</f>
        <v>3.04665341868145</v>
      </c>
      <c r="N424" s="9" t="s">
        <v>1365</v>
      </c>
    </row>
    <row r="425" customFormat="false" ht="15" hidden="false" customHeight="false" outlineLevel="0" collapsed="false">
      <c r="A425" s="9" t="s">
        <v>1788</v>
      </c>
      <c r="B425" s="9" t="s">
        <v>463</v>
      </c>
      <c r="C425" s="9" t="str">
        <f aca="false">IFERROR(INDEX(Destination!$B$2:$B$501,MATCH(B425,Destination!$A$2:$A$501,0)),"")</f>
        <v>Courtallam</v>
      </c>
      <c r="D425" s="9" t="s">
        <v>508</v>
      </c>
      <c r="E425" s="9" t="str">
        <f aca="false">IFERROR(INDEX(Destination!$B$2:$B$501,MATCH(D425,Destination!$A$2:$A$501,0)),"")</f>
        <v>Thiruvananthapuram</v>
      </c>
      <c r="F425" s="9" t="s">
        <v>1364</v>
      </c>
      <c r="G425" s="12" t="n">
        <f aca="false">INDEX(Destination!$F$2:$F$501,MATCH(B425,Destination!$A$2:$A$501,0))</f>
        <v>8.93</v>
      </c>
      <c r="H425" s="12" t="n">
        <f aca="false">INDEX(Destination!$G$2:$G$501,MATCH(B425,Destination!$A$2:$A$501,0))</f>
        <v>77.27</v>
      </c>
      <c r="I425" s="12" t="n">
        <f aca="false">INDEX(Destination!$F$2:$F$501,MATCH(D425,Destination!$A$2:$A$501,0))</f>
        <v>8.52</v>
      </c>
      <c r="J425" s="12" t="n">
        <f aca="false">INDEX(Destination!$G$2:$G$501,MATCH(D425,Destination!$A$2:$A$501,0))</f>
        <v>76.94</v>
      </c>
      <c r="K425" s="17" t="n">
        <f aca="false">Assumptions!$B$2*2*ASIN(SQRT(SIN(RADIANS(I425-G425)/2)^2+COS(RADIANS(G425))*COS(RADIANS(I425))*SIN(RADIANS(J425-H425)/2)^2))</f>
        <v>58.2574048748126</v>
      </c>
      <c r="L425" s="18" t="n">
        <f aca="false">K425*Assumptions!$B$3</f>
        <v>75.7346263372563</v>
      </c>
      <c r="M425" s="19" t="n">
        <f aca="false">L425/Assumptions!$B$4</f>
        <v>1.68299169638347</v>
      </c>
      <c r="N425" s="9" t="s">
        <v>1365</v>
      </c>
    </row>
    <row r="426" customFormat="false" ht="15" hidden="false" customHeight="false" outlineLevel="0" collapsed="false">
      <c r="A426" s="9" t="s">
        <v>1789</v>
      </c>
      <c r="B426" s="9" t="s">
        <v>463</v>
      </c>
      <c r="C426" s="9" t="str">
        <f aca="false">IFERROR(INDEX(Destination!$B$2:$B$501,MATCH(B426,Destination!$A$2:$A$501,0)),"")</f>
        <v>Courtallam</v>
      </c>
      <c r="D426" s="9" t="s">
        <v>518</v>
      </c>
      <c r="E426" s="9" t="str">
        <f aca="false">IFERROR(INDEX(Destination!$B$2:$B$501,MATCH(D426,Destination!$A$2:$A$501,0)),"")</f>
        <v>Ponmudi</v>
      </c>
      <c r="F426" s="9" t="s">
        <v>1364</v>
      </c>
      <c r="G426" s="12" t="n">
        <f aca="false">INDEX(Destination!$F$2:$F$501,MATCH(B426,Destination!$A$2:$A$501,0))</f>
        <v>8.93</v>
      </c>
      <c r="H426" s="12" t="n">
        <f aca="false">INDEX(Destination!$G$2:$G$501,MATCH(B426,Destination!$A$2:$A$501,0))</f>
        <v>77.27</v>
      </c>
      <c r="I426" s="12" t="n">
        <f aca="false">INDEX(Destination!$F$2:$F$501,MATCH(D426,Destination!$A$2:$A$501,0))</f>
        <v>8.76</v>
      </c>
      <c r="J426" s="12" t="n">
        <f aca="false">INDEX(Destination!$G$2:$G$501,MATCH(D426,Destination!$A$2:$A$501,0))</f>
        <v>77.11</v>
      </c>
      <c r="K426" s="17" t="n">
        <f aca="false">Assumptions!$B$2*2*ASIN(SQRT(SIN(RADIANS(I426-G426)/2)^2+COS(RADIANS(G426))*COS(RADIANS(I426))*SIN(RADIANS(J426-H426)/2)^2))</f>
        <v>25.8141664808647</v>
      </c>
      <c r="L426" s="18" t="n">
        <f aca="false">K426*Assumptions!$B$3</f>
        <v>33.5584164251241</v>
      </c>
      <c r="M426" s="19" t="n">
        <f aca="false">L426/Assumptions!$B$4</f>
        <v>0.74574258722498</v>
      </c>
      <c r="N426" s="9" t="s">
        <v>1365</v>
      </c>
    </row>
    <row r="427" customFormat="false" ht="15" hidden="false" customHeight="false" outlineLevel="0" collapsed="false">
      <c r="A427" s="9" t="s">
        <v>1790</v>
      </c>
      <c r="B427" s="9" t="s">
        <v>465</v>
      </c>
      <c r="C427" s="9" t="str">
        <f aca="false">IFERROR(INDEX(Destination!$B$2:$B$501,MATCH(B427,Destination!$A$2:$A$501,0)),"")</f>
        <v>Dhanushkodi</v>
      </c>
      <c r="D427" s="9" t="s">
        <v>467</v>
      </c>
      <c r="E427" s="9" t="str">
        <f aca="false">IFERROR(INDEX(Destination!$B$2:$B$501,MATCH(D427,Destination!$A$2:$A$501,0)),"")</f>
        <v>Chettinad</v>
      </c>
      <c r="F427" s="9" t="s">
        <v>1364</v>
      </c>
      <c r="G427" s="12" t="n">
        <f aca="false">INDEX(Destination!$F$2:$F$501,MATCH(B427,Destination!$A$2:$A$501,0))</f>
        <v>9.18</v>
      </c>
      <c r="H427" s="12" t="n">
        <f aca="false">INDEX(Destination!$G$2:$G$501,MATCH(B427,Destination!$A$2:$A$501,0))</f>
        <v>79.41</v>
      </c>
      <c r="I427" s="12" t="n">
        <f aca="false">INDEX(Destination!$F$2:$F$501,MATCH(D427,Destination!$A$2:$A$501,0))</f>
        <v>10.07</v>
      </c>
      <c r="J427" s="12" t="n">
        <f aca="false">INDEX(Destination!$G$2:$G$501,MATCH(D427,Destination!$A$2:$A$501,0))</f>
        <v>78.78</v>
      </c>
      <c r="K427" s="17" t="n">
        <f aca="false">Assumptions!$B$2*2*ASIN(SQRT(SIN(RADIANS(I427-G427)/2)^2+COS(RADIANS(G427))*COS(RADIANS(I427))*SIN(RADIANS(J427-H427)/2)^2))</f>
        <v>120.68087027118</v>
      </c>
      <c r="L427" s="18" t="n">
        <f aca="false">K427*Assumptions!$B$3</f>
        <v>156.885131352535</v>
      </c>
      <c r="M427" s="19" t="n">
        <f aca="false">L427/Assumptions!$B$4</f>
        <v>3.48633625227855</v>
      </c>
      <c r="N427" s="9" t="s">
        <v>1365</v>
      </c>
    </row>
    <row r="428" customFormat="false" ht="15" hidden="false" customHeight="false" outlineLevel="0" collapsed="false">
      <c r="A428" s="9" t="s">
        <v>1791</v>
      </c>
      <c r="B428" s="9" t="s">
        <v>465</v>
      </c>
      <c r="C428" s="9" t="str">
        <f aca="false">IFERROR(INDEX(Destination!$B$2:$B$501,MATCH(B428,Destination!$A$2:$A$501,0)),"")</f>
        <v>Dhanushkodi</v>
      </c>
      <c r="D428" s="9" t="s">
        <v>470</v>
      </c>
      <c r="E428" s="9" t="str">
        <f aca="false">IFERROR(INDEX(Destination!$B$2:$B$501,MATCH(D428,Destination!$A$2:$A$501,0)),"")</f>
        <v>Karaikudi</v>
      </c>
      <c r="F428" s="9" t="s">
        <v>1364</v>
      </c>
      <c r="G428" s="12" t="n">
        <f aca="false">INDEX(Destination!$F$2:$F$501,MATCH(B428,Destination!$A$2:$A$501,0))</f>
        <v>9.18</v>
      </c>
      <c r="H428" s="12" t="n">
        <f aca="false">INDEX(Destination!$G$2:$G$501,MATCH(B428,Destination!$A$2:$A$501,0))</f>
        <v>79.41</v>
      </c>
      <c r="I428" s="12" t="n">
        <f aca="false">INDEX(Destination!$F$2:$F$501,MATCH(D428,Destination!$A$2:$A$501,0))</f>
        <v>10.07</v>
      </c>
      <c r="J428" s="12" t="n">
        <f aca="false">INDEX(Destination!$G$2:$G$501,MATCH(D428,Destination!$A$2:$A$501,0))</f>
        <v>78.78</v>
      </c>
      <c r="K428" s="17" t="n">
        <f aca="false">Assumptions!$B$2*2*ASIN(SQRT(SIN(RADIANS(I428-G428)/2)^2+COS(RADIANS(G428))*COS(RADIANS(I428))*SIN(RADIANS(J428-H428)/2)^2))</f>
        <v>120.68087027118</v>
      </c>
      <c r="L428" s="18" t="n">
        <f aca="false">K428*Assumptions!$B$3</f>
        <v>156.885131352535</v>
      </c>
      <c r="M428" s="19" t="n">
        <f aca="false">L428/Assumptions!$B$4</f>
        <v>3.48633625227855</v>
      </c>
      <c r="N428" s="9" t="s">
        <v>1365</v>
      </c>
    </row>
    <row r="429" customFormat="false" ht="15" hidden="false" customHeight="false" outlineLevel="0" collapsed="false">
      <c r="A429" s="9" t="s">
        <v>1792</v>
      </c>
      <c r="B429" s="9" t="s">
        <v>472</v>
      </c>
      <c r="C429" s="9" t="str">
        <f aca="false">IFERROR(INDEX(Destination!$B$2:$B$501,MATCH(B429,Destination!$A$2:$A$501,0)),"")</f>
        <v>Nagapattinam</v>
      </c>
      <c r="D429" s="9" t="s">
        <v>494</v>
      </c>
      <c r="E429" s="9" t="str">
        <f aca="false">IFERROR(INDEX(Destination!$B$2:$B$501,MATCH(D429,Destination!$A$2:$A$501,0)),"")</f>
        <v>Poompuhar</v>
      </c>
      <c r="F429" s="9" t="s">
        <v>1364</v>
      </c>
      <c r="G429" s="12" t="n">
        <f aca="false">INDEX(Destination!$F$2:$F$501,MATCH(B429,Destination!$A$2:$A$501,0))</f>
        <v>10.77</v>
      </c>
      <c r="H429" s="12" t="n">
        <f aca="false">INDEX(Destination!$G$2:$G$501,MATCH(B429,Destination!$A$2:$A$501,0))</f>
        <v>79.84</v>
      </c>
      <c r="I429" s="12" t="n">
        <f aca="false">INDEX(Destination!$F$2:$F$501,MATCH(D429,Destination!$A$2:$A$501,0))</f>
        <v>11.14</v>
      </c>
      <c r="J429" s="12" t="n">
        <f aca="false">INDEX(Destination!$G$2:$G$501,MATCH(D429,Destination!$A$2:$A$501,0))</f>
        <v>79.85</v>
      </c>
      <c r="K429" s="17" t="n">
        <f aca="false">Assumptions!$B$2*2*ASIN(SQRT(SIN(RADIANS(I429-G429)/2)^2+COS(RADIANS(G429))*COS(RADIANS(I429))*SIN(RADIANS(J429-H429)/2)^2))</f>
        <v>41.1566039276858</v>
      </c>
      <c r="L429" s="18" t="n">
        <f aca="false">K429*Assumptions!$B$3</f>
        <v>53.5035851059915</v>
      </c>
      <c r="M429" s="19" t="n">
        <f aca="false">L429/Assumptions!$B$4</f>
        <v>1.18896855791092</v>
      </c>
      <c r="N429" s="9" t="s">
        <v>1365</v>
      </c>
    </row>
    <row r="430" customFormat="false" ht="15" hidden="false" customHeight="false" outlineLevel="0" collapsed="false">
      <c r="A430" s="9" t="s">
        <v>1793</v>
      </c>
      <c r="B430" s="9" t="s">
        <v>474</v>
      </c>
      <c r="C430" s="9" t="str">
        <f aca="false">IFERROR(INDEX(Destination!$B$2:$B$501,MATCH(B430,Destination!$A$2:$A$501,0)),"")</f>
        <v>Pichavaram</v>
      </c>
      <c r="D430" s="9" t="s">
        <v>494</v>
      </c>
      <c r="E430" s="9" t="str">
        <f aca="false">IFERROR(INDEX(Destination!$B$2:$B$501,MATCH(D430,Destination!$A$2:$A$501,0)),"")</f>
        <v>Poompuhar</v>
      </c>
      <c r="F430" s="9" t="s">
        <v>1364</v>
      </c>
      <c r="G430" s="12" t="n">
        <f aca="false">INDEX(Destination!$F$2:$F$501,MATCH(B430,Destination!$A$2:$A$501,0))</f>
        <v>11.43</v>
      </c>
      <c r="H430" s="12" t="n">
        <f aca="false">INDEX(Destination!$G$2:$G$501,MATCH(B430,Destination!$A$2:$A$501,0))</f>
        <v>79.78</v>
      </c>
      <c r="I430" s="12" t="n">
        <f aca="false">INDEX(Destination!$F$2:$F$501,MATCH(D430,Destination!$A$2:$A$501,0))</f>
        <v>11.14</v>
      </c>
      <c r="J430" s="12" t="n">
        <f aca="false">INDEX(Destination!$G$2:$G$501,MATCH(D430,Destination!$A$2:$A$501,0))</f>
        <v>79.85</v>
      </c>
      <c r="K430" s="17" t="n">
        <f aca="false">Assumptions!$B$2*2*ASIN(SQRT(SIN(RADIANS(I430-G430)/2)^2+COS(RADIANS(G430))*COS(RADIANS(I430))*SIN(RADIANS(J430-H430)/2)^2))</f>
        <v>33.1376452835829</v>
      </c>
      <c r="L430" s="18" t="n">
        <f aca="false">K430*Assumptions!$B$3</f>
        <v>43.0789388686578</v>
      </c>
      <c r="M430" s="19" t="n">
        <f aca="false">L430/Assumptions!$B$4</f>
        <v>0.95730975263684</v>
      </c>
      <c r="N430" s="9" t="s">
        <v>1365</v>
      </c>
    </row>
    <row r="431" customFormat="false" ht="15" hidden="false" customHeight="false" outlineLevel="0" collapsed="false">
      <c r="A431" s="9" t="s">
        <v>1794</v>
      </c>
      <c r="B431" s="9" t="s">
        <v>476</v>
      </c>
      <c r="C431" s="9" t="str">
        <f aca="false">IFERROR(INDEX(Destination!$B$2:$B$501,MATCH(B431,Destination!$A$2:$A$501,0)),"")</f>
        <v>Mudumalai</v>
      </c>
      <c r="D431" s="9" t="s">
        <v>502</v>
      </c>
      <c r="E431" s="9" t="str">
        <f aca="false">IFERROR(INDEX(Destination!$B$2:$B$501,MATCH(D431,Destination!$A$2:$A$501,0)),"")</f>
        <v>Wayanad</v>
      </c>
      <c r="F431" s="9" t="s">
        <v>1364</v>
      </c>
      <c r="G431" s="12" t="n">
        <f aca="false">INDEX(Destination!$F$2:$F$501,MATCH(B431,Destination!$A$2:$A$501,0))</f>
        <v>11.57</v>
      </c>
      <c r="H431" s="12" t="n">
        <f aca="false">INDEX(Destination!$G$2:$G$501,MATCH(B431,Destination!$A$2:$A$501,0))</f>
        <v>76.53</v>
      </c>
      <c r="I431" s="12" t="n">
        <f aca="false">INDEX(Destination!$F$2:$F$501,MATCH(D431,Destination!$A$2:$A$501,0))</f>
        <v>11.69</v>
      </c>
      <c r="J431" s="12" t="n">
        <f aca="false">INDEX(Destination!$G$2:$G$501,MATCH(D431,Destination!$A$2:$A$501,0))</f>
        <v>76.08</v>
      </c>
      <c r="K431" s="17" t="n">
        <f aca="false">Assumptions!$B$2*2*ASIN(SQRT(SIN(RADIANS(I431-G431)/2)^2+COS(RADIANS(G431))*COS(RADIANS(I431))*SIN(RADIANS(J431-H431)/2)^2))</f>
        <v>50.7943624720015</v>
      </c>
      <c r="L431" s="18" t="n">
        <f aca="false">K431*Assumptions!$B$3</f>
        <v>66.0326712136019</v>
      </c>
      <c r="M431" s="19" t="n">
        <f aca="false">L431/Assumptions!$B$4</f>
        <v>1.4673926936356</v>
      </c>
      <c r="N431" s="9" t="s">
        <v>1365</v>
      </c>
    </row>
    <row r="432" customFormat="false" ht="15" hidden="false" customHeight="false" outlineLevel="0" collapsed="false">
      <c r="A432" s="9" t="s">
        <v>1795</v>
      </c>
      <c r="B432" s="9" t="s">
        <v>476</v>
      </c>
      <c r="C432" s="9" t="str">
        <f aca="false">IFERROR(INDEX(Destination!$B$2:$B$501,MATCH(B432,Destination!$A$2:$A$501,0)),"")</f>
        <v>Mudumalai</v>
      </c>
      <c r="D432" s="9" t="s">
        <v>533</v>
      </c>
      <c r="E432" s="9" t="str">
        <f aca="false">IFERROR(INDEX(Destination!$B$2:$B$501,MATCH(D432,Destination!$A$2:$A$501,0)),"")</f>
        <v>Silent Valley</v>
      </c>
      <c r="F432" s="9" t="s">
        <v>1364</v>
      </c>
      <c r="G432" s="12" t="n">
        <f aca="false">INDEX(Destination!$F$2:$F$501,MATCH(B432,Destination!$A$2:$A$501,0))</f>
        <v>11.57</v>
      </c>
      <c r="H432" s="12" t="n">
        <f aca="false">INDEX(Destination!$G$2:$G$501,MATCH(B432,Destination!$A$2:$A$501,0))</f>
        <v>76.53</v>
      </c>
      <c r="I432" s="12" t="n">
        <f aca="false">INDEX(Destination!$F$2:$F$501,MATCH(D432,Destination!$A$2:$A$501,0))</f>
        <v>11.08</v>
      </c>
      <c r="J432" s="12" t="n">
        <f aca="false">INDEX(Destination!$G$2:$G$501,MATCH(D432,Destination!$A$2:$A$501,0))</f>
        <v>76.44</v>
      </c>
      <c r="K432" s="17" t="n">
        <f aca="false">Assumptions!$B$2*2*ASIN(SQRT(SIN(RADIANS(I432-G432)/2)^2+COS(RADIANS(G432))*COS(RADIANS(I432))*SIN(RADIANS(J432-H432)/2)^2))</f>
        <v>55.3620755905818</v>
      </c>
      <c r="L432" s="18" t="n">
        <f aca="false">K432*Assumptions!$B$3</f>
        <v>71.9706982677563</v>
      </c>
      <c r="M432" s="19" t="n">
        <f aca="false">L432/Assumptions!$B$4</f>
        <v>1.59934885039459</v>
      </c>
      <c r="N432" s="9" t="s">
        <v>1365</v>
      </c>
    </row>
    <row r="433" customFormat="false" ht="15" hidden="false" customHeight="false" outlineLevel="0" collapsed="false">
      <c r="A433" s="9" t="s">
        <v>1796</v>
      </c>
      <c r="B433" s="9" t="s">
        <v>478</v>
      </c>
      <c r="C433" s="9" t="str">
        <f aca="false">IFERROR(INDEX(Destination!$B$2:$B$501,MATCH(B433,Destination!$A$2:$A$501,0)),"")</f>
        <v>Valparai</v>
      </c>
      <c r="D433" s="9" t="s">
        <v>480</v>
      </c>
      <c r="E433" s="9" t="str">
        <f aca="false">IFERROR(INDEX(Destination!$B$2:$B$501,MATCH(D433,Destination!$A$2:$A$501,0)),"")</f>
        <v>Pollachi</v>
      </c>
      <c r="F433" s="9" t="s">
        <v>1364</v>
      </c>
      <c r="G433" s="12" t="n">
        <f aca="false">INDEX(Destination!$F$2:$F$501,MATCH(B433,Destination!$A$2:$A$501,0))</f>
        <v>10.33</v>
      </c>
      <c r="H433" s="12" t="n">
        <f aca="false">INDEX(Destination!$G$2:$G$501,MATCH(B433,Destination!$A$2:$A$501,0))</f>
        <v>76.96</v>
      </c>
      <c r="I433" s="12" t="n">
        <f aca="false">INDEX(Destination!$F$2:$F$501,MATCH(D433,Destination!$A$2:$A$501,0))</f>
        <v>10.66</v>
      </c>
      <c r="J433" s="12" t="n">
        <f aca="false">INDEX(Destination!$G$2:$G$501,MATCH(D433,Destination!$A$2:$A$501,0))</f>
        <v>77.01</v>
      </c>
      <c r="K433" s="17" t="n">
        <f aca="false">Assumptions!$B$2*2*ASIN(SQRT(SIN(RADIANS(I433-G433)/2)^2+COS(RADIANS(G433))*COS(RADIANS(I433))*SIN(RADIANS(J433-H433)/2)^2))</f>
        <v>37.0993080738339</v>
      </c>
      <c r="L433" s="18" t="n">
        <f aca="false">K433*Assumptions!$B$3</f>
        <v>48.2291004959841</v>
      </c>
      <c r="M433" s="19" t="n">
        <f aca="false">L433/Assumptions!$B$4</f>
        <v>1.07175778879965</v>
      </c>
      <c r="N433" s="9" t="s">
        <v>1365</v>
      </c>
    </row>
    <row r="434" customFormat="false" ht="15" hidden="false" customHeight="false" outlineLevel="0" collapsed="false">
      <c r="A434" s="9" t="s">
        <v>1797</v>
      </c>
      <c r="B434" s="9" t="s">
        <v>478</v>
      </c>
      <c r="C434" s="9" t="str">
        <f aca="false">IFERROR(INDEX(Destination!$B$2:$B$501,MATCH(B434,Destination!$A$2:$A$501,0)),"")</f>
        <v>Valparai</v>
      </c>
      <c r="D434" s="9" t="s">
        <v>488</v>
      </c>
      <c r="E434" s="9" t="str">
        <f aca="false">IFERROR(INDEX(Destination!$B$2:$B$501,MATCH(D434,Destination!$A$2:$A$501,0)),"")</f>
        <v>Palani</v>
      </c>
      <c r="F434" s="9" t="s">
        <v>1364</v>
      </c>
      <c r="G434" s="12" t="n">
        <f aca="false">INDEX(Destination!$F$2:$F$501,MATCH(B434,Destination!$A$2:$A$501,0))</f>
        <v>10.33</v>
      </c>
      <c r="H434" s="12" t="n">
        <f aca="false">INDEX(Destination!$G$2:$G$501,MATCH(B434,Destination!$A$2:$A$501,0))</f>
        <v>76.96</v>
      </c>
      <c r="I434" s="12" t="n">
        <f aca="false">INDEX(Destination!$F$2:$F$501,MATCH(D434,Destination!$A$2:$A$501,0))</f>
        <v>10.45</v>
      </c>
      <c r="J434" s="12" t="n">
        <f aca="false">INDEX(Destination!$G$2:$G$501,MATCH(D434,Destination!$A$2:$A$501,0))</f>
        <v>77.52</v>
      </c>
      <c r="K434" s="17" t="n">
        <f aca="false">Assumptions!$B$2*2*ASIN(SQRT(SIN(RADIANS(I434-G434)/2)^2+COS(RADIANS(G434))*COS(RADIANS(I434))*SIN(RADIANS(J434-H434)/2)^2))</f>
        <v>62.6847424471096</v>
      </c>
      <c r="L434" s="18" t="n">
        <f aca="false">K434*Assumptions!$B$3</f>
        <v>81.4901651812425</v>
      </c>
      <c r="M434" s="19" t="n">
        <f aca="false">L434/Assumptions!$B$4</f>
        <v>1.81089255958317</v>
      </c>
      <c r="N434" s="9" t="s">
        <v>1365</v>
      </c>
    </row>
    <row r="435" customFormat="false" ht="15" hidden="false" customHeight="false" outlineLevel="0" collapsed="false">
      <c r="A435" s="9" t="s">
        <v>1798</v>
      </c>
      <c r="B435" s="9" t="s">
        <v>478</v>
      </c>
      <c r="C435" s="9" t="str">
        <f aca="false">IFERROR(INDEX(Destination!$B$2:$B$501,MATCH(B435,Destination!$A$2:$A$501,0)),"")</f>
        <v>Valparai</v>
      </c>
      <c r="D435" s="9" t="s">
        <v>520</v>
      </c>
      <c r="E435" s="9" t="str">
        <f aca="false">IFERROR(INDEX(Destination!$B$2:$B$501,MATCH(D435,Destination!$A$2:$A$501,0)),"")</f>
        <v>Athirappilly</v>
      </c>
      <c r="F435" s="9" t="s">
        <v>1364</v>
      </c>
      <c r="G435" s="12" t="n">
        <f aca="false">INDEX(Destination!$F$2:$F$501,MATCH(B435,Destination!$A$2:$A$501,0))</f>
        <v>10.33</v>
      </c>
      <c r="H435" s="12" t="n">
        <f aca="false">INDEX(Destination!$G$2:$G$501,MATCH(B435,Destination!$A$2:$A$501,0))</f>
        <v>76.96</v>
      </c>
      <c r="I435" s="12" t="n">
        <f aca="false">INDEX(Destination!$F$2:$F$501,MATCH(D435,Destination!$A$2:$A$501,0))</f>
        <v>10.29</v>
      </c>
      <c r="J435" s="12" t="n">
        <f aca="false">INDEX(Destination!$G$2:$G$501,MATCH(D435,Destination!$A$2:$A$501,0))</f>
        <v>76.57</v>
      </c>
      <c r="K435" s="17" t="n">
        <f aca="false">Assumptions!$B$2*2*ASIN(SQRT(SIN(RADIANS(I435-G435)/2)^2+COS(RADIANS(G435))*COS(RADIANS(I435))*SIN(RADIANS(J435-H435)/2)^2))</f>
        <v>42.8970310085412</v>
      </c>
      <c r="L435" s="18" t="n">
        <f aca="false">K435*Assumptions!$B$3</f>
        <v>55.7661403111035</v>
      </c>
      <c r="M435" s="19" t="n">
        <f aca="false">L435/Assumptions!$B$4</f>
        <v>1.23924756246897</v>
      </c>
      <c r="N435" s="9" t="s">
        <v>1365</v>
      </c>
    </row>
    <row r="436" customFormat="false" ht="15" hidden="false" customHeight="false" outlineLevel="0" collapsed="false">
      <c r="A436" s="9" t="s">
        <v>1799</v>
      </c>
      <c r="B436" s="9" t="s">
        <v>480</v>
      </c>
      <c r="C436" s="9" t="str">
        <f aca="false">IFERROR(INDEX(Destination!$B$2:$B$501,MATCH(B436,Destination!$A$2:$A$501,0)),"")</f>
        <v>Pollachi</v>
      </c>
      <c r="D436" s="9" t="s">
        <v>488</v>
      </c>
      <c r="E436" s="9" t="str">
        <f aca="false">IFERROR(INDEX(Destination!$B$2:$B$501,MATCH(D436,Destination!$A$2:$A$501,0)),"")</f>
        <v>Palani</v>
      </c>
      <c r="F436" s="9" t="s">
        <v>1364</v>
      </c>
      <c r="G436" s="12" t="n">
        <f aca="false">INDEX(Destination!$F$2:$F$501,MATCH(B436,Destination!$A$2:$A$501,0))</f>
        <v>10.66</v>
      </c>
      <c r="H436" s="12" t="n">
        <f aca="false">INDEX(Destination!$G$2:$G$501,MATCH(B436,Destination!$A$2:$A$501,0))</f>
        <v>77.01</v>
      </c>
      <c r="I436" s="12" t="n">
        <f aca="false">INDEX(Destination!$F$2:$F$501,MATCH(D436,Destination!$A$2:$A$501,0))</f>
        <v>10.45</v>
      </c>
      <c r="J436" s="12" t="n">
        <f aca="false">INDEX(Destination!$G$2:$G$501,MATCH(D436,Destination!$A$2:$A$501,0))</f>
        <v>77.52</v>
      </c>
      <c r="K436" s="17" t="n">
        <f aca="false">Assumptions!$B$2*2*ASIN(SQRT(SIN(RADIANS(I436-G436)/2)^2+COS(RADIANS(G436))*COS(RADIANS(I436))*SIN(RADIANS(J436-H436)/2)^2))</f>
        <v>60.4426070547348</v>
      </c>
      <c r="L436" s="18" t="n">
        <f aca="false">K436*Assumptions!$B$3</f>
        <v>78.5753891711552</v>
      </c>
      <c r="M436" s="19" t="n">
        <f aca="false">L436/Assumptions!$B$4</f>
        <v>1.746119759359</v>
      </c>
      <c r="N436" s="9" t="s">
        <v>1365</v>
      </c>
    </row>
    <row r="437" customFormat="false" ht="15" hidden="false" customHeight="false" outlineLevel="0" collapsed="false">
      <c r="A437" s="9" t="s">
        <v>1800</v>
      </c>
      <c r="B437" s="9" t="s">
        <v>482</v>
      </c>
      <c r="C437" s="9" t="str">
        <f aca="false">IFERROR(INDEX(Destination!$B$2:$B$501,MATCH(B437,Destination!$A$2:$A$501,0)),"")</f>
        <v>Vellore</v>
      </c>
      <c r="D437" s="9" t="s">
        <v>492</v>
      </c>
      <c r="E437" s="9" t="str">
        <f aca="false">IFERROR(INDEX(Destination!$B$2:$B$501,MATCH(D437,Destination!$A$2:$A$501,0)),"")</f>
        <v>Yelagiri</v>
      </c>
      <c r="F437" s="9" t="s">
        <v>1364</v>
      </c>
      <c r="G437" s="12" t="n">
        <f aca="false">INDEX(Destination!$F$2:$F$501,MATCH(B437,Destination!$A$2:$A$501,0))</f>
        <v>12.92</v>
      </c>
      <c r="H437" s="12" t="n">
        <f aca="false">INDEX(Destination!$G$2:$G$501,MATCH(B437,Destination!$A$2:$A$501,0))</f>
        <v>79.13</v>
      </c>
      <c r="I437" s="12" t="n">
        <f aca="false">INDEX(Destination!$F$2:$F$501,MATCH(D437,Destination!$A$2:$A$501,0))</f>
        <v>12.58</v>
      </c>
      <c r="J437" s="12" t="n">
        <f aca="false">INDEX(Destination!$G$2:$G$501,MATCH(D437,Destination!$A$2:$A$501,0))</f>
        <v>78.64</v>
      </c>
      <c r="K437" s="17" t="n">
        <f aca="false">Assumptions!$B$2*2*ASIN(SQRT(SIN(RADIANS(I437-G437)/2)^2+COS(RADIANS(G437))*COS(RADIANS(I437))*SIN(RADIANS(J437-H437)/2)^2))</f>
        <v>65.217935759973</v>
      </c>
      <c r="L437" s="18" t="n">
        <f aca="false">K437*Assumptions!$B$3</f>
        <v>84.7833164879649</v>
      </c>
      <c r="M437" s="19" t="n">
        <f aca="false">L437/Assumptions!$B$4</f>
        <v>1.88407369973255</v>
      </c>
      <c r="N437" s="9" t="s">
        <v>1365</v>
      </c>
    </row>
    <row r="438" customFormat="false" ht="15" hidden="false" customHeight="false" outlineLevel="0" collapsed="false">
      <c r="A438" s="9" t="s">
        <v>1801</v>
      </c>
      <c r="B438" s="9" t="s">
        <v>482</v>
      </c>
      <c r="C438" s="9" t="str">
        <f aca="false">IFERROR(INDEX(Destination!$B$2:$B$501,MATCH(B438,Destination!$A$2:$A$501,0)),"")</f>
        <v>Vellore</v>
      </c>
      <c r="D438" s="9" t="s">
        <v>547</v>
      </c>
      <c r="E438" s="9" t="str">
        <f aca="false">IFERROR(INDEX(Destination!$B$2:$B$501,MATCH(D438,Destination!$A$2:$A$501,0)),"")</f>
        <v>Tirupati</v>
      </c>
      <c r="F438" s="9" t="s">
        <v>1364</v>
      </c>
      <c r="G438" s="12" t="n">
        <f aca="false">INDEX(Destination!$F$2:$F$501,MATCH(B438,Destination!$A$2:$A$501,0))</f>
        <v>12.92</v>
      </c>
      <c r="H438" s="12" t="n">
        <f aca="false">INDEX(Destination!$G$2:$G$501,MATCH(B438,Destination!$A$2:$A$501,0))</f>
        <v>79.13</v>
      </c>
      <c r="I438" s="12" t="n">
        <f aca="false">INDEX(Destination!$F$2:$F$501,MATCH(D438,Destination!$A$2:$A$501,0))</f>
        <v>13.63</v>
      </c>
      <c r="J438" s="12" t="n">
        <f aca="false">INDEX(Destination!$G$2:$G$501,MATCH(D438,Destination!$A$2:$A$501,0))</f>
        <v>79.42</v>
      </c>
      <c r="K438" s="17" t="n">
        <f aca="false">Assumptions!$B$2*2*ASIN(SQRT(SIN(RADIANS(I438-G438)/2)^2+COS(RADIANS(G438))*COS(RADIANS(I438))*SIN(RADIANS(J438-H438)/2)^2))</f>
        <v>84.9579016363216</v>
      </c>
      <c r="L438" s="18" t="n">
        <f aca="false">K438*Assumptions!$B$3</f>
        <v>110.445272127218</v>
      </c>
      <c r="M438" s="19" t="n">
        <f aca="false">L438/Assumptions!$B$4</f>
        <v>2.45433938060485</v>
      </c>
      <c r="N438" s="9" t="s">
        <v>1365</v>
      </c>
    </row>
    <row r="439" customFormat="false" ht="15" hidden="false" customHeight="false" outlineLevel="0" collapsed="false">
      <c r="A439" s="9" t="s">
        <v>1802</v>
      </c>
      <c r="B439" s="9" t="s">
        <v>482</v>
      </c>
      <c r="C439" s="9" t="str">
        <f aca="false">IFERROR(INDEX(Destination!$B$2:$B$501,MATCH(B439,Destination!$A$2:$A$501,0)),"")</f>
        <v>Vellore</v>
      </c>
      <c r="D439" s="9" t="s">
        <v>585</v>
      </c>
      <c r="E439" s="9" t="str">
        <f aca="false">IFERROR(INDEX(Destination!$B$2:$B$501,MATCH(D439,Destination!$A$2:$A$501,0)),"")</f>
        <v>Talakona</v>
      </c>
      <c r="F439" s="9" t="s">
        <v>1364</v>
      </c>
      <c r="G439" s="12" t="n">
        <f aca="false">INDEX(Destination!$F$2:$F$501,MATCH(B439,Destination!$A$2:$A$501,0))</f>
        <v>12.92</v>
      </c>
      <c r="H439" s="12" t="n">
        <f aca="false">INDEX(Destination!$G$2:$G$501,MATCH(B439,Destination!$A$2:$A$501,0))</f>
        <v>79.13</v>
      </c>
      <c r="I439" s="12" t="n">
        <f aca="false">INDEX(Destination!$F$2:$F$501,MATCH(D439,Destination!$A$2:$A$501,0))</f>
        <v>13.83</v>
      </c>
      <c r="J439" s="12" t="n">
        <f aca="false">INDEX(Destination!$G$2:$G$501,MATCH(D439,Destination!$A$2:$A$501,0))</f>
        <v>79.25</v>
      </c>
      <c r="K439" s="17" t="n">
        <f aca="false">Assumptions!$B$2*2*ASIN(SQRT(SIN(RADIANS(I439-G439)/2)^2+COS(RADIANS(G439))*COS(RADIANS(I439))*SIN(RADIANS(J439-H439)/2)^2))</f>
        <v>102.016670843828</v>
      </c>
      <c r="L439" s="18" t="n">
        <f aca="false">K439*Assumptions!$B$3</f>
        <v>132.621672096977</v>
      </c>
      <c r="M439" s="19" t="n">
        <f aca="false">L439/Assumptions!$B$4</f>
        <v>2.94714826882171</v>
      </c>
      <c r="N439" s="9" t="s">
        <v>1365</v>
      </c>
    </row>
    <row r="440" customFormat="false" ht="15" hidden="false" customHeight="false" outlineLevel="0" collapsed="false">
      <c r="A440" s="9" t="s">
        <v>1803</v>
      </c>
      <c r="B440" s="9" t="s">
        <v>484</v>
      </c>
      <c r="C440" s="9" t="str">
        <f aca="false">IFERROR(INDEX(Destination!$B$2:$B$501,MATCH(B440,Destination!$A$2:$A$501,0)),"")</f>
        <v>Gingee</v>
      </c>
      <c r="D440" s="9" t="s">
        <v>490</v>
      </c>
      <c r="E440" s="9" t="str">
        <f aca="false">IFERROR(INDEX(Destination!$B$2:$B$501,MATCH(D440,Destination!$A$2:$A$501,0)),"")</f>
        <v>Sathanur</v>
      </c>
      <c r="F440" s="9" t="s">
        <v>1364</v>
      </c>
      <c r="G440" s="12" t="n">
        <f aca="false">INDEX(Destination!$F$2:$F$501,MATCH(B440,Destination!$A$2:$A$501,0))</f>
        <v>12.25</v>
      </c>
      <c r="H440" s="12" t="n">
        <f aca="false">INDEX(Destination!$G$2:$G$501,MATCH(B440,Destination!$A$2:$A$501,0))</f>
        <v>79.42</v>
      </c>
      <c r="I440" s="12" t="n">
        <f aca="false">INDEX(Destination!$F$2:$F$501,MATCH(D440,Destination!$A$2:$A$501,0))</f>
        <v>12.18</v>
      </c>
      <c r="J440" s="12" t="n">
        <f aca="false">INDEX(Destination!$G$2:$G$501,MATCH(D440,Destination!$A$2:$A$501,0))</f>
        <v>78.85</v>
      </c>
      <c r="K440" s="17" t="n">
        <f aca="false">Assumptions!$B$2*2*ASIN(SQRT(SIN(RADIANS(I440-G440)/2)^2+COS(RADIANS(G440))*COS(RADIANS(I440))*SIN(RADIANS(J440-H440)/2)^2))</f>
        <v>62.4332771996397</v>
      </c>
      <c r="L440" s="18" t="n">
        <f aca="false">K440*Assumptions!$B$3</f>
        <v>81.1632603595316</v>
      </c>
      <c r="M440" s="19" t="n">
        <f aca="false">L440/Assumptions!$B$4</f>
        <v>1.80362800798959</v>
      </c>
      <c r="N440" s="9" t="s">
        <v>1365</v>
      </c>
    </row>
    <row r="441" customFormat="false" ht="15" hidden="false" customHeight="false" outlineLevel="0" collapsed="false">
      <c r="A441" s="9" t="s">
        <v>1804</v>
      </c>
      <c r="B441" s="9" t="s">
        <v>490</v>
      </c>
      <c r="C441" s="9" t="str">
        <f aca="false">IFERROR(INDEX(Destination!$B$2:$B$501,MATCH(B441,Destination!$A$2:$A$501,0)),"")</f>
        <v>Sathanur</v>
      </c>
      <c r="D441" s="9" t="s">
        <v>492</v>
      </c>
      <c r="E441" s="9" t="str">
        <f aca="false">IFERROR(INDEX(Destination!$B$2:$B$501,MATCH(D441,Destination!$A$2:$A$501,0)),"")</f>
        <v>Yelagiri</v>
      </c>
      <c r="F441" s="9" t="s">
        <v>1364</v>
      </c>
      <c r="G441" s="12" t="n">
        <f aca="false">INDEX(Destination!$F$2:$F$501,MATCH(B441,Destination!$A$2:$A$501,0))</f>
        <v>12.18</v>
      </c>
      <c r="H441" s="12" t="n">
        <f aca="false">INDEX(Destination!$G$2:$G$501,MATCH(B441,Destination!$A$2:$A$501,0))</f>
        <v>78.85</v>
      </c>
      <c r="I441" s="12" t="n">
        <f aca="false">INDEX(Destination!$F$2:$F$501,MATCH(D441,Destination!$A$2:$A$501,0))</f>
        <v>12.58</v>
      </c>
      <c r="J441" s="12" t="n">
        <f aca="false">INDEX(Destination!$G$2:$G$501,MATCH(D441,Destination!$A$2:$A$501,0))</f>
        <v>78.64</v>
      </c>
      <c r="K441" s="17" t="n">
        <f aca="false">Assumptions!$B$2*2*ASIN(SQRT(SIN(RADIANS(I441-G441)/2)^2+COS(RADIANS(G441))*COS(RADIANS(I441))*SIN(RADIANS(J441-H441)/2)^2))</f>
        <v>49.9849021350992</v>
      </c>
      <c r="L441" s="18" t="n">
        <f aca="false">K441*Assumptions!$B$3</f>
        <v>64.980372775629</v>
      </c>
      <c r="M441" s="19" t="n">
        <f aca="false">L441/Assumptions!$B$4</f>
        <v>1.44400828390287</v>
      </c>
      <c r="N441" s="9" t="s">
        <v>1365</v>
      </c>
    </row>
    <row r="442" customFormat="false" ht="15" hidden="false" customHeight="false" outlineLevel="0" collapsed="false">
      <c r="A442" s="9" t="s">
        <v>1805</v>
      </c>
      <c r="B442" s="9" t="s">
        <v>496</v>
      </c>
      <c r="C442" s="9" t="str">
        <f aca="false">IFERROR(INDEX(Destination!$B$2:$B$501,MATCH(B442,Destination!$A$2:$A$501,0)),"")</f>
        <v>Alleppey</v>
      </c>
      <c r="D442" s="9" t="s">
        <v>498</v>
      </c>
      <c r="E442" s="9" t="str">
        <f aca="false">IFERROR(INDEX(Destination!$B$2:$B$501,MATCH(D442,Destination!$A$2:$A$501,0)),"")</f>
        <v>Kumarakom</v>
      </c>
      <c r="F442" s="9" t="s">
        <v>1364</v>
      </c>
      <c r="G442" s="12" t="n">
        <f aca="false">INDEX(Destination!$F$2:$F$501,MATCH(B442,Destination!$A$2:$A$501,0))</f>
        <v>9.49</v>
      </c>
      <c r="H442" s="12" t="n">
        <f aca="false">INDEX(Destination!$G$2:$G$501,MATCH(B442,Destination!$A$2:$A$501,0))</f>
        <v>76.34</v>
      </c>
      <c r="I442" s="12" t="n">
        <f aca="false">INDEX(Destination!$F$2:$F$501,MATCH(D442,Destination!$A$2:$A$501,0))</f>
        <v>9.62</v>
      </c>
      <c r="J442" s="12" t="n">
        <f aca="false">INDEX(Destination!$G$2:$G$501,MATCH(D442,Destination!$A$2:$A$501,0))</f>
        <v>76.43</v>
      </c>
      <c r="K442" s="17" t="n">
        <f aca="false">Assumptions!$B$2*2*ASIN(SQRT(SIN(RADIANS(I442-G442)/2)^2+COS(RADIANS(G442))*COS(RADIANS(I442))*SIN(RADIANS(J442-H442)/2)^2))</f>
        <v>17.5028048516911</v>
      </c>
      <c r="L442" s="18" t="n">
        <f aca="false">K442*Assumptions!$B$3</f>
        <v>22.7536463071984</v>
      </c>
      <c r="M442" s="19" t="n">
        <f aca="false">L442/Assumptions!$B$4</f>
        <v>0.505636584604408</v>
      </c>
      <c r="N442" s="9" t="s">
        <v>1365</v>
      </c>
    </row>
    <row r="443" customFormat="false" ht="15" hidden="false" customHeight="false" outlineLevel="0" collapsed="false">
      <c r="A443" s="9" t="s">
        <v>1806</v>
      </c>
      <c r="B443" s="9" t="s">
        <v>496</v>
      </c>
      <c r="C443" s="9" t="str">
        <f aca="false">IFERROR(INDEX(Destination!$B$2:$B$501,MATCH(B443,Destination!$A$2:$A$501,0)),"")</f>
        <v>Alleppey</v>
      </c>
      <c r="D443" s="9" t="s">
        <v>522</v>
      </c>
      <c r="E443" s="9" t="str">
        <f aca="false">IFERROR(INDEX(Destination!$B$2:$B$501,MATCH(D443,Destination!$A$2:$A$501,0)),"")</f>
        <v>Marari</v>
      </c>
      <c r="F443" s="9" t="s">
        <v>1364</v>
      </c>
      <c r="G443" s="12" t="n">
        <f aca="false">INDEX(Destination!$F$2:$F$501,MATCH(B443,Destination!$A$2:$A$501,0))</f>
        <v>9.49</v>
      </c>
      <c r="H443" s="12" t="n">
        <f aca="false">INDEX(Destination!$G$2:$G$501,MATCH(B443,Destination!$A$2:$A$501,0))</f>
        <v>76.34</v>
      </c>
      <c r="I443" s="12" t="n">
        <f aca="false">INDEX(Destination!$F$2:$F$501,MATCH(D443,Destination!$A$2:$A$501,0))</f>
        <v>9.6</v>
      </c>
      <c r="J443" s="12" t="n">
        <f aca="false">INDEX(Destination!$G$2:$G$501,MATCH(D443,Destination!$A$2:$A$501,0))</f>
        <v>76.3</v>
      </c>
      <c r="K443" s="17" t="n">
        <f aca="false">Assumptions!$B$2*2*ASIN(SQRT(SIN(RADIANS(I443-G443)/2)^2+COS(RADIANS(G443))*COS(RADIANS(I443))*SIN(RADIANS(J443-H443)/2)^2))</f>
        <v>12.9941176587119</v>
      </c>
      <c r="L443" s="18" t="n">
        <f aca="false">K443*Assumptions!$B$3</f>
        <v>16.8923529563254</v>
      </c>
      <c r="M443" s="19" t="n">
        <f aca="false">L443/Assumptions!$B$4</f>
        <v>0.375385621251676</v>
      </c>
      <c r="N443" s="9" t="s">
        <v>1365</v>
      </c>
    </row>
    <row r="444" customFormat="false" ht="15" hidden="false" customHeight="false" outlineLevel="0" collapsed="false">
      <c r="A444" s="9" t="s">
        <v>1807</v>
      </c>
      <c r="B444" s="9" t="s">
        <v>498</v>
      </c>
      <c r="C444" s="9" t="str">
        <f aca="false">IFERROR(INDEX(Destination!$B$2:$B$501,MATCH(B444,Destination!$A$2:$A$501,0)),"")</f>
        <v>Kumarakom</v>
      </c>
      <c r="D444" s="9" t="s">
        <v>522</v>
      </c>
      <c r="E444" s="9" t="str">
        <f aca="false">IFERROR(INDEX(Destination!$B$2:$B$501,MATCH(D444,Destination!$A$2:$A$501,0)),"")</f>
        <v>Marari</v>
      </c>
      <c r="F444" s="9" t="s">
        <v>1364</v>
      </c>
      <c r="G444" s="12" t="n">
        <f aca="false">INDEX(Destination!$F$2:$F$501,MATCH(B444,Destination!$A$2:$A$501,0))</f>
        <v>9.62</v>
      </c>
      <c r="H444" s="12" t="n">
        <f aca="false">INDEX(Destination!$G$2:$G$501,MATCH(B444,Destination!$A$2:$A$501,0))</f>
        <v>76.43</v>
      </c>
      <c r="I444" s="12" t="n">
        <f aca="false">INDEX(Destination!$F$2:$F$501,MATCH(D444,Destination!$A$2:$A$501,0))</f>
        <v>9.6</v>
      </c>
      <c r="J444" s="12" t="n">
        <f aca="false">INDEX(Destination!$G$2:$G$501,MATCH(D444,Destination!$A$2:$A$501,0))</f>
        <v>76.3</v>
      </c>
      <c r="K444" s="17" t="n">
        <f aca="false">Assumptions!$B$2*2*ASIN(SQRT(SIN(RADIANS(I444-G444)/2)^2+COS(RADIANS(G444))*COS(RADIANS(I444))*SIN(RADIANS(J444-H444)/2)^2))</f>
        <v>14.4249477809097</v>
      </c>
      <c r="L444" s="18" t="n">
        <f aca="false">K444*Assumptions!$B$3</f>
        <v>18.7524321151826</v>
      </c>
      <c r="M444" s="19" t="n">
        <f aca="false">L444/Assumptions!$B$4</f>
        <v>0.416720713670725</v>
      </c>
      <c r="N444" s="9" t="s">
        <v>1365</v>
      </c>
    </row>
    <row r="445" customFormat="false" ht="15" hidden="false" customHeight="false" outlineLevel="0" collapsed="false">
      <c r="A445" s="9" t="s">
        <v>1808</v>
      </c>
      <c r="B445" s="9" t="s">
        <v>498</v>
      </c>
      <c r="C445" s="9" t="str">
        <f aca="false">IFERROR(INDEX(Destination!$B$2:$B$501,MATCH(B445,Destination!$A$2:$A$501,0)),"")</f>
        <v>Kumarakom</v>
      </c>
      <c r="D445" s="9" t="s">
        <v>524</v>
      </c>
      <c r="E445" s="9" t="str">
        <f aca="false">IFERROR(INDEX(Destination!$B$2:$B$501,MATCH(D445,Destination!$A$2:$A$501,0)),"")</f>
        <v>Fort Kochi</v>
      </c>
      <c r="F445" s="9" t="s">
        <v>1364</v>
      </c>
      <c r="G445" s="12" t="n">
        <f aca="false">INDEX(Destination!$F$2:$F$501,MATCH(B445,Destination!$A$2:$A$501,0))</f>
        <v>9.62</v>
      </c>
      <c r="H445" s="12" t="n">
        <f aca="false">INDEX(Destination!$G$2:$G$501,MATCH(B445,Destination!$A$2:$A$501,0))</f>
        <v>76.43</v>
      </c>
      <c r="I445" s="12" t="n">
        <f aca="false">INDEX(Destination!$F$2:$F$501,MATCH(D445,Destination!$A$2:$A$501,0))</f>
        <v>9.96</v>
      </c>
      <c r="J445" s="12" t="n">
        <f aca="false">INDEX(Destination!$G$2:$G$501,MATCH(D445,Destination!$A$2:$A$501,0))</f>
        <v>76.24</v>
      </c>
      <c r="K445" s="17" t="n">
        <f aca="false">Assumptions!$B$2*2*ASIN(SQRT(SIN(RADIANS(I445-G445)/2)^2+COS(RADIANS(G445))*COS(RADIANS(I445))*SIN(RADIANS(J445-H445)/2)^2))</f>
        <v>43.1596968667882</v>
      </c>
      <c r="L445" s="18" t="n">
        <f aca="false">K445*Assumptions!$B$3</f>
        <v>56.1076059268247</v>
      </c>
      <c r="M445" s="19" t="n">
        <f aca="false">L445/Assumptions!$B$4</f>
        <v>1.24683568726277</v>
      </c>
      <c r="N445" s="9" t="s">
        <v>1365</v>
      </c>
    </row>
    <row r="446" customFormat="false" ht="15" hidden="false" customHeight="false" outlineLevel="0" collapsed="false">
      <c r="A446" s="9" t="s">
        <v>1809</v>
      </c>
      <c r="B446" s="9" t="s">
        <v>500</v>
      </c>
      <c r="C446" s="9" t="str">
        <f aca="false">IFERROR(INDEX(Destination!$B$2:$B$501,MATCH(B446,Destination!$A$2:$A$501,0)),"")</f>
        <v>Thekkady</v>
      </c>
      <c r="D446" s="9" t="s">
        <v>516</v>
      </c>
      <c r="E446" s="9" t="str">
        <f aca="false">IFERROR(INDEX(Destination!$B$2:$B$501,MATCH(D446,Destination!$A$2:$A$501,0)),"")</f>
        <v>Vagamon</v>
      </c>
      <c r="F446" s="9" t="s">
        <v>1364</v>
      </c>
      <c r="G446" s="12" t="n">
        <f aca="false">INDEX(Destination!$F$2:$F$501,MATCH(B446,Destination!$A$2:$A$501,0))</f>
        <v>9.6</v>
      </c>
      <c r="H446" s="12" t="n">
        <f aca="false">INDEX(Destination!$G$2:$G$501,MATCH(B446,Destination!$A$2:$A$501,0))</f>
        <v>77.16</v>
      </c>
      <c r="I446" s="12" t="n">
        <f aca="false">INDEX(Destination!$F$2:$F$501,MATCH(D446,Destination!$A$2:$A$501,0))</f>
        <v>9.69</v>
      </c>
      <c r="J446" s="12" t="n">
        <f aca="false">INDEX(Destination!$G$2:$G$501,MATCH(D446,Destination!$A$2:$A$501,0))</f>
        <v>76.9</v>
      </c>
      <c r="K446" s="17" t="n">
        <f aca="false">Assumptions!$B$2*2*ASIN(SQRT(SIN(RADIANS(I446-G446)/2)^2+COS(RADIANS(G446))*COS(RADIANS(I446))*SIN(RADIANS(J446-H446)/2)^2))</f>
        <v>30.2078784965096</v>
      </c>
      <c r="L446" s="18" t="n">
        <f aca="false">K446*Assumptions!$B$3</f>
        <v>39.2702420454625</v>
      </c>
      <c r="M446" s="19" t="n">
        <f aca="false">L446/Assumptions!$B$4</f>
        <v>0.872672045454723</v>
      </c>
      <c r="N446" s="9" t="s">
        <v>1365</v>
      </c>
    </row>
    <row r="447" customFormat="false" ht="15" hidden="false" customHeight="false" outlineLevel="0" collapsed="false">
      <c r="A447" s="9" t="s">
        <v>1810</v>
      </c>
      <c r="B447" s="9" t="s">
        <v>500</v>
      </c>
      <c r="C447" s="9" t="str">
        <f aca="false">IFERROR(INDEX(Destination!$B$2:$B$501,MATCH(B447,Destination!$A$2:$A$501,0)),"")</f>
        <v>Thekkady</v>
      </c>
      <c r="D447" s="9" t="s">
        <v>531</v>
      </c>
      <c r="E447" s="9" t="str">
        <f aca="false">IFERROR(INDEX(Destination!$B$2:$B$501,MATCH(D447,Destination!$A$2:$A$501,0)),"")</f>
        <v>Idukki</v>
      </c>
      <c r="F447" s="9" t="s">
        <v>1364</v>
      </c>
      <c r="G447" s="12" t="n">
        <f aca="false">INDEX(Destination!$F$2:$F$501,MATCH(B447,Destination!$A$2:$A$501,0))</f>
        <v>9.6</v>
      </c>
      <c r="H447" s="12" t="n">
        <f aca="false">INDEX(Destination!$G$2:$G$501,MATCH(B447,Destination!$A$2:$A$501,0))</f>
        <v>77.16</v>
      </c>
      <c r="I447" s="12" t="n">
        <f aca="false">INDEX(Destination!$F$2:$F$501,MATCH(D447,Destination!$A$2:$A$501,0))</f>
        <v>9.85</v>
      </c>
      <c r="J447" s="12" t="n">
        <f aca="false">INDEX(Destination!$G$2:$G$501,MATCH(D447,Destination!$A$2:$A$501,0))</f>
        <v>76.97</v>
      </c>
      <c r="K447" s="17" t="n">
        <f aca="false">Assumptions!$B$2*2*ASIN(SQRT(SIN(RADIANS(I447-G447)/2)^2+COS(RADIANS(G447))*COS(RADIANS(I447))*SIN(RADIANS(J447-H447)/2)^2))</f>
        <v>34.7330429640475</v>
      </c>
      <c r="L447" s="18" t="n">
        <f aca="false">K447*Assumptions!$B$3</f>
        <v>45.1529558532617</v>
      </c>
      <c r="M447" s="19" t="n">
        <f aca="false">L447/Assumptions!$B$4</f>
        <v>1.00339901896137</v>
      </c>
      <c r="N447" s="9" t="s">
        <v>1365</v>
      </c>
    </row>
    <row r="448" customFormat="false" ht="15" hidden="false" customHeight="false" outlineLevel="0" collapsed="false">
      <c r="A448" s="9" t="s">
        <v>1811</v>
      </c>
      <c r="B448" s="9" t="s">
        <v>500</v>
      </c>
      <c r="C448" s="9" t="str">
        <f aca="false">IFERROR(INDEX(Destination!$B$2:$B$501,MATCH(B448,Destination!$A$2:$A$501,0)),"")</f>
        <v>Thekkady</v>
      </c>
      <c r="D448" s="9" t="s">
        <v>535</v>
      </c>
      <c r="E448" s="9" t="str">
        <f aca="false">IFERROR(INDEX(Destination!$B$2:$B$501,MATCH(D448,Destination!$A$2:$A$501,0)),"")</f>
        <v>Periyar</v>
      </c>
      <c r="F448" s="9" t="s">
        <v>1364</v>
      </c>
      <c r="G448" s="12" t="n">
        <f aca="false">INDEX(Destination!$F$2:$F$501,MATCH(B448,Destination!$A$2:$A$501,0))</f>
        <v>9.6</v>
      </c>
      <c r="H448" s="12" t="n">
        <f aca="false">INDEX(Destination!$G$2:$G$501,MATCH(B448,Destination!$A$2:$A$501,0))</f>
        <v>77.16</v>
      </c>
      <c r="I448" s="12" t="n">
        <f aca="false">INDEX(Destination!$F$2:$F$501,MATCH(D448,Destination!$A$2:$A$501,0))</f>
        <v>9.47</v>
      </c>
      <c r="J448" s="12" t="n">
        <f aca="false">INDEX(Destination!$G$2:$G$501,MATCH(D448,Destination!$A$2:$A$501,0))</f>
        <v>77.17</v>
      </c>
      <c r="K448" s="17" t="n">
        <f aca="false">Assumptions!$B$2*2*ASIN(SQRT(SIN(RADIANS(I448-G448)/2)^2+COS(RADIANS(G448))*COS(RADIANS(I448))*SIN(RADIANS(J448-H448)/2)^2))</f>
        <v>14.4968745229625</v>
      </c>
      <c r="L448" s="18" t="n">
        <f aca="false">K448*Assumptions!$B$3</f>
        <v>18.8459368798512</v>
      </c>
      <c r="M448" s="19" t="n">
        <f aca="false">L448/Assumptions!$B$4</f>
        <v>0.418798597330027</v>
      </c>
      <c r="N448" s="9" t="s">
        <v>1365</v>
      </c>
    </row>
    <row r="449" customFormat="false" ht="15" hidden="false" customHeight="false" outlineLevel="0" collapsed="false">
      <c r="A449" s="9" t="s">
        <v>1812</v>
      </c>
      <c r="B449" s="9" t="s">
        <v>500</v>
      </c>
      <c r="C449" s="9" t="str">
        <f aca="false">IFERROR(INDEX(Destination!$B$2:$B$501,MATCH(B449,Destination!$A$2:$A$501,0)),"")</f>
        <v>Thekkady</v>
      </c>
      <c r="D449" s="9" t="s">
        <v>540</v>
      </c>
      <c r="E449" s="9" t="str">
        <f aca="false">IFERROR(INDEX(Destination!$B$2:$B$501,MATCH(D449,Destination!$A$2:$A$501,0)),"")</f>
        <v>Sabarimala</v>
      </c>
      <c r="F449" s="9" t="s">
        <v>1364</v>
      </c>
      <c r="G449" s="12" t="n">
        <f aca="false">INDEX(Destination!$F$2:$F$501,MATCH(B449,Destination!$A$2:$A$501,0))</f>
        <v>9.6</v>
      </c>
      <c r="H449" s="12" t="n">
        <f aca="false">INDEX(Destination!$G$2:$G$501,MATCH(B449,Destination!$A$2:$A$501,0))</f>
        <v>77.16</v>
      </c>
      <c r="I449" s="12" t="n">
        <f aca="false">INDEX(Destination!$F$2:$F$501,MATCH(D449,Destination!$A$2:$A$501,0))</f>
        <v>9.44</v>
      </c>
      <c r="J449" s="12" t="n">
        <f aca="false">INDEX(Destination!$G$2:$G$501,MATCH(D449,Destination!$A$2:$A$501,0))</f>
        <v>77.08</v>
      </c>
      <c r="K449" s="17" t="n">
        <f aca="false">Assumptions!$B$2*2*ASIN(SQRT(SIN(RADIANS(I449-G449)/2)^2+COS(RADIANS(G449))*COS(RADIANS(I449))*SIN(RADIANS(J449-H449)/2)^2))</f>
        <v>19.8366659794489</v>
      </c>
      <c r="L449" s="18" t="n">
        <f aca="false">K449*Assumptions!$B$3</f>
        <v>25.7876657732835</v>
      </c>
      <c r="M449" s="19" t="n">
        <f aca="false">L449/Assumptions!$B$4</f>
        <v>0.5730592394063</v>
      </c>
      <c r="N449" s="9" t="s">
        <v>1365</v>
      </c>
    </row>
    <row r="450" customFormat="false" ht="15" hidden="false" customHeight="false" outlineLevel="0" collapsed="false">
      <c r="A450" s="9" t="s">
        <v>1813</v>
      </c>
      <c r="B450" s="9" t="s">
        <v>502</v>
      </c>
      <c r="C450" s="9" t="str">
        <f aca="false">IFERROR(INDEX(Destination!$B$2:$B$501,MATCH(B450,Destination!$A$2:$A$501,0)),"")</f>
        <v>Wayanad</v>
      </c>
      <c r="D450" s="9" t="s">
        <v>510</v>
      </c>
      <c r="E450" s="9" t="str">
        <f aca="false">IFERROR(INDEX(Destination!$B$2:$B$501,MATCH(D450,Destination!$A$2:$A$501,0)),"")</f>
        <v>Kozhikode</v>
      </c>
      <c r="F450" s="9" t="s">
        <v>1364</v>
      </c>
      <c r="G450" s="12" t="n">
        <f aca="false">INDEX(Destination!$F$2:$F$501,MATCH(B450,Destination!$A$2:$A$501,0))</f>
        <v>11.69</v>
      </c>
      <c r="H450" s="12" t="n">
        <f aca="false">INDEX(Destination!$G$2:$G$501,MATCH(B450,Destination!$A$2:$A$501,0))</f>
        <v>76.08</v>
      </c>
      <c r="I450" s="12" t="n">
        <f aca="false">INDEX(Destination!$F$2:$F$501,MATCH(D450,Destination!$A$2:$A$501,0))</f>
        <v>11.25</v>
      </c>
      <c r="J450" s="12" t="n">
        <f aca="false">INDEX(Destination!$G$2:$G$501,MATCH(D450,Destination!$A$2:$A$501,0))</f>
        <v>75.78</v>
      </c>
      <c r="K450" s="17" t="n">
        <f aca="false">Assumptions!$B$2*2*ASIN(SQRT(SIN(RADIANS(I450-G450)/2)^2+COS(RADIANS(G450))*COS(RADIANS(I450))*SIN(RADIANS(J450-H450)/2)^2))</f>
        <v>58.8430927056501</v>
      </c>
      <c r="L450" s="18" t="n">
        <f aca="false">K450*Assumptions!$B$3</f>
        <v>76.4960205173452</v>
      </c>
      <c r="M450" s="19" t="n">
        <f aca="false">L450/Assumptions!$B$4</f>
        <v>1.69991156705212</v>
      </c>
      <c r="N450" s="9" t="s">
        <v>1365</v>
      </c>
    </row>
    <row r="451" customFormat="false" ht="15" hidden="false" customHeight="false" outlineLevel="0" collapsed="false">
      <c r="A451" s="9" t="s">
        <v>1814</v>
      </c>
      <c r="B451" s="9" t="s">
        <v>502</v>
      </c>
      <c r="C451" s="9" t="str">
        <f aca="false">IFERROR(INDEX(Destination!$B$2:$B$501,MATCH(B451,Destination!$A$2:$A$501,0)),"")</f>
        <v>Wayanad</v>
      </c>
      <c r="D451" s="9" t="s">
        <v>512</v>
      </c>
      <c r="E451" s="9" t="str">
        <f aca="false">IFERROR(INDEX(Destination!$B$2:$B$501,MATCH(D451,Destination!$A$2:$A$501,0)),"")</f>
        <v>Kannur</v>
      </c>
      <c r="F451" s="9" t="s">
        <v>1364</v>
      </c>
      <c r="G451" s="12" t="n">
        <f aca="false">INDEX(Destination!$F$2:$F$501,MATCH(B451,Destination!$A$2:$A$501,0))</f>
        <v>11.69</v>
      </c>
      <c r="H451" s="12" t="n">
        <f aca="false">INDEX(Destination!$G$2:$G$501,MATCH(B451,Destination!$A$2:$A$501,0))</f>
        <v>76.08</v>
      </c>
      <c r="I451" s="12" t="n">
        <f aca="false">INDEX(Destination!$F$2:$F$501,MATCH(D451,Destination!$A$2:$A$501,0))</f>
        <v>11.87</v>
      </c>
      <c r="J451" s="12" t="n">
        <f aca="false">INDEX(Destination!$G$2:$G$501,MATCH(D451,Destination!$A$2:$A$501,0))</f>
        <v>75.37</v>
      </c>
      <c r="K451" s="17" t="n">
        <f aca="false">Assumptions!$B$2*2*ASIN(SQRT(SIN(RADIANS(I451-G451)/2)^2+COS(RADIANS(G451))*COS(RADIANS(I451))*SIN(RADIANS(J451-H451)/2)^2))</f>
        <v>79.8352401269831</v>
      </c>
      <c r="L451" s="18" t="n">
        <f aca="false">K451*Assumptions!$B$3</f>
        <v>103.785812165078</v>
      </c>
      <c r="M451" s="19" t="n">
        <f aca="false">L451/Assumptions!$B$4</f>
        <v>2.30635138144618</v>
      </c>
      <c r="N451" s="9" t="s">
        <v>1365</v>
      </c>
    </row>
    <row r="452" customFormat="false" ht="15" hidden="false" customHeight="false" outlineLevel="0" collapsed="false">
      <c r="A452" s="9" t="s">
        <v>1815</v>
      </c>
      <c r="B452" s="9" t="s">
        <v>504</v>
      </c>
      <c r="C452" s="9" t="str">
        <f aca="false">IFERROR(INDEX(Destination!$B$2:$B$501,MATCH(B452,Destination!$A$2:$A$501,0)),"")</f>
        <v>Kovalam</v>
      </c>
      <c r="D452" s="9" t="s">
        <v>508</v>
      </c>
      <c r="E452" s="9" t="str">
        <f aca="false">IFERROR(INDEX(Destination!$B$2:$B$501,MATCH(D452,Destination!$A$2:$A$501,0)),"")</f>
        <v>Thiruvananthapuram</v>
      </c>
      <c r="F452" s="9" t="s">
        <v>1364</v>
      </c>
      <c r="G452" s="12" t="n">
        <f aca="false">INDEX(Destination!$F$2:$F$501,MATCH(B452,Destination!$A$2:$A$501,0))</f>
        <v>8.4</v>
      </c>
      <c r="H452" s="12" t="n">
        <f aca="false">INDEX(Destination!$G$2:$G$501,MATCH(B452,Destination!$A$2:$A$501,0))</f>
        <v>76.98</v>
      </c>
      <c r="I452" s="12" t="n">
        <f aca="false">INDEX(Destination!$F$2:$F$501,MATCH(D452,Destination!$A$2:$A$501,0))</f>
        <v>8.52</v>
      </c>
      <c r="J452" s="12" t="n">
        <f aca="false">INDEX(Destination!$G$2:$G$501,MATCH(D452,Destination!$A$2:$A$501,0))</f>
        <v>76.94</v>
      </c>
      <c r="K452" s="17" t="n">
        <f aca="false">Assumptions!$B$2*2*ASIN(SQRT(SIN(RADIANS(I452-G452)/2)^2+COS(RADIANS(G452))*COS(RADIANS(I452))*SIN(RADIANS(J452-H452)/2)^2))</f>
        <v>14.049939475742</v>
      </c>
      <c r="L452" s="18" t="n">
        <f aca="false">K452*Assumptions!$B$3</f>
        <v>18.2649213184646</v>
      </c>
      <c r="M452" s="19" t="n">
        <f aca="false">L452/Assumptions!$B$4</f>
        <v>0.405887140410325</v>
      </c>
      <c r="N452" s="9" t="s">
        <v>1365</v>
      </c>
    </row>
    <row r="453" customFormat="false" ht="15" hidden="false" customHeight="false" outlineLevel="0" collapsed="false">
      <c r="A453" s="9" t="s">
        <v>1816</v>
      </c>
      <c r="B453" s="9" t="s">
        <v>504</v>
      </c>
      <c r="C453" s="9" t="str">
        <f aca="false">IFERROR(INDEX(Destination!$B$2:$B$501,MATCH(B453,Destination!$A$2:$A$501,0)),"")</f>
        <v>Kovalam</v>
      </c>
      <c r="D453" s="9" t="s">
        <v>518</v>
      </c>
      <c r="E453" s="9" t="str">
        <f aca="false">IFERROR(INDEX(Destination!$B$2:$B$501,MATCH(D453,Destination!$A$2:$A$501,0)),"")</f>
        <v>Ponmudi</v>
      </c>
      <c r="F453" s="9" t="s">
        <v>1364</v>
      </c>
      <c r="G453" s="12" t="n">
        <f aca="false">INDEX(Destination!$F$2:$F$501,MATCH(B453,Destination!$A$2:$A$501,0))</f>
        <v>8.4</v>
      </c>
      <c r="H453" s="12" t="n">
        <f aca="false">INDEX(Destination!$G$2:$G$501,MATCH(B453,Destination!$A$2:$A$501,0))</f>
        <v>76.98</v>
      </c>
      <c r="I453" s="12" t="n">
        <f aca="false">INDEX(Destination!$F$2:$F$501,MATCH(D453,Destination!$A$2:$A$501,0))</f>
        <v>8.76</v>
      </c>
      <c r="J453" s="12" t="n">
        <f aca="false">INDEX(Destination!$G$2:$G$501,MATCH(D453,Destination!$A$2:$A$501,0))</f>
        <v>77.11</v>
      </c>
      <c r="K453" s="17" t="n">
        <f aca="false">Assumptions!$B$2*2*ASIN(SQRT(SIN(RADIANS(I453-G453)/2)^2+COS(RADIANS(G453))*COS(RADIANS(I453))*SIN(RADIANS(J453-H453)/2)^2))</f>
        <v>42.5055295648021</v>
      </c>
      <c r="L453" s="18" t="n">
        <f aca="false">K453*Assumptions!$B$3</f>
        <v>55.2571884342427</v>
      </c>
      <c r="M453" s="19" t="n">
        <f aca="false">L453/Assumptions!$B$4</f>
        <v>1.22793752076095</v>
      </c>
      <c r="N453" s="9" t="s">
        <v>1365</v>
      </c>
    </row>
    <row r="454" customFormat="false" ht="15" hidden="false" customHeight="false" outlineLevel="0" collapsed="false">
      <c r="A454" s="9" t="s">
        <v>1817</v>
      </c>
      <c r="B454" s="9" t="s">
        <v>504</v>
      </c>
      <c r="C454" s="9" t="str">
        <f aca="false">IFERROR(INDEX(Destination!$B$2:$B$501,MATCH(B454,Destination!$A$2:$A$501,0)),"")</f>
        <v>Kovalam</v>
      </c>
      <c r="D454" s="9" t="s">
        <v>529</v>
      </c>
      <c r="E454" s="9" t="str">
        <f aca="false">IFERROR(INDEX(Destination!$B$2:$B$501,MATCH(D454,Destination!$A$2:$A$501,0)),"")</f>
        <v>Poovar</v>
      </c>
      <c r="F454" s="9" t="s">
        <v>1364</v>
      </c>
      <c r="G454" s="12" t="n">
        <f aca="false">INDEX(Destination!$F$2:$F$501,MATCH(B454,Destination!$A$2:$A$501,0))</f>
        <v>8.4</v>
      </c>
      <c r="H454" s="12" t="n">
        <f aca="false">INDEX(Destination!$G$2:$G$501,MATCH(B454,Destination!$A$2:$A$501,0))</f>
        <v>76.98</v>
      </c>
      <c r="I454" s="12" t="n">
        <f aca="false">INDEX(Destination!$F$2:$F$501,MATCH(D454,Destination!$A$2:$A$501,0))</f>
        <v>8.32</v>
      </c>
      <c r="J454" s="12" t="n">
        <f aca="false">INDEX(Destination!$G$2:$G$501,MATCH(D454,Destination!$A$2:$A$501,0))</f>
        <v>77.07</v>
      </c>
      <c r="K454" s="17" t="n">
        <f aca="false">Assumptions!$B$2*2*ASIN(SQRT(SIN(RADIANS(I454-G454)/2)^2+COS(RADIANS(G454))*COS(RADIANS(I454))*SIN(RADIANS(J454-H454)/2)^2))</f>
        <v>13.3103500509295</v>
      </c>
      <c r="L454" s="18" t="n">
        <f aca="false">K454*Assumptions!$B$3</f>
        <v>17.3034550662083</v>
      </c>
      <c r="M454" s="19" t="n">
        <f aca="false">L454/Assumptions!$B$4</f>
        <v>0.384521223693518</v>
      </c>
      <c r="N454" s="9" t="s">
        <v>1365</v>
      </c>
    </row>
    <row r="455" customFormat="false" ht="15" hidden="false" customHeight="false" outlineLevel="0" collapsed="false">
      <c r="A455" s="9" t="s">
        <v>1818</v>
      </c>
      <c r="B455" s="9" t="s">
        <v>506</v>
      </c>
      <c r="C455" s="9" t="str">
        <f aca="false">IFERROR(INDEX(Destination!$B$2:$B$501,MATCH(B455,Destination!$A$2:$A$501,0)),"")</f>
        <v>Varkala</v>
      </c>
      <c r="D455" s="9" t="s">
        <v>508</v>
      </c>
      <c r="E455" s="9" t="str">
        <f aca="false">IFERROR(INDEX(Destination!$B$2:$B$501,MATCH(D455,Destination!$A$2:$A$501,0)),"")</f>
        <v>Thiruvananthapuram</v>
      </c>
      <c r="F455" s="9" t="s">
        <v>1364</v>
      </c>
      <c r="G455" s="12" t="n">
        <f aca="false">INDEX(Destination!$F$2:$F$501,MATCH(B455,Destination!$A$2:$A$501,0))</f>
        <v>8.73</v>
      </c>
      <c r="H455" s="12" t="n">
        <f aca="false">INDEX(Destination!$G$2:$G$501,MATCH(B455,Destination!$A$2:$A$501,0))</f>
        <v>76.72</v>
      </c>
      <c r="I455" s="12" t="n">
        <f aca="false">INDEX(Destination!$F$2:$F$501,MATCH(D455,Destination!$A$2:$A$501,0))</f>
        <v>8.52</v>
      </c>
      <c r="J455" s="12" t="n">
        <f aca="false">INDEX(Destination!$G$2:$G$501,MATCH(D455,Destination!$A$2:$A$501,0))</f>
        <v>76.94</v>
      </c>
      <c r="K455" s="17" t="n">
        <f aca="false">Assumptions!$B$2*2*ASIN(SQRT(SIN(RADIANS(I455-G455)/2)^2+COS(RADIANS(G455))*COS(RADIANS(I455))*SIN(RADIANS(J455-H455)/2)^2))</f>
        <v>33.6190325461928</v>
      </c>
      <c r="L455" s="18" t="n">
        <f aca="false">K455*Assumptions!$B$3</f>
        <v>43.7047423100506</v>
      </c>
      <c r="M455" s="19" t="n">
        <f aca="false">L455/Assumptions!$B$4</f>
        <v>0.971216495778903</v>
      </c>
      <c r="N455" s="9" t="s">
        <v>1365</v>
      </c>
    </row>
    <row r="456" customFormat="false" ht="15" hidden="false" customHeight="false" outlineLevel="0" collapsed="false">
      <c r="A456" s="9" t="s">
        <v>1819</v>
      </c>
      <c r="B456" s="9" t="s">
        <v>506</v>
      </c>
      <c r="C456" s="9" t="str">
        <f aca="false">IFERROR(INDEX(Destination!$B$2:$B$501,MATCH(B456,Destination!$A$2:$A$501,0)),"")</f>
        <v>Varkala</v>
      </c>
      <c r="D456" s="9" t="s">
        <v>518</v>
      </c>
      <c r="E456" s="9" t="str">
        <f aca="false">IFERROR(INDEX(Destination!$B$2:$B$501,MATCH(D456,Destination!$A$2:$A$501,0)),"")</f>
        <v>Ponmudi</v>
      </c>
      <c r="F456" s="9" t="s">
        <v>1364</v>
      </c>
      <c r="G456" s="12" t="n">
        <f aca="false">INDEX(Destination!$F$2:$F$501,MATCH(B456,Destination!$A$2:$A$501,0))</f>
        <v>8.73</v>
      </c>
      <c r="H456" s="12" t="n">
        <f aca="false">INDEX(Destination!$G$2:$G$501,MATCH(B456,Destination!$A$2:$A$501,0))</f>
        <v>76.72</v>
      </c>
      <c r="I456" s="12" t="n">
        <f aca="false">INDEX(Destination!$F$2:$F$501,MATCH(D456,Destination!$A$2:$A$501,0))</f>
        <v>8.76</v>
      </c>
      <c r="J456" s="12" t="n">
        <f aca="false">INDEX(Destination!$G$2:$G$501,MATCH(D456,Destination!$A$2:$A$501,0))</f>
        <v>77.11</v>
      </c>
      <c r="K456" s="17" t="n">
        <f aca="false">Assumptions!$B$2*2*ASIN(SQRT(SIN(RADIANS(I456-G456)/2)^2+COS(RADIANS(G456))*COS(RADIANS(I456))*SIN(RADIANS(J456-H456)/2)^2))</f>
        <v>42.9914944480264</v>
      </c>
      <c r="L456" s="18" t="n">
        <f aca="false">K456*Assumptions!$B$3</f>
        <v>55.8889427824343</v>
      </c>
      <c r="M456" s="19" t="n">
        <f aca="false">L456/Assumptions!$B$4</f>
        <v>1.24197650627632</v>
      </c>
      <c r="N456" s="9" t="s">
        <v>1365</v>
      </c>
    </row>
    <row r="457" customFormat="false" ht="15" hidden="false" customHeight="false" outlineLevel="0" collapsed="false">
      <c r="A457" s="9" t="s">
        <v>1820</v>
      </c>
      <c r="B457" s="9" t="s">
        <v>506</v>
      </c>
      <c r="C457" s="9" t="str">
        <f aca="false">IFERROR(INDEX(Destination!$B$2:$B$501,MATCH(B457,Destination!$A$2:$A$501,0)),"")</f>
        <v>Varkala</v>
      </c>
      <c r="D457" s="9" t="s">
        <v>527</v>
      </c>
      <c r="E457" s="9" t="str">
        <f aca="false">IFERROR(INDEX(Destination!$B$2:$B$501,MATCH(D457,Destination!$A$2:$A$501,0)),"")</f>
        <v>Kollam</v>
      </c>
      <c r="F457" s="9" t="s">
        <v>1364</v>
      </c>
      <c r="G457" s="12" t="n">
        <f aca="false">INDEX(Destination!$F$2:$F$501,MATCH(B457,Destination!$A$2:$A$501,0))</f>
        <v>8.73</v>
      </c>
      <c r="H457" s="12" t="n">
        <f aca="false">INDEX(Destination!$G$2:$G$501,MATCH(B457,Destination!$A$2:$A$501,0))</f>
        <v>76.72</v>
      </c>
      <c r="I457" s="12" t="n">
        <f aca="false">INDEX(Destination!$F$2:$F$501,MATCH(D457,Destination!$A$2:$A$501,0))</f>
        <v>8.89</v>
      </c>
      <c r="J457" s="12" t="n">
        <f aca="false">INDEX(Destination!$G$2:$G$501,MATCH(D457,Destination!$A$2:$A$501,0))</f>
        <v>76.61</v>
      </c>
      <c r="K457" s="17" t="n">
        <f aca="false">Assumptions!$B$2*2*ASIN(SQRT(SIN(RADIANS(I457-G457)/2)^2+COS(RADIANS(G457))*COS(RADIANS(I457))*SIN(RADIANS(J457-H457)/2)^2))</f>
        <v>21.5087196199627</v>
      </c>
      <c r="L457" s="18" t="n">
        <f aca="false">K457*Assumptions!$B$3</f>
        <v>27.9613355059515</v>
      </c>
      <c r="M457" s="19" t="n">
        <f aca="false">L457/Assumptions!$B$4</f>
        <v>0.621363011243367</v>
      </c>
      <c r="N457" s="9" t="s">
        <v>1365</v>
      </c>
    </row>
    <row r="458" customFormat="false" ht="15" hidden="false" customHeight="false" outlineLevel="0" collapsed="false">
      <c r="A458" s="9" t="s">
        <v>1821</v>
      </c>
      <c r="B458" s="9" t="s">
        <v>508</v>
      </c>
      <c r="C458" s="9" t="str">
        <f aca="false">IFERROR(INDEX(Destination!$B$2:$B$501,MATCH(B458,Destination!$A$2:$A$501,0)),"")</f>
        <v>Thiruvananthapuram</v>
      </c>
      <c r="D458" s="9" t="s">
        <v>518</v>
      </c>
      <c r="E458" s="9" t="str">
        <f aca="false">IFERROR(INDEX(Destination!$B$2:$B$501,MATCH(D458,Destination!$A$2:$A$501,0)),"")</f>
        <v>Ponmudi</v>
      </c>
      <c r="F458" s="9" t="s">
        <v>1364</v>
      </c>
      <c r="G458" s="12" t="n">
        <f aca="false">INDEX(Destination!$F$2:$F$501,MATCH(B458,Destination!$A$2:$A$501,0))</f>
        <v>8.52</v>
      </c>
      <c r="H458" s="12" t="n">
        <f aca="false">INDEX(Destination!$G$2:$G$501,MATCH(B458,Destination!$A$2:$A$501,0))</f>
        <v>76.94</v>
      </c>
      <c r="I458" s="12" t="n">
        <f aca="false">INDEX(Destination!$F$2:$F$501,MATCH(D458,Destination!$A$2:$A$501,0))</f>
        <v>8.76</v>
      </c>
      <c r="J458" s="12" t="n">
        <f aca="false">INDEX(Destination!$G$2:$G$501,MATCH(D458,Destination!$A$2:$A$501,0))</f>
        <v>77.11</v>
      </c>
      <c r="K458" s="17" t="n">
        <f aca="false">Assumptions!$B$2*2*ASIN(SQRT(SIN(RADIANS(I458-G458)/2)^2+COS(RADIANS(G458))*COS(RADIANS(I458))*SIN(RADIANS(J458-H458)/2)^2))</f>
        <v>32.5798759435497</v>
      </c>
      <c r="L458" s="18" t="n">
        <f aca="false">K458*Assumptions!$B$3</f>
        <v>42.3538387266146</v>
      </c>
      <c r="M458" s="19" t="n">
        <f aca="false">L458/Assumptions!$B$4</f>
        <v>0.941196416146991</v>
      </c>
      <c r="N458" s="9" t="s">
        <v>1365</v>
      </c>
    </row>
    <row r="459" customFormat="false" ht="15" hidden="false" customHeight="false" outlineLevel="0" collapsed="false">
      <c r="A459" s="9" t="s">
        <v>1822</v>
      </c>
      <c r="B459" s="9" t="s">
        <v>508</v>
      </c>
      <c r="C459" s="9" t="str">
        <f aca="false">IFERROR(INDEX(Destination!$B$2:$B$501,MATCH(B459,Destination!$A$2:$A$501,0)),"")</f>
        <v>Thiruvananthapuram</v>
      </c>
      <c r="D459" s="9" t="s">
        <v>527</v>
      </c>
      <c r="E459" s="9" t="str">
        <f aca="false">IFERROR(INDEX(Destination!$B$2:$B$501,MATCH(D459,Destination!$A$2:$A$501,0)),"")</f>
        <v>Kollam</v>
      </c>
      <c r="F459" s="9" t="s">
        <v>1364</v>
      </c>
      <c r="G459" s="12" t="n">
        <f aca="false">INDEX(Destination!$F$2:$F$501,MATCH(B459,Destination!$A$2:$A$501,0))</f>
        <v>8.52</v>
      </c>
      <c r="H459" s="12" t="n">
        <f aca="false">INDEX(Destination!$G$2:$G$501,MATCH(B459,Destination!$A$2:$A$501,0))</f>
        <v>76.94</v>
      </c>
      <c r="I459" s="12" t="n">
        <f aca="false">INDEX(Destination!$F$2:$F$501,MATCH(D459,Destination!$A$2:$A$501,0))</f>
        <v>8.89</v>
      </c>
      <c r="J459" s="12" t="n">
        <f aca="false">INDEX(Destination!$G$2:$G$501,MATCH(D459,Destination!$A$2:$A$501,0))</f>
        <v>76.61</v>
      </c>
      <c r="K459" s="17" t="n">
        <f aca="false">Assumptions!$B$2*2*ASIN(SQRT(SIN(RADIANS(I459-G459)/2)^2+COS(RADIANS(G459))*COS(RADIANS(I459))*SIN(RADIANS(J459-H459)/2)^2))</f>
        <v>54.8479771782936</v>
      </c>
      <c r="L459" s="18" t="n">
        <f aca="false">K459*Assumptions!$B$3</f>
        <v>71.3023703317816</v>
      </c>
      <c r="M459" s="19" t="n">
        <f aca="false">L459/Assumptions!$B$4</f>
        <v>1.58449711848404</v>
      </c>
      <c r="N459" s="9" t="s">
        <v>1365</v>
      </c>
    </row>
    <row r="460" customFormat="false" ht="15" hidden="false" customHeight="false" outlineLevel="0" collapsed="false">
      <c r="A460" s="9" t="s">
        <v>1823</v>
      </c>
      <c r="B460" s="9" t="s">
        <v>508</v>
      </c>
      <c r="C460" s="9" t="str">
        <f aca="false">IFERROR(INDEX(Destination!$B$2:$B$501,MATCH(B460,Destination!$A$2:$A$501,0)),"")</f>
        <v>Thiruvananthapuram</v>
      </c>
      <c r="D460" s="9" t="s">
        <v>529</v>
      </c>
      <c r="E460" s="9" t="str">
        <f aca="false">IFERROR(INDEX(Destination!$B$2:$B$501,MATCH(D460,Destination!$A$2:$A$501,0)),"")</f>
        <v>Poovar</v>
      </c>
      <c r="F460" s="9" t="s">
        <v>1364</v>
      </c>
      <c r="G460" s="12" t="n">
        <f aca="false">INDEX(Destination!$F$2:$F$501,MATCH(B460,Destination!$A$2:$A$501,0))</f>
        <v>8.52</v>
      </c>
      <c r="H460" s="12" t="n">
        <f aca="false">INDEX(Destination!$G$2:$G$501,MATCH(B460,Destination!$A$2:$A$501,0))</f>
        <v>76.94</v>
      </c>
      <c r="I460" s="12" t="n">
        <f aca="false">INDEX(Destination!$F$2:$F$501,MATCH(D460,Destination!$A$2:$A$501,0))</f>
        <v>8.32</v>
      </c>
      <c r="J460" s="12" t="n">
        <f aca="false">INDEX(Destination!$G$2:$G$501,MATCH(D460,Destination!$A$2:$A$501,0))</f>
        <v>77.07</v>
      </c>
      <c r="K460" s="17" t="n">
        <f aca="false">Assumptions!$B$2*2*ASIN(SQRT(SIN(RADIANS(I460-G460)/2)^2+COS(RADIANS(G460))*COS(RADIANS(I460))*SIN(RADIANS(J460-H460)/2)^2))</f>
        <v>26.4395312913408</v>
      </c>
      <c r="L460" s="18" t="n">
        <f aca="false">K460*Assumptions!$B$3</f>
        <v>34.3713906787431</v>
      </c>
      <c r="M460" s="19" t="n">
        <f aca="false">L460/Assumptions!$B$4</f>
        <v>0.763808681749846</v>
      </c>
      <c r="N460" s="9" t="s">
        <v>1365</v>
      </c>
    </row>
    <row r="461" customFormat="false" ht="15" hidden="false" customHeight="false" outlineLevel="0" collapsed="false">
      <c r="A461" s="9" t="s">
        <v>1824</v>
      </c>
      <c r="B461" s="9" t="s">
        <v>510</v>
      </c>
      <c r="C461" s="9" t="str">
        <f aca="false">IFERROR(INDEX(Destination!$B$2:$B$501,MATCH(B461,Destination!$A$2:$A$501,0)),"")</f>
        <v>Kozhikode</v>
      </c>
      <c r="D461" s="9" t="s">
        <v>533</v>
      </c>
      <c r="E461" s="9" t="str">
        <f aca="false">IFERROR(INDEX(Destination!$B$2:$B$501,MATCH(D461,Destination!$A$2:$A$501,0)),"")</f>
        <v>Silent Valley</v>
      </c>
      <c r="F461" s="9" t="s">
        <v>1364</v>
      </c>
      <c r="G461" s="12" t="n">
        <f aca="false">INDEX(Destination!$F$2:$F$501,MATCH(B461,Destination!$A$2:$A$501,0))</f>
        <v>11.25</v>
      </c>
      <c r="H461" s="12" t="n">
        <f aca="false">INDEX(Destination!$G$2:$G$501,MATCH(B461,Destination!$A$2:$A$501,0))</f>
        <v>75.78</v>
      </c>
      <c r="I461" s="12" t="n">
        <f aca="false">INDEX(Destination!$F$2:$F$501,MATCH(D461,Destination!$A$2:$A$501,0))</f>
        <v>11.08</v>
      </c>
      <c r="J461" s="12" t="n">
        <f aca="false">INDEX(Destination!$G$2:$G$501,MATCH(D461,Destination!$A$2:$A$501,0))</f>
        <v>76.44</v>
      </c>
      <c r="K461" s="17" t="n">
        <f aca="false">Assumptions!$B$2*2*ASIN(SQRT(SIN(RADIANS(I461-G461)/2)^2+COS(RADIANS(G461))*COS(RADIANS(I461))*SIN(RADIANS(J461-H461)/2)^2))</f>
        <v>74.4397389716344</v>
      </c>
      <c r="L461" s="18" t="n">
        <f aca="false">K461*Assumptions!$B$3</f>
        <v>96.7716606631247</v>
      </c>
      <c r="M461" s="19" t="n">
        <f aca="false">L461/Assumptions!$B$4</f>
        <v>2.15048134806944</v>
      </c>
      <c r="N461" s="9" t="s">
        <v>1365</v>
      </c>
    </row>
    <row r="462" customFormat="false" ht="15" hidden="false" customHeight="false" outlineLevel="0" collapsed="false">
      <c r="A462" s="9" t="s">
        <v>1825</v>
      </c>
      <c r="B462" s="9" t="s">
        <v>510</v>
      </c>
      <c r="C462" s="9" t="str">
        <f aca="false">IFERROR(INDEX(Destination!$B$2:$B$501,MATCH(B462,Destination!$A$2:$A$501,0)),"")</f>
        <v>Kozhikode</v>
      </c>
      <c r="D462" s="9" t="s">
        <v>538</v>
      </c>
      <c r="E462" s="9" t="str">
        <f aca="false">IFERROR(INDEX(Destination!$B$2:$B$501,MATCH(D462,Destination!$A$2:$A$501,0)),"")</f>
        <v>Guruvayur</v>
      </c>
      <c r="F462" s="9" t="s">
        <v>1364</v>
      </c>
      <c r="G462" s="12" t="n">
        <f aca="false">INDEX(Destination!$F$2:$F$501,MATCH(B462,Destination!$A$2:$A$501,0))</f>
        <v>11.25</v>
      </c>
      <c r="H462" s="12" t="n">
        <f aca="false">INDEX(Destination!$G$2:$G$501,MATCH(B462,Destination!$A$2:$A$501,0))</f>
        <v>75.78</v>
      </c>
      <c r="I462" s="12" t="n">
        <f aca="false">INDEX(Destination!$F$2:$F$501,MATCH(D462,Destination!$A$2:$A$501,0))</f>
        <v>10.59</v>
      </c>
      <c r="J462" s="12" t="n">
        <f aca="false">INDEX(Destination!$G$2:$G$501,MATCH(D462,Destination!$A$2:$A$501,0))</f>
        <v>76.04</v>
      </c>
      <c r="K462" s="17" t="n">
        <f aca="false">Assumptions!$B$2*2*ASIN(SQRT(SIN(RADIANS(I462-G462)/2)^2+COS(RADIANS(G462))*COS(RADIANS(I462))*SIN(RADIANS(J462-H462)/2)^2))</f>
        <v>78.6874608708735</v>
      </c>
      <c r="L462" s="18" t="n">
        <f aca="false">K462*Assumptions!$B$3</f>
        <v>102.293699132136</v>
      </c>
      <c r="M462" s="19" t="n">
        <f aca="false">L462/Assumptions!$B$4</f>
        <v>2.27319331404746</v>
      </c>
      <c r="N462" s="9" t="s">
        <v>1365</v>
      </c>
    </row>
    <row r="463" customFormat="false" ht="15" hidden="false" customHeight="false" outlineLevel="0" collapsed="false">
      <c r="A463" s="9" t="s">
        <v>1826</v>
      </c>
      <c r="B463" s="9" t="s">
        <v>512</v>
      </c>
      <c r="C463" s="9" t="str">
        <f aca="false">IFERROR(INDEX(Destination!$B$2:$B$501,MATCH(B463,Destination!$A$2:$A$501,0)),"")</f>
        <v>Kannur</v>
      </c>
      <c r="D463" s="9" t="s">
        <v>514</v>
      </c>
      <c r="E463" s="9" t="str">
        <f aca="false">IFERROR(INDEX(Destination!$B$2:$B$501,MATCH(D463,Destination!$A$2:$A$501,0)),"")</f>
        <v>Bekal</v>
      </c>
      <c r="F463" s="9" t="s">
        <v>1364</v>
      </c>
      <c r="G463" s="12" t="n">
        <f aca="false">INDEX(Destination!$F$2:$F$501,MATCH(B463,Destination!$A$2:$A$501,0))</f>
        <v>11.87</v>
      </c>
      <c r="H463" s="12" t="n">
        <f aca="false">INDEX(Destination!$G$2:$G$501,MATCH(B463,Destination!$A$2:$A$501,0))</f>
        <v>75.37</v>
      </c>
      <c r="I463" s="12" t="n">
        <f aca="false">INDEX(Destination!$F$2:$F$501,MATCH(D463,Destination!$A$2:$A$501,0))</f>
        <v>12.39</v>
      </c>
      <c r="J463" s="12" t="n">
        <f aca="false">INDEX(Destination!$G$2:$G$501,MATCH(D463,Destination!$A$2:$A$501,0))</f>
        <v>75.03</v>
      </c>
      <c r="K463" s="17" t="n">
        <f aca="false">Assumptions!$B$2*2*ASIN(SQRT(SIN(RADIANS(I463-G463)/2)^2+COS(RADIANS(G463))*COS(RADIANS(I463))*SIN(RADIANS(J463-H463)/2)^2))</f>
        <v>68.6258139081704</v>
      </c>
      <c r="L463" s="18" t="n">
        <f aca="false">K463*Assumptions!$B$3</f>
        <v>89.2135580806215</v>
      </c>
      <c r="M463" s="19" t="n">
        <f aca="false">L463/Assumptions!$B$4</f>
        <v>1.9825235129027</v>
      </c>
      <c r="N463" s="9" t="s">
        <v>1365</v>
      </c>
    </row>
    <row r="464" customFormat="false" ht="15" hidden="false" customHeight="false" outlineLevel="0" collapsed="false">
      <c r="A464" s="9" t="s">
        <v>1827</v>
      </c>
      <c r="B464" s="9" t="s">
        <v>516</v>
      </c>
      <c r="C464" s="9" t="str">
        <f aca="false">IFERROR(INDEX(Destination!$B$2:$B$501,MATCH(B464,Destination!$A$2:$A$501,0)),"")</f>
        <v>Vagamon</v>
      </c>
      <c r="D464" s="9" t="s">
        <v>531</v>
      </c>
      <c r="E464" s="9" t="str">
        <f aca="false">IFERROR(INDEX(Destination!$B$2:$B$501,MATCH(D464,Destination!$A$2:$A$501,0)),"")</f>
        <v>Idukki</v>
      </c>
      <c r="F464" s="9" t="s">
        <v>1364</v>
      </c>
      <c r="G464" s="12" t="n">
        <f aca="false">INDEX(Destination!$F$2:$F$501,MATCH(B464,Destination!$A$2:$A$501,0))</f>
        <v>9.69</v>
      </c>
      <c r="H464" s="12" t="n">
        <f aca="false">INDEX(Destination!$G$2:$G$501,MATCH(B464,Destination!$A$2:$A$501,0))</f>
        <v>76.9</v>
      </c>
      <c r="I464" s="12" t="n">
        <f aca="false">INDEX(Destination!$F$2:$F$501,MATCH(D464,Destination!$A$2:$A$501,0))</f>
        <v>9.85</v>
      </c>
      <c r="J464" s="12" t="n">
        <f aca="false">INDEX(Destination!$G$2:$G$501,MATCH(D464,Destination!$A$2:$A$501,0))</f>
        <v>76.97</v>
      </c>
      <c r="K464" s="17" t="n">
        <f aca="false">Assumptions!$B$2*2*ASIN(SQRT(SIN(RADIANS(I464-G464)/2)^2+COS(RADIANS(G464))*COS(RADIANS(I464))*SIN(RADIANS(J464-H464)/2)^2))</f>
        <v>19.3743867695073</v>
      </c>
      <c r="L464" s="18" t="n">
        <f aca="false">K464*Assumptions!$B$3</f>
        <v>25.1867028003595</v>
      </c>
      <c r="M464" s="19" t="n">
        <f aca="false">L464/Assumptions!$B$4</f>
        <v>0.559704506674655</v>
      </c>
      <c r="N464" s="9" t="s">
        <v>1365</v>
      </c>
    </row>
    <row r="465" customFormat="false" ht="15" hidden="false" customHeight="false" outlineLevel="0" collapsed="false">
      <c r="A465" s="9" t="s">
        <v>1828</v>
      </c>
      <c r="B465" s="9" t="s">
        <v>516</v>
      </c>
      <c r="C465" s="9" t="str">
        <f aca="false">IFERROR(INDEX(Destination!$B$2:$B$501,MATCH(B465,Destination!$A$2:$A$501,0)),"")</f>
        <v>Vagamon</v>
      </c>
      <c r="D465" s="9" t="s">
        <v>535</v>
      </c>
      <c r="E465" s="9" t="str">
        <f aca="false">IFERROR(INDEX(Destination!$B$2:$B$501,MATCH(D465,Destination!$A$2:$A$501,0)),"")</f>
        <v>Periyar</v>
      </c>
      <c r="F465" s="9" t="s">
        <v>1364</v>
      </c>
      <c r="G465" s="12" t="n">
        <f aca="false">INDEX(Destination!$F$2:$F$501,MATCH(B465,Destination!$A$2:$A$501,0))</f>
        <v>9.69</v>
      </c>
      <c r="H465" s="12" t="n">
        <f aca="false">INDEX(Destination!$G$2:$G$501,MATCH(B465,Destination!$A$2:$A$501,0))</f>
        <v>76.9</v>
      </c>
      <c r="I465" s="12" t="n">
        <f aca="false">INDEX(Destination!$F$2:$F$501,MATCH(D465,Destination!$A$2:$A$501,0))</f>
        <v>9.47</v>
      </c>
      <c r="J465" s="12" t="n">
        <f aca="false">INDEX(Destination!$G$2:$G$501,MATCH(D465,Destination!$A$2:$A$501,0))</f>
        <v>77.17</v>
      </c>
      <c r="K465" s="17" t="n">
        <f aca="false">Assumptions!$B$2*2*ASIN(SQRT(SIN(RADIANS(I465-G465)/2)^2+COS(RADIANS(G465))*COS(RADIANS(I465))*SIN(RADIANS(J465-H465)/2)^2))</f>
        <v>38.4034471730427</v>
      </c>
      <c r="L465" s="18" t="n">
        <f aca="false">K465*Assumptions!$B$3</f>
        <v>49.9244813249555</v>
      </c>
      <c r="M465" s="19" t="n">
        <f aca="false">L465/Assumptions!$B$4</f>
        <v>1.10943291833234</v>
      </c>
      <c r="N465" s="9" t="s">
        <v>1365</v>
      </c>
    </row>
    <row r="466" customFormat="false" ht="15" hidden="false" customHeight="false" outlineLevel="0" collapsed="false">
      <c r="A466" s="9" t="s">
        <v>1829</v>
      </c>
      <c r="B466" s="9" t="s">
        <v>516</v>
      </c>
      <c r="C466" s="9" t="str">
        <f aca="false">IFERROR(INDEX(Destination!$B$2:$B$501,MATCH(B466,Destination!$A$2:$A$501,0)),"")</f>
        <v>Vagamon</v>
      </c>
      <c r="D466" s="9" t="s">
        <v>540</v>
      </c>
      <c r="E466" s="9" t="str">
        <f aca="false">IFERROR(INDEX(Destination!$B$2:$B$501,MATCH(D466,Destination!$A$2:$A$501,0)),"")</f>
        <v>Sabarimala</v>
      </c>
      <c r="F466" s="9" t="s">
        <v>1364</v>
      </c>
      <c r="G466" s="12" t="n">
        <f aca="false">INDEX(Destination!$F$2:$F$501,MATCH(B466,Destination!$A$2:$A$501,0))</f>
        <v>9.69</v>
      </c>
      <c r="H466" s="12" t="n">
        <f aca="false">INDEX(Destination!$G$2:$G$501,MATCH(B466,Destination!$A$2:$A$501,0))</f>
        <v>76.9</v>
      </c>
      <c r="I466" s="12" t="n">
        <f aca="false">INDEX(Destination!$F$2:$F$501,MATCH(D466,Destination!$A$2:$A$501,0))</f>
        <v>9.44</v>
      </c>
      <c r="J466" s="12" t="n">
        <f aca="false">INDEX(Destination!$G$2:$G$501,MATCH(D466,Destination!$A$2:$A$501,0))</f>
        <v>77.08</v>
      </c>
      <c r="K466" s="17" t="n">
        <f aca="false">Assumptions!$B$2*2*ASIN(SQRT(SIN(RADIANS(I466-G466)/2)^2+COS(RADIANS(G466))*COS(RADIANS(I466))*SIN(RADIANS(J466-H466)/2)^2))</f>
        <v>34.0926872413336</v>
      </c>
      <c r="L466" s="18" t="n">
        <f aca="false">K466*Assumptions!$B$3</f>
        <v>44.3204934137337</v>
      </c>
      <c r="M466" s="19" t="n">
        <f aca="false">L466/Assumptions!$B$4</f>
        <v>0.984899853638527</v>
      </c>
      <c r="N466" s="9" t="s">
        <v>1365</v>
      </c>
    </row>
    <row r="467" customFormat="false" ht="15" hidden="false" customHeight="false" outlineLevel="0" collapsed="false">
      <c r="A467" s="9" t="s">
        <v>1830</v>
      </c>
      <c r="B467" s="9" t="s">
        <v>518</v>
      </c>
      <c r="C467" s="9" t="str">
        <f aca="false">IFERROR(INDEX(Destination!$B$2:$B$501,MATCH(B467,Destination!$A$2:$A$501,0)),"")</f>
        <v>Ponmudi</v>
      </c>
      <c r="D467" s="9" t="s">
        <v>527</v>
      </c>
      <c r="E467" s="9" t="str">
        <f aca="false">IFERROR(INDEX(Destination!$B$2:$B$501,MATCH(D467,Destination!$A$2:$A$501,0)),"")</f>
        <v>Kollam</v>
      </c>
      <c r="F467" s="9" t="s">
        <v>1364</v>
      </c>
      <c r="G467" s="12" t="n">
        <f aca="false">INDEX(Destination!$F$2:$F$501,MATCH(B467,Destination!$A$2:$A$501,0))</f>
        <v>8.76</v>
      </c>
      <c r="H467" s="12" t="n">
        <f aca="false">INDEX(Destination!$G$2:$G$501,MATCH(B467,Destination!$A$2:$A$501,0))</f>
        <v>77.11</v>
      </c>
      <c r="I467" s="12" t="n">
        <f aca="false">INDEX(Destination!$F$2:$F$501,MATCH(D467,Destination!$A$2:$A$501,0))</f>
        <v>8.89</v>
      </c>
      <c r="J467" s="12" t="n">
        <f aca="false">INDEX(Destination!$G$2:$G$501,MATCH(D467,Destination!$A$2:$A$501,0))</f>
        <v>76.61</v>
      </c>
      <c r="K467" s="17" t="n">
        <f aca="false">Assumptions!$B$2*2*ASIN(SQRT(SIN(RADIANS(I467-G467)/2)^2+COS(RADIANS(G467))*COS(RADIANS(I467))*SIN(RADIANS(J467-H467)/2)^2))</f>
        <v>56.8091447852131</v>
      </c>
      <c r="L467" s="18" t="n">
        <f aca="false">K467*Assumptions!$B$3</f>
        <v>73.8518882207771</v>
      </c>
      <c r="M467" s="19" t="n">
        <f aca="false">L467/Assumptions!$B$4</f>
        <v>1.64115307157282</v>
      </c>
      <c r="N467" s="9" t="s">
        <v>1365</v>
      </c>
    </row>
    <row r="468" customFormat="false" ht="15" hidden="false" customHeight="false" outlineLevel="0" collapsed="false">
      <c r="A468" s="9" t="s">
        <v>1831</v>
      </c>
      <c r="B468" s="9" t="s">
        <v>518</v>
      </c>
      <c r="C468" s="9" t="str">
        <f aca="false">IFERROR(INDEX(Destination!$B$2:$B$501,MATCH(B468,Destination!$A$2:$A$501,0)),"")</f>
        <v>Ponmudi</v>
      </c>
      <c r="D468" s="9" t="s">
        <v>529</v>
      </c>
      <c r="E468" s="9" t="str">
        <f aca="false">IFERROR(INDEX(Destination!$B$2:$B$501,MATCH(D468,Destination!$A$2:$A$501,0)),"")</f>
        <v>Poovar</v>
      </c>
      <c r="F468" s="9" t="s">
        <v>1364</v>
      </c>
      <c r="G468" s="12" t="n">
        <f aca="false">INDEX(Destination!$F$2:$F$501,MATCH(B468,Destination!$A$2:$A$501,0))</f>
        <v>8.76</v>
      </c>
      <c r="H468" s="12" t="n">
        <f aca="false">INDEX(Destination!$G$2:$G$501,MATCH(B468,Destination!$A$2:$A$501,0))</f>
        <v>77.11</v>
      </c>
      <c r="I468" s="12" t="n">
        <f aca="false">INDEX(Destination!$F$2:$F$501,MATCH(D468,Destination!$A$2:$A$501,0))</f>
        <v>8.32</v>
      </c>
      <c r="J468" s="12" t="n">
        <f aca="false">INDEX(Destination!$G$2:$G$501,MATCH(D468,Destination!$A$2:$A$501,0))</f>
        <v>77.07</v>
      </c>
      <c r="K468" s="17" t="n">
        <f aca="false">Assumptions!$B$2*2*ASIN(SQRT(SIN(RADIANS(I468-G468)/2)^2+COS(RADIANS(G468))*COS(RADIANS(I468))*SIN(RADIANS(J468-H468)/2)^2))</f>
        <v>49.1230830473328</v>
      </c>
      <c r="L468" s="18" t="n">
        <f aca="false">K468*Assumptions!$B$3</f>
        <v>63.8600079615326</v>
      </c>
      <c r="M468" s="19" t="n">
        <f aca="false">L468/Assumptions!$B$4</f>
        <v>1.41911128803406</v>
      </c>
      <c r="N468" s="9" t="s">
        <v>1365</v>
      </c>
    </row>
    <row r="469" customFormat="false" ht="15" hidden="false" customHeight="false" outlineLevel="0" collapsed="false">
      <c r="A469" s="9" t="s">
        <v>1832</v>
      </c>
      <c r="B469" s="9" t="s">
        <v>520</v>
      </c>
      <c r="C469" s="9" t="str">
        <f aca="false">IFERROR(INDEX(Destination!$B$2:$B$501,MATCH(B469,Destination!$A$2:$A$501,0)),"")</f>
        <v>Athirappilly</v>
      </c>
      <c r="D469" s="9" t="s">
        <v>524</v>
      </c>
      <c r="E469" s="9" t="str">
        <f aca="false">IFERROR(INDEX(Destination!$B$2:$B$501,MATCH(D469,Destination!$A$2:$A$501,0)),"")</f>
        <v>Fort Kochi</v>
      </c>
      <c r="F469" s="9" t="s">
        <v>1364</v>
      </c>
      <c r="G469" s="12" t="n">
        <f aca="false">INDEX(Destination!$F$2:$F$501,MATCH(B469,Destination!$A$2:$A$501,0))</f>
        <v>10.29</v>
      </c>
      <c r="H469" s="12" t="n">
        <f aca="false">INDEX(Destination!$G$2:$G$501,MATCH(B469,Destination!$A$2:$A$501,0))</f>
        <v>76.57</v>
      </c>
      <c r="I469" s="12" t="n">
        <f aca="false">INDEX(Destination!$F$2:$F$501,MATCH(D469,Destination!$A$2:$A$501,0))</f>
        <v>9.96</v>
      </c>
      <c r="J469" s="12" t="n">
        <f aca="false">INDEX(Destination!$G$2:$G$501,MATCH(D469,Destination!$A$2:$A$501,0))</f>
        <v>76.24</v>
      </c>
      <c r="K469" s="17" t="n">
        <f aca="false">Assumptions!$B$2*2*ASIN(SQRT(SIN(RADIANS(I469-G469)/2)^2+COS(RADIANS(G469))*COS(RADIANS(I469))*SIN(RADIANS(J469-H469)/2)^2))</f>
        <v>51.4910784650312</v>
      </c>
      <c r="L469" s="18" t="n">
        <f aca="false">K469*Assumptions!$B$3</f>
        <v>66.9384020045406</v>
      </c>
      <c r="M469" s="19" t="n">
        <f aca="false">L469/Assumptions!$B$4</f>
        <v>1.48752004454535</v>
      </c>
      <c r="N469" s="9" t="s">
        <v>1365</v>
      </c>
    </row>
    <row r="470" customFormat="false" ht="15" hidden="false" customHeight="false" outlineLevel="0" collapsed="false">
      <c r="A470" s="9" t="s">
        <v>1833</v>
      </c>
      <c r="B470" s="9" t="s">
        <v>520</v>
      </c>
      <c r="C470" s="9" t="str">
        <f aca="false">IFERROR(INDEX(Destination!$B$2:$B$501,MATCH(B470,Destination!$A$2:$A$501,0)),"")</f>
        <v>Athirappilly</v>
      </c>
      <c r="D470" s="9" t="s">
        <v>538</v>
      </c>
      <c r="E470" s="9" t="str">
        <f aca="false">IFERROR(INDEX(Destination!$B$2:$B$501,MATCH(D470,Destination!$A$2:$A$501,0)),"")</f>
        <v>Guruvayur</v>
      </c>
      <c r="F470" s="9" t="s">
        <v>1364</v>
      </c>
      <c r="G470" s="12" t="n">
        <f aca="false">INDEX(Destination!$F$2:$F$501,MATCH(B470,Destination!$A$2:$A$501,0))</f>
        <v>10.29</v>
      </c>
      <c r="H470" s="12" t="n">
        <f aca="false">INDEX(Destination!$G$2:$G$501,MATCH(B470,Destination!$A$2:$A$501,0))</f>
        <v>76.57</v>
      </c>
      <c r="I470" s="12" t="n">
        <f aca="false">INDEX(Destination!$F$2:$F$501,MATCH(D470,Destination!$A$2:$A$501,0))</f>
        <v>10.59</v>
      </c>
      <c r="J470" s="12" t="n">
        <f aca="false">INDEX(Destination!$G$2:$G$501,MATCH(D470,Destination!$A$2:$A$501,0))</f>
        <v>76.04</v>
      </c>
      <c r="K470" s="17" t="n">
        <f aca="false">Assumptions!$B$2*2*ASIN(SQRT(SIN(RADIANS(I470-G470)/2)^2+COS(RADIANS(G470))*COS(RADIANS(I470))*SIN(RADIANS(J470-H470)/2)^2))</f>
        <v>66.8720550147284</v>
      </c>
      <c r="L470" s="18" t="n">
        <f aca="false">K470*Assumptions!$B$3</f>
        <v>86.9336715191469</v>
      </c>
      <c r="M470" s="19" t="n">
        <f aca="false">L470/Assumptions!$B$4</f>
        <v>1.93185936709215</v>
      </c>
      <c r="N470" s="9" t="s">
        <v>1365</v>
      </c>
    </row>
    <row r="471" customFormat="false" ht="15" hidden="false" customHeight="false" outlineLevel="0" collapsed="false">
      <c r="A471" s="9" t="s">
        <v>1834</v>
      </c>
      <c r="B471" s="9" t="s">
        <v>520</v>
      </c>
      <c r="C471" s="9" t="str">
        <f aca="false">IFERROR(INDEX(Destination!$B$2:$B$501,MATCH(B471,Destination!$A$2:$A$501,0)),"")</f>
        <v>Athirappilly</v>
      </c>
      <c r="D471" s="9" t="s">
        <v>542</v>
      </c>
      <c r="E471" s="9" t="str">
        <f aca="false">IFERROR(INDEX(Destination!$B$2:$B$501,MATCH(D471,Destination!$A$2:$A$501,0)),"")</f>
        <v>Thrissur</v>
      </c>
      <c r="F471" s="9" t="s">
        <v>1364</v>
      </c>
      <c r="G471" s="12" t="n">
        <f aca="false">INDEX(Destination!$F$2:$F$501,MATCH(B471,Destination!$A$2:$A$501,0))</f>
        <v>10.29</v>
      </c>
      <c r="H471" s="12" t="n">
        <f aca="false">INDEX(Destination!$G$2:$G$501,MATCH(B471,Destination!$A$2:$A$501,0))</f>
        <v>76.57</v>
      </c>
      <c r="I471" s="12" t="n">
        <f aca="false">INDEX(Destination!$F$2:$F$501,MATCH(D471,Destination!$A$2:$A$501,0))</f>
        <v>10.53</v>
      </c>
      <c r="J471" s="12" t="n">
        <f aca="false">INDEX(Destination!$G$2:$G$501,MATCH(D471,Destination!$A$2:$A$501,0))</f>
        <v>76.21</v>
      </c>
      <c r="K471" s="17" t="n">
        <f aca="false">Assumptions!$B$2*2*ASIN(SQRT(SIN(RADIANS(I471-G471)/2)^2+COS(RADIANS(G471))*COS(RADIANS(I471))*SIN(RADIANS(J471-H471)/2)^2))</f>
        <v>47.5634206060567</v>
      </c>
      <c r="L471" s="18" t="n">
        <f aca="false">K471*Assumptions!$B$3</f>
        <v>61.8324467878737</v>
      </c>
      <c r="M471" s="19" t="n">
        <f aca="false">L471/Assumptions!$B$4</f>
        <v>1.37405437306386</v>
      </c>
      <c r="N471" s="9" t="s">
        <v>1365</v>
      </c>
    </row>
    <row r="472" customFormat="false" ht="15" hidden="false" customHeight="false" outlineLevel="0" collapsed="false">
      <c r="A472" s="9" t="s">
        <v>1835</v>
      </c>
      <c r="B472" s="9" t="s">
        <v>522</v>
      </c>
      <c r="C472" s="9" t="str">
        <f aca="false">IFERROR(INDEX(Destination!$B$2:$B$501,MATCH(B472,Destination!$A$2:$A$501,0)),"")</f>
        <v>Marari</v>
      </c>
      <c r="D472" s="9" t="s">
        <v>524</v>
      </c>
      <c r="E472" s="9" t="str">
        <f aca="false">IFERROR(INDEX(Destination!$B$2:$B$501,MATCH(D472,Destination!$A$2:$A$501,0)),"")</f>
        <v>Fort Kochi</v>
      </c>
      <c r="F472" s="9" t="s">
        <v>1364</v>
      </c>
      <c r="G472" s="12" t="n">
        <f aca="false">INDEX(Destination!$F$2:$F$501,MATCH(B472,Destination!$A$2:$A$501,0))</f>
        <v>9.6</v>
      </c>
      <c r="H472" s="12" t="n">
        <f aca="false">INDEX(Destination!$G$2:$G$501,MATCH(B472,Destination!$A$2:$A$501,0))</f>
        <v>76.3</v>
      </c>
      <c r="I472" s="12" t="n">
        <f aca="false">INDEX(Destination!$F$2:$F$501,MATCH(D472,Destination!$A$2:$A$501,0))</f>
        <v>9.96</v>
      </c>
      <c r="J472" s="12" t="n">
        <f aca="false">INDEX(Destination!$G$2:$G$501,MATCH(D472,Destination!$A$2:$A$501,0))</f>
        <v>76.24</v>
      </c>
      <c r="K472" s="17" t="n">
        <f aca="false">Assumptions!$B$2*2*ASIN(SQRT(SIN(RADIANS(I472-G472)/2)^2+COS(RADIANS(G472))*COS(RADIANS(I472))*SIN(RADIANS(J472-H472)/2)^2))</f>
        <v>40.5665110212147</v>
      </c>
      <c r="L472" s="18" t="n">
        <f aca="false">K472*Assumptions!$B$3</f>
        <v>52.7364643275791</v>
      </c>
      <c r="M472" s="19" t="n">
        <f aca="false">L472/Assumptions!$B$4</f>
        <v>1.17192142950176</v>
      </c>
      <c r="N472" s="9" t="s">
        <v>1365</v>
      </c>
    </row>
    <row r="473" customFormat="false" ht="15" hidden="false" customHeight="false" outlineLevel="0" collapsed="false">
      <c r="A473" s="9" t="s">
        <v>1836</v>
      </c>
      <c r="B473" s="9" t="s">
        <v>524</v>
      </c>
      <c r="C473" s="9" t="str">
        <f aca="false">IFERROR(INDEX(Destination!$B$2:$B$501,MATCH(B473,Destination!$A$2:$A$501,0)),"")</f>
        <v>Fort Kochi</v>
      </c>
      <c r="D473" s="9" t="s">
        <v>542</v>
      </c>
      <c r="E473" s="9" t="str">
        <f aca="false">IFERROR(INDEX(Destination!$B$2:$B$501,MATCH(D473,Destination!$A$2:$A$501,0)),"")</f>
        <v>Thrissur</v>
      </c>
      <c r="F473" s="9" t="s">
        <v>1364</v>
      </c>
      <c r="G473" s="12" t="n">
        <f aca="false">INDEX(Destination!$F$2:$F$501,MATCH(B473,Destination!$A$2:$A$501,0))</f>
        <v>9.96</v>
      </c>
      <c r="H473" s="12" t="n">
        <f aca="false">INDEX(Destination!$G$2:$G$501,MATCH(B473,Destination!$A$2:$A$501,0))</f>
        <v>76.24</v>
      </c>
      <c r="I473" s="12" t="n">
        <f aca="false">INDEX(Destination!$F$2:$F$501,MATCH(D473,Destination!$A$2:$A$501,0))</f>
        <v>10.53</v>
      </c>
      <c r="J473" s="12" t="n">
        <f aca="false">INDEX(Destination!$G$2:$G$501,MATCH(D473,Destination!$A$2:$A$501,0))</f>
        <v>76.21</v>
      </c>
      <c r="K473" s="17" t="n">
        <f aca="false">Assumptions!$B$2*2*ASIN(SQRT(SIN(RADIANS(I473-G473)/2)^2+COS(RADIANS(G473))*COS(RADIANS(I473))*SIN(RADIANS(J473-H473)/2)^2))</f>
        <v>63.4660590068306</v>
      </c>
      <c r="L473" s="18" t="n">
        <f aca="false">K473*Assumptions!$B$3</f>
        <v>82.5058767088798</v>
      </c>
      <c r="M473" s="19" t="n">
        <f aca="false">L473/Assumptions!$B$4</f>
        <v>1.833463926864</v>
      </c>
      <c r="N473" s="9" t="s">
        <v>1365</v>
      </c>
    </row>
    <row r="474" customFormat="false" ht="15" hidden="false" customHeight="false" outlineLevel="0" collapsed="false">
      <c r="A474" s="9" t="s">
        <v>1837</v>
      </c>
      <c r="B474" s="9" t="s">
        <v>533</v>
      </c>
      <c r="C474" s="9" t="str">
        <f aca="false">IFERROR(INDEX(Destination!$B$2:$B$501,MATCH(B474,Destination!$A$2:$A$501,0)),"")</f>
        <v>Silent Valley</v>
      </c>
      <c r="D474" s="9" t="s">
        <v>538</v>
      </c>
      <c r="E474" s="9" t="str">
        <f aca="false">IFERROR(INDEX(Destination!$B$2:$B$501,MATCH(D474,Destination!$A$2:$A$501,0)),"")</f>
        <v>Guruvayur</v>
      </c>
      <c r="F474" s="9" t="s">
        <v>1364</v>
      </c>
      <c r="G474" s="12" t="n">
        <f aca="false">INDEX(Destination!$F$2:$F$501,MATCH(B474,Destination!$A$2:$A$501,0))</f>
        <v>11.08</v>
      </c>
      <c r="H474" s="12" t="n">
        <f aca="false">INDEX(Destination!$G$2:$G$501,MATCH(B474,Destination!$A$2:$A$501,0))</f>
        <v>76.44</v>
      </c>
      <c r="I474" s="12" t="n">
        <f aca="false">INDEX(Destination!$F$2:$F$501,MATCH(D474,Destination!$A$2:$A$501,0))</f>
        <v>10.59</v>
      </c>
      <c r="J474" s="12" t="n">
        <f aca="false">INDEX(Destination!$G$2:$G$501,MATCH(D474,Destination!$A$2:$A$501,0))</f>
        <v>76.04</v>
      </c>
      <c r="K474" s="17" t="n">
        <f aca="false">Assumptions!$B$2*2*ASIN(SQRT(SIN(RADIANS(I474-G474)/2)^2+COS(RADIANS(G474))*COS(RADIANS(I474))*SIN(RADIANS(J474-H474)/2)^2))</f>
        <v>69.835815636418</v>
      </c>
      <c r="L474" s="18" t="n">
        <f aca="false">K474*Assumptions!$B$3</f>
        <v>90.7865603273434</v>
      </c>
      <c r="M474" s="19" t="n">
        <f aca="false">L474/Assumptions!$B$4</f>
        <v>2.01747911838541</v>
      </c>
      <c r="N474" s="9" t="s">
        <v>1365</v>
      </c>
    </row>
    <row r="475" customFormat="false" ht="15" hidden="false" customHeight="false" outlineLevel="0" collapsed="false">
      <c r="A475" s="9" t="s">
        <v>1838</v>
      </c>
      <c r="B475" s="9" t="s">
        <v>535</v>
      </c>
      <c r="C475" s="9" t="str">
        <f aca="false">IFERROR(INDEX(Destination!$B$2:$B$501,MATCH(B475,Destination!$A$2:$A$501,0)),"")</f>
        <v>Periyar</v>
      </c>
      <c r="D475" s="9" t="s">
        <v>540</v>
      </c>
      <c r="E475" s="9" t="str">
        <f aca="false">IFERROR(INDEX(Destination!$B$2:$B$501,MATCH(D475,Destination!$A$2:$A$501,0)),"")</f>
        <v>Sabarimala</v>
      </c>
      <c r="F475" s="9" t="s">
        <v>1364</v>
      </c>
      <c r="G475" s="12" t="n">
        <f aca="false">INDEX(Destination!$F$2:$F$501,MATCH(B475,Destination!$A$2:$A$501,0))</f>
        <v>9.47</v>
      </c>
      <c r="H475" s="12" t="n">
        <f aca="false">INDEX(Destination!$G$2:$G$501,MATCH(B475,Destination!$A$2:$A$501,0))</f>
        <v>77.17</v>
      </c>
      <c r="I475" s="12" t="n">
        <f aca="false">INDEX(Destination!$F$2:$F$501,MATCH(D475,Destination!$A$2:$A$501,0))</f>
        <v>9.44</v>
      </c>
      <c r="J475" s="12" t="n">
        <f aca="false">INDEX(Destination!$G$2:$G$501,MATCH(D475,Destination!$A$2:$A$501,0))</f>
        <v>77.08</v>
      </c>
      <c r="K475" s="17" t="n">
        <f aca="false">Assumptions!$B$2*2*ASIN(SQRT(SIN(RADIANS(I475-G475)/2)^2+COS(RADIANS(G475))*COS(RADIANS(I475))*SIN(RADIANS(J475-H475)/2)^2))</f>
        <v>10.4199889713037</v>
      </c>
      <c r="L475" s="18" t="n">
        <f aca="false">K475*Assumptions!$B$3</f>
        <v>13.5459856626948</v>
      </c>
      <c r="M475" s="19" t="n">
        <f aca="false">L475/Assumptions!$B$4</f>
        <v>0.30102190361544</v>
      </c>
      <c r="N475" s="9" t="s">
        <v>1365</v>
      </c>
    </row>
    <row r="476" customFormat="false" ht="15" hidden="false" customHeight="false" outlineLevel="0" collapsed="false">
      <c r="A476" s="9" t="s">
        <v>1839</v>
      </c>
      <c r="B476" s="9" t="s">
        <v>538</v>
      </c>
      <c r="C476" s="9" t="str">
        <f aca="false">IFERROR(INDEX(Destination!$B$2:$B$501,MATCH(B476,Destination!$A$2:$A$501,0)),"")</f>
        <v>Guruvayur</v>
      </c>
      <c r="D476" s="9" t="s">
        <v>542</v>
      </c>
      <c r="E476" s="9" t="str">
        <f aca="false">IFERROR(INDEX(Destination!$B$2:$B$501,MATCH(D476,Destination!$A$2:$A$501,0)),"")</f>
        <v>Thrissur</v>
      </c>
      <c r="F476" s="9" t="s">
        <v>1364</v>
      </c>
      <c r="G476" s="12" t="n">
        <f aca="false">INDEX(Destination!$F$2:$F$501,MATCH(B476,Destination!$A$2:$A$501,0))</f>
        <v>10.59</v>
      </c>
      <c r="H476" s="12" t="n">
        <f aca="false">INDEX(Destination!$G$2:$G$501,MATCH(B476,Destination!$A$2:$A$501,0))</f>
        <v>76.04</v>
      </c>
      <c r="I476" s="12" t="n">
        <f aca="false">INDEX(Destination!$F$2:$F$501,MATCH(D476,Destination!$A$2:$A$501,0))</f>
        <v>10.53</v>
      </c>
      <c r="J476" s="12" t="n">
        <f aca="false">INDEX(Destination!$G$2:$G$501,MATCH(D476,Destination!$A$2:$A$501,0))</f>
        <v>76.21</v>
      </c>
      <c r="K476" s="17" t="n">
        <f aca="false">Assumptions!$B$2*2*ASIN(SQRT(SIN(RADIANS(I476-G476)/2)^2+COS(RADIANS(G476))*COS(RADIANS(I476))*SIN(RADIANS(J476-H476)/2)^2))</f>
        <v>19.7443362927422</v>
      </c>
      <c r="L476" s="18" t="n">
        <f aca="false">K476*Assumptions!$B$3</f>
        <v>25.6676371805649</v>
      </c>
      <c r="M476" s="19" t="n">
        <f aca="false">L476/Assumptions!$B$4</f>
        <v>0.570391937345886</v>
      </c>
      <c r="N476" s="9" t="s">
        <v>1365</v>
      </c>
    </row>
    <row r="477" customFormat="false" ht="15" hidden="false" customHeight="false" outlineLevel="0" collapsed="false">
      <c r="A477" s="9" t="s">
        <v>1840</v>
      </c>
      <c r="B477" s="9" t="s">
        <v>544</v>
      </c>
      <c r="C477" s="9" t="str">
        <f aca="false">IFERROR(INDEX(Destination!$B$2:$B$501,MATCH(B477,Destination!$A$2:$A$501,0)),"")</f>
        <v>Visakhapatnam</v>
      </c>
      <c r="D477" s="9" t="s">
        <v>551</v>
      </c>
      <c r="E477" s="9" t="str">
        <f aca="false">IFERROR(INDEX(Destination!$B$2:$B$501,MATCH(D477,Destination!$A$2:$A$501,0)),"")</f>
        <v>Araku Valley</v>
      </c>
      <c r="F477" s="9" t="s">
        <v>1364</v>
      </c>
      <c r="G477" s="12" t="n">
        <f aca="false">INDEX(Destination!$F$2:$F$501,MATCH(B477,Destination!$A$2:$A$501,0))</f>
        <v>17.69</v>
      </c>
      <c r="H477" s="12" t="n">
        <f aca="false">INDEX(Destination!$G$2:$G$501,MATCH(B477,Destination!$A$2:$A$501,0))</f>
        <v>83.22</v>
      </c>
      <c r="I477" s="12" t="n">
        <f aca="false">INDEX(Destination!$F$2:$F$501,MATCH(D477,Destination!$A$2:$A$501,0))</f>
        <v>18.33</v>
      </c>
      <c r="J477" s="12" t="n">
        <f aca="false">INDEX(Destination!$G$2:$G$501,MATCH(D477,Destination!$A$2:$A$501,0))</f>
        <v>82.88</v>
      </c>
      <c r="K477" s="17" t="n">
        <f aca="false">Assumptions!$B$2*2*ASIN(SQRT(SIN(RADIANS(I477-G477)/2)^2+COS(RADIANS(G477))*COS(RADIANS(I477))*SIN(RADIANS(J477-H477)/2)^2))</f>
        <v>79.7313263187189</v>
      </c>
      <c r="L477" s="18" t="n">
        <f aca="false">K477*Assumptions!$B$3</f>
        <v>103.650724214335</v>
      </c>
      <c r="M477" s="19" t="n">
        <f aca="false">L477/Assumptions!$B$4</f>
        <v>2.30334942698521</v>
      </c>
      <c r="N477" s="9" t="s">
        <v>1365</v>
      </c>
    </row>
    <row r="478" customFormat="false" ht="15" hidden="false" customHeight="false" outlineLevel="0" collapsed="false">
      <c r="A478" s="9" t="s">
        <v>1841</v>
      </c>
      <c r="B478" s="9" t="s">
        <v>544</v>
      </c>
      <c r="C478" s="9" t="str">
        <f aca="false">IFERROR(INDEX(Destination!$B$2:$B$501,MATCH(B478,Destination!$A$2:$A$501,0)),"")</f>
        <v>Visakhapatnam</v>
      </c>
      <c r="D478" s="9" t="s">
        <v>583</v>
      </c>
      <c r="E478" s="9" t="str">
        <f aca="false">IFERROR(INDEX(Destination!$B$2:$B$501,MATCH(D478,Destination!$A$2:$A$501,0)),"")</f>
        <v>Borra Caves</v>
      </c>
      <c r="F478" s="9" t="s">
        <v>1364</v>
      </c>
      <c r="G478" s="12" t="n">
        <f aca="false">INDEX(Destination!$F$2:$F$501,MATCH(B478,Destination!$A$2:$A$501,0))</f>
        <v>17.69</v>
      </c>
      <c r="H478" s="12" t="n">
        <f aca="false">INDEX(Destination!$G$2:$G$501,MATCH(B478,Destination!$A$2:$A$501,0))</f>
        <v>83.22</v>
      </c>
      <c r="I478" s="12" t="n">
        <f aca="false">INDEX(Destination!$F$2:$F$501,MATCH(D478,Destination!$A$2:$A$501,0))</f>
        <v>18.28</v>
      </c>
      <c r="J478" s="12" t="n">
        <f aca="false">INDEX(Destination!$G$2:$G$501,MATCH(D478,Destination!$A$2:$A$501,0))</f>
        <v>83.04</v>
      </c>
      <c r="K478" s="17" t="n">
        <f aca="false">Assumptions!$B$2*2*ASIN(SQRT(SIN(RADIANS(I478-G478)/2)^2+COS(RADIANS(G478))*COS(RADIANS(I478))*SIN(RADIANS(J478-H478)/2)^2))</f>
        <v>68.3112270203052</v>
      </c>
      <c r="L478" s="18" t="n">
        <f aca="false">K478*Assumptions!$B$3</f>
        <v>88.8045951263968</v>
      </c>
      <c r="M478" s="19" t="n">
        <f aca="false">L478/Assumptions!$B$4</f>
        <v>1.97343544725326</v>
      </c>
      <c r="N478" s="9" t="s">
        <v>1365</v>
      </c>
    </row>
    <row r="479" customFormat="false" ht="15" hidden="false" customHeight="false" outlineLevel="0" collapsed="false">
      <c r="A479" s="9" t="s">
        <v>1842</v>
      </c>
      <c r="B479" s="9" t="s">
        <v>544</v>
      </c>
      <c r="C479" s="9" t="str">
        <f aca="false">IFERROR(INDEX(Destination!$B$2:$B$501,MATCH(B479,Destination!$A$2:$A$501,0)),"")</f>
        <v>Visakhapatnam</v>
      </c>
      <c r="D479" s="9" t="s">
        <v>650</v>
      </c>
      <c r="E479" s="9" t="str">
        <f aca="false">IFERROR(INDEX(Destination!$B$2:$B$501,MATCH(D479,Destination!$A$2:$A$501,0)),"")</f>
        <v>Jeypore</v>
      </c>
      <c r="F479" s="9" t="s">
        <v>1364</v>
      </c>
      <c r="G479" s="12" t="n">
        <f aca="false">INDEX(Destination!$F$2:$F$501,MATCH(B479,Destination!$A$2:$A$501,0))</f>
        <v>17.69</v>
      </c>
      <c r="H479" s="12" t="n">
        <f aca="false">INDEX(Destination!$G$2:$G$501,MATCH(B479,Destination!$A$2:$A$501,0))</f>
        <v>83.22</v>
      </c>
      <c r="I479" s="12" t="n">
        <f aca="false">INDEX(Destination!$F$2:$F$501,MATCH(D479,Destination!$A$2:$A$501,0))</f>
        <v>18.86</v>
      </c>
      <c r="J479" s="12" t="n">
        <f aca="false">INDEX(Destination!$G$2:$G$501,MATCH(D479,Destination!$A$2:$A$501,0))</f>
        <v>82.57</v>
      </c>
      <c r="K479" s="17" t="n">
        <f aca="false">Assumptions!$B$2*2*ASIN(SQRT(SIN(RADIANS(I479-G479)/2)^2+COS(RADIANS(G479))*COS(RADIANS(I479))*SIN(RADIANS(J479-H479)/2)^2))</f>
        <v>147.090213756797</v>
      </c>
      <c r="L479" s="18" t="n">
        <f aca="false">K479*Assumptions!$B$3</f>
        <v>191.217277883836</v>
      </c>
      <c r="M479" s="19" t="n">
        <f aca="false">L479/Assumptions!$B$4</f>
        <v>4.24927284186301</v>
      </c>
      <c r="N479" s="9" t="s">
        <v>1365</v>
      </c>
    </row>
    <row r="480" customFormat="false" ht="15" hidden="false" customHeight="false" outlineLevel="0" collapsed="false">
      <c r="A480" s="9" t="s">
        <v>1843</v>
      </c>
      <c r="B480" s="9" t="s">
        <v>547</v>
      </c>
      <c r="C480" s="9" t="str">
        <f aca="false">IFERROR(INDEX(Destination!$B$2:$B$501,MATCH(B480,Destination!$A$2:$A$501,0)),"")</f>
        <v>Tirupati</v>
      </c>
      <c r="D480" s="9" t="s">
        <v>565</v>
      </c>
      <c r="E480" s="9" t="str">
        <f aca="false">IFERROR(INDEX(Destination!$B$2:$B$501,MATCH(D480,Destination!$A$2:$A$501,0)),"")</f>
        <v>Horsley Hills</v>
      </c>
      <c r="F480" s="9" t="s">
        <v>1364</v>
      </c>
      <c r="G480" s="12" t="n">
        <f aca="false">INDEX(Destination!$F$2:$F$501,MATCH(B480,Destination!$A$2:$A$501,0))</f>
        <v>13.63</v>
      </c>
      <c r="H480" s="12" t="n">
        <f aca="false">INDEX(Destination!$G$2:$G$501,MATCH(B480,Destination!$A$2:$A$501,0))</f>
        <v>79.42</v>
      </c>
      <c r="I480" s="12" t="n">
        <f aca="false">INDEX(Destination!$F$2:$F$501,MATCH(D480,Destination!$A$2:$A$501,0))</f>
        <v>13.65</v>
      </c>
      <c r="J480" s="12" t="n">
        <f aca="false">INDEX(Destination!$G$2:$G$501,MATCH(D480,Destination!$A$2:$A$501,0))</f>
        <v>78.4</v>
      </c>
      <c r="K480" s="17" t="n">
        <f aca="false">Assumptions!$B$2*2*ASIN(SQRT(SIN(RADIANS(I480-G480)/2)^2+COS(RADIANS(G480))*COS(RADIANS(I480))*SIN(RADIANS(J480-H480)/2)^2))</f>
        <v>110.242380909419</v>
      </c>
      <c r="L480" s="18" t="n">
        <f aca="false">K480*Assumptions!$B$3</f>
        <v>143.315095182245</v>
      </c>
      <c r="M480" s="19" t="n">
        <f aca="false">L480/Assumptions!$B$4</f>
        <v>3.18477989293878</v>
      </c>
      <c r="N480" s="9" t="s">
        <v>1365</v>
      </c>
    </row>
    <row r="481" customFormat="false" ht="15" hidden="false" customHeight="false" outlineLevel="0" collapsed="false">
      <c r="A481" s="9" t="s">
        <v>1844</v>
      </c>
      <c r="B481" s="9" t="s">
        <v>547</v>
      </c>
      <c r="C481" s="9" t="str">
        <f aca="false">IFERROR(INDEX(Destination!$B$2:$B$501,MATCH(B481,Destination!$A$2:$A$501,0)),"")</f>
        <v>Tirupati</v>
      </c>
      <c r="D481" s="9" t="s">
        <v>567</v>
      </c>
      <c r="E481" s="9" t="str">
        <f aca="false">IFERROR(INDEX(Destination!$B$2:$B$501,MATCH(D481,Destination!$A$2:$A$501,0)),"")</f>
        <v>Nellore</v>
      </c>
      <c r="F481" s="9" t="s">
        <v>1364</v>
      </c>
      <c r="G481" s="12" t="n">
        <f aca="false">INDEX(Destination!$F$2:$F$501,MATCH(B481,Destination!$A$2:$A$501,0))</f>
        <v>13.63</v>
      </c>
      <c r="H481" s="12" t="n">
        <f aca="false">INDEX(Destination!$G$2:$G$501,MATCH(B481,Destination!$A$2:$A$501,0))</f>
        <v>79.42</v>
      </c>
      <c r="I481" s="12" t="n">
        <f aca="false">INDEX(Destination!$F$2:$F$501,MATCH(D481,Destination!$A$2:$A$501,0))</f>
        <v>14.44</v>
      </c>
      <c r="J481" s="12" t="n">
        <f aca="false">INDEX(Destination!$G$2:$G$501,MATCH(D481,Destination!$A$2:$A$501,0))</f>
        <v>79.99</v>
      </c>
      <c r="K481" s="17" t="n">
        <f aca="false">Assumptions!$B$2*2*ASIN(SQRT(SIN(RADIANS(I481-G481)/2)^2+COS(RADIANS(G481))*COS(RADIANS(I481))*SIN(RADIANS(J481-H481)/2)^2))</f>
        <v>109.055263001094</v>
      </c>
      <c r="L481" s="18" t="n">
        <f aca="false">K481*Assumptions!$B$3</f>
        <v>141.771841901422</v>
      </c>
      <c r="M481" s="19" t="n">
        <f aca="false">L481/Assumptions!$B$4</f>
        <v>3.15048537558717</v>
      </c>
      <c r="N481" s="9" t="s">
        <v>1365</v>
      </c>
    </row>
    <row r="482" customFormat="false" ht="15" hidden="false" customHeight="false" outlineLevel="0" collapsed="false">
      <c r="A482" s="9" t="s">
        <v>1845</v>
      </c>
      <c r="B482" s="9" t="s">
        <v>547</v>
      </c>
      <c r="C482" s="9" t="str">
        <f aca="false">IFERROR(INDEX(Destination!$B$2:$B$501,MATCH(B482,Destination!$A$2:$A$501,0)),"")</f>
        <v>Tirupati</v>
      </c>
      <c r="D482" s="9" t="s">
        <v>585</v>
      </c>
      <c r="E482" s="9" t="str">
        <f aca="false">IFERROR(INDEX(Destination!$B$2:$B$501,MATCH(D482,Destination!$A$2:$A$501,0)),"")</f>
        <v>Talakona</v>
      </c>
      <c r="F482" s="9" t="s">
        <v>1364</v>
      </c>
      <c r="G482" s="12" t="n">
        <f aca="false">INDEX(Destination!$F$2:$F$501,MATCH(B482,Destination!$A$2:$A$501,0))</f>
        <v>13.63</v>
      </c>
      <c r="H482" s="12" t="n">
        <f aca="false">INDEX(Destination!$G$2:$G$501,MATCH(B482,Destination!$A$2:$A$501,0))</f>
        <v>79.42</v>
      </c>
      <c r="I482" s="12" t="n">
        <f aca="false">INDEX(Destination!$F$2:$F$501,MATCH(D482,Destination!$A$2:$A$501,0))</f>
        <v>13.83</v>
      </c>
      <c r="J482" s="12" t="n">
        <f aca="false">INDEX(Destination!$G$2:$G$501,MATCH(D482,Destination!$A$2:$A$501,0))</f>
        <v>79.25</v>
      </c>
      <c r="K482" s="17" t="n">
        <f aca="false">Assumptions!$B$2*2*ASIN(SQRT(SIN(RADIANS(I482-G482)/2)^2+COS(RADIANS(G482))*COS(RADIANS(I482))*SIN(RADIANS(J482-H482)/2)^2))</f>
        <v>28.8404418177586</v>
      </c>
      <c r="L482" s="18" t="n">
        <f aca="false">K482*Assumptions!$B$3</f>
        <v>37.4925743630861</v>
      </c>
      <c r="M482" s="19" t="n">
        <f aca="false">L482/Assumptions!$B$4</f>
        <v>0.833168319179692</v>
      </c>
      <c r="N482" s="9" t="s">
        <v>1365</v>
      </c>
    </row>
    <row r="483" customFormat="false" ht="15" hidden="false" customHeight="false" outlineLevel="0" collapsed="false">
      <c r="A483" s="9" t="s">
        <v>1846</v>
      </c>
      <c r="B483" s="9" t="s">
        <v>549</v>
      </c>
      <c r="C483" s="9" t="str">
        <f aca="false">IFERROR(INDEX(Destination!$B$2:$B$501,MATCH(B483,Destination!$A$2:$A$501,0)),"")</f>
        <v>Vijayawada</v>
      </c>
      <c r="D483" s="9" t="s">
        <v>553</v>
      </c>
      <c r="E483" s="9" t="str">
        <f aca="false">IFERROR(INDEX(Destination!$B$2:$B$501,MATCH(D483,Destination!$A$2:$A$501,0)),"")</f>
        <v>Amaravati</v>
      </c>
      <c r="F483" s="9" t="s">
        <v>1364</v>
      </c>
      <c r="G483" s="12" t="n">
        <f aca="false">INDEX(Destination!$F$2:$F$501,MATCH(B483,Destination!$A$2:$A$501,0))</f>
        <v>16.51</v>
      </c>
      <c r="H483" s="12" t="n">
        <f aca="false">INDEX(Destination!$G$2:$G$501,MATCH(B483,Destination!$A$2:$A$501,0))</f>
        <v>80.65</v>
      </c>
      <c r="I483" s="12" t="n">
        <f aca="false">INDEX(Destination!$F$2:$F$501,MATCH(D483,Destination!$A$2:$A$501,0))</f>
        <v>16.57</v>
      </c>
      <c r="J483" s="12" t="n">
        <f aca="false">INDEX(Destination!$G$2:$G$501,MATCH(D483,Destination!$A$2:$A$501,0))</f>
        <v>80.36</v>
      </c>
      <c r="K483" s="17" t="n">
        <f aca="false">Assumptions!$B$2*2*ASIN(SQRT(SIN(RADIANS(I483-G483)/2)^2+COS(RADIANS(G483))*COS(RADIANS(I483))*SIN(RADIANS(J483-H483)/2)^2))</f>
        <v>31.6239746431568</v>
      </c>
      <c r="L483" s="18" t="n">
        <f aca="false">K483*Assumptions!$B$3</f>
        <v>41.1111670361038</v>
      </c>
      <c r="M483" s="19" t="n">
        <f aca="false">L483/Assumptions!$B$4</f>
        <v>0.913581489691195</v>
      </c>
      <c r="N483" s="9" t="s">
        <v>1365</v>
      </c>
    </row>
    <row r="484" customFormat="false" ht="15" hidden="false" customHeight="false" outlineLevel="0" collapsed="false">
      <c r="A484" s="9" t="s">
        <v>1847</v>
      </c>
      <c r="B484" s="9" t="s">
        <v>549</v>
      </c>
      <c r="C484" s="9" t="str">
        <f aca="false">IFERROR(INDEX(Destination!$B$2:$B$501,MATCH(B484,Destination!$A$2:$A$501,0)),"")</f>
        <v>Vijayawada</v>
      </c>
      <c r="D484" s="9" t="s">
        <v>579</v>
      </c>
      <c r="E484" s="9" t="str">
        <f aca="false">IFERROR(INDEX(Destination!$B$2:$B$501,MATCH(D484,Destination!$A$2:$A$501,0)),"")</f>
        <v>Mangalagiri</v>
      </c>
      <c r="F484" s="9" t="s">
        <v>1364</v>
      </c>
      <c r="G484" s="12" t="n">
        <f aca="false">INDEX(Destination!$F$2:$F$501,MATCH(B484,Destination!$A$2:$A$501,0))</f>
        <v>16.51</v>
      </c>
      <c r="H484" s="12" t="n">
        <f aca="false">INDEX(Destination!$G$2:$G$501,MATCH(B484,Destination!$A$2:$A$501,0))</f>
        <v>80.65</v>
      </c>
      <c r="I484" s="12" t="n">
        <f aca="false">INDEX(Destination!$F$2:$F$501,MATCH(D484,Destination!$A$2:$A$501,0))</f>
        <v>16.43</v>
      </c>
      <c r="J484" s="12" t="n">
        <f aca="false">INDEX(Destination!$G$2:$G$501,MATCH(D484,Destination!$A$2:$A$501,0))</f>
        <v>80.57</v>
      </c>
      <c r="K484" s="17" t="n">
        <f aca="false">Assumptions!$B$2*2*ASIN(SQRT(SIN(RADIANS(I484-G484)/2)^2+COS(RADIANS(G484))*COS(RADIANS(I484))*SIN(RADIANS(J484-H484)/2)^2))</f>
        <v>12.3248770517735</v>
      </c>
      <c r="L484" s="18" t="n">
        <f aca="false">K484*Assumptions!$B$3</f>
        <v>16.0223401673056</v>
      </c>
      <c r="M484" s="19" t="n">
        <f aca="false">L484/Assumptions!$B$4</f>
        <v>0.356052003717902</v>
      </c>
      <c r="N484" s="9" t="s">
        <v>1365</v>
      </c>
    </row>
    <row r="485" customFormat="false" ht="15" hidden="false" customHeight="false" outlineLevel="0" collapsed="false">
      <c r="A485" s="9" t="s">
        <v>1848</v>
      </c>
      <c r="B485" s="9" t="s">
        <v>549</v>
      </c>
      <c r="C485" s="9" t="str">
        <f aca="false">IFERROR(INDEX(Destination!$B$2:$B$501,MATCH(B485,Destination!$A$2:$A$501,0)),"")</f>
        <v>Vijayawada</v>
      </c>
      <c r="D485" s="9" t="s">
        <v>581</v>
      </c>
      <c r="E485" s="9" t="str">
        <f aca="false">IFERROR(INDEX(Destination!$B$2:$B$501,MATCH(D485,Destination!$A$2:$A$501,0)),"")</f>
        <v>Machilipatnam</v>
      </c>
      <c r="F485" s="9" t="s">
        <v>1364</v>
      </c>
      <c r="G485" s="12" t="n">
        <f aca="false">INDEX(Destination!$F$2:$F$501,MATCH(B485,Destination!$A$2:$A$501,0))</f>
        <v>16.51</v>
      </c>
      <c r="H485" s="12" t="n">
        <f aca="false">INDEX(Destination!$G$2:$G$501,MATCH(B485,Destination!$A$2:$A$501,0))</f>
        <v>80.65</v>
      </c>
      <c r="I485" s="12" t="n">
        <f aca="false">INDEX(Destination!$F$2:$F$501,MATCH(D485,Destination!$A$2:$A$501,0))</f>
        <v>16.19</v>
      </c>
      <c r="J485" s="12" t="n">
        <f aca="false">INDEX(Destination!$G$2:$G$501,MATCH(D485,Destination!$A$2:$A$501,0))</f>
        <v>81.14</v>
      </c>
      <c r="K485" s="17" t="n">
        <f aca="false">Assumptions!$B$2*2*ASIN(SQRT(SIN(RADIANS(I485-G485)/2)^2+COS(RADIANS(G485))*COS(RADIANS(I485))*SIN(RADIANS(J485-H485)/2)^2))</f>
        <v>63.2417212704996</v>
      </c>
      <c r="L485" s="18" t="n">
        <f aca="false">K485*Assumptions!$B$3</f>
        <v>82.2142376516495</v>
      </c>
      <c r="M485" s="19" t="n">
        <f aca="false">L485/Assumptions!$B$4</f>
        <v>1.82698305892555</v>
      </c>
      <c r="N485" s="9" t="s">
        <v>1365</v>
      </c>
    </row>
    <row r="486" customFormat="false" ht="15" hidden="false" customHeight="false" outlineLevel="0" collapsed="false">
      <c r="A486" s="9" t="s">
        <v>1849</v>
      </c>
      <c r="B486" s="9" t="s">
        <v>551</v>
      </c>
      <c r="C486" s="9" t="str">
        <f aca="false">IFERROR(INDEX(Destination!$B$2:$B$501,MATCH(B486,Destination!$A$2:$A$501,0)),"")</f>
        <v>Araku Valley</v>
      </c>
      <c r="D486" s="9" t="s">
        <v>575</v>
      </c>
      <c r="E486" s="9" t="str">
        <f aca="false">IFERROR(INDEX(Destination!$B$2:$B$501,MATCH(D486,Destination!$A$2:$A$501,0)),"")</f>
        <v>Simhachalam</v>
      </c>
      <c r="F486" s="9" t="s">
        <v>1364</v>
      </c>
      <c r="G486" s="12" t="n">
        <f aca="false">INDEX(Destination!$F$2:$F$501,MATCH(B486,Destination!$A$2:$A$501,0))</f>
        <v>18.33</v>
      </c>
      <c r="H486" s="12" t="n">
        <f aca="false">INDEX(Destination!$G$2:$G$501,MATCH(B486,Destination!$A$2:$A$501,0))</f>
        <v>82.88</v>
      </c>
      <c r="I486" s="12" t="n">
        <f aca="false">INDEX(Destination!$F$2:$F$501,MATCH(D486,Destination!$A$2:$A$501,0))</f>
        <v>17.77</v>
      </c>
      <c r="J486" s="12" t="n">
        <f aca="false">INDEX(Destination!$G$2:$G$501,MATCH(D486,Destination!$A$2:$A$501,0))</f>
        <v>83.25</v>
      </c>
      <c r="K486" s="17" t="n">
        <f aca="false">Assumptions!$B$2*2*ASIN(SQRT(SIN(RADIANS(I486-G486)/2)^2+COS(RADIANS(G486))*COS(RADIANS(I486))*SIN(RADIANS(J486-H486)/2)^2))</f>
        <v>73.5363893691521</v>
      </c>
      <c r="L486" s="18" t="n">
        <f aca="false">K486*Assumptions!$B$3</f>
        <v>95.5973061798977</v>
      </c>
      <c r="M486" s="19" t="n">
        <f aca="false">L486/Assumptions!$B$4</f>
        <v>2.1243845817755</v>
      </c>
      <c r="N486" s="9" t="s">
        <v>1365</v>
      </c>
    </row>
    <row r="487" customFormat="false" ht="15" hidden="false" customHeight="false" outlineLevel="0" collapsed="false">
      <c r="A487" s="9" t="s">
        <v>1850</v>
      </c>
      <c r="B487" s="9" t="s">
        <v>551</v>
      </c>
      <c r="C487" s="9" t="str">
        <f aca="false">IFERROR(INDEX(Destination!$B$2:$B$501,MATCH(B487,Destination!$A$2:$A$501,0)),"")</f>
        <v>Araku Valley</v>
      </c>
      <c r="D487" s="9" t="s">
        <v>583</v>
      </c>
      <c r="E487" s="9" t="str">
        <f aca="false">IFERROR(INDEX(Destination!$B$2:$B$501,MATCH(D487,Destination!$A$2:$A$501,0)),"")</f>
        <v>Borra Caves</v>
      </c>
      <c r="F487" s="9" t="s">
        <v>1364</v>
      </c>
      <c r="G487" s="12" t="n">
        <f aca="false">INDEX(Destination!$F$2:$F$501,MATCH(B487,Destination!$A$2:$A$501,0))</f>
        <v>18.33</v>
      </c>
      <c r="H487" s="12" t="n">
        <f aca="false">INDEX(Destination!$G$2:$G$501,MATCH(B487,Destination!$A$2:$A$501,0))</f>
        <v>82.88</v>
      </c>
      <c r="I487" s="12" t="n">
        <f aca="false">INDEX(Destination!$F$2:$F$501,MATCH(D487,Destination!$A$2:$A$501,0))</f>
        <v>18.28</v>
      </c>
      <c r="J487" s="12" t="n">
        <f aca="false">INDEX(Destination!$G$2:$G$501,MATCH(D487,Destination!$A$2:$A$501,0))</f>
        <v>83.04</v>
      </c>
      <c r="K487" s="17" t="n">
        <f aca="false">Assumptions!$B$2*2*ASIN(SQRT(SIN(RADIANS(I487-G487)/2)^2+COS(RADIANS(G487))*COS(RADIANS(I487))*SIN(RADIANS(J487-H487)/2)^2))</f>
        <v>17.7824045180298</v>
      </c>
      <c r="L487" s="18" t="n">
        <f aca="false">K487*Assumptions!$B$3</f>
        <v>23.1171258734387</v>
      </c>
      <c r="M487" s="19" t="n">
        <f aca="false">L487/Assumptions!$B$4</f>
        <v>0.513713908298639</v>
      </c>
      <c r="N487" s="9" t="s">
        <v>1365</v>
      </c>
    </row>
    <row r="488" customFormat="false" ht="15" hidden="false" customHeight="false" outlineLevel="0" collapsed="false">
      <c r="A488" s="9" t="s">
        <v>1851</v>
      </c>
      <c r="B488" s="9" t="s">
        <v>551</v>
      </c>
      <c r="C488" s="9" t="str">
        <f aca="false">IFERROR(INDEX(Destination!$B$2:$B$501,MATCH(B488,Destination!$A$2:$A$501,0)),"")</f>
        <v>Araku Valley</v>
      </c>
      <c r="D488" s="9" t="s">
        <v>650</v>
      </c>
      <c r="E488" s="9" t="str">
        <f aca="false">IFERROR(INDEX(Destination!$B$2:$B$501,MATCH(D488,Destination!$A$2:$A$501,0)),"")</f>
        <v>Jeypore</v>
      </c>
      <c r="F488" s="9" t="s">
        <v>1364</v>
      </c>
      <c r="G488" s="12" t="n">
        <f aca="false">INDEX(Destination!$F$2:$F$501,MATCH(B488,Destination!$A$2:$A$501,0))</f>
        <v>18.33</v>
      </c>
      <c r="H488" s="12" t="n">
        <f aca="false">INDEX(Destination!$G$2:$G$501,MATCH(B488,Destination!$A$2:$A$501,0))</f>
        <v>82.88</v>
      </c>
      <c r="I488" s="12" t="n">
        <f aca="false">INDEX(Destination!$F$2:$F$501,MATCH(D488,Destination!$A$2:$A$501,0))</f>
        <v>18.86</v>
      </c>
      <c r="J488" s="12" t="n">
        <f aca="false">INDEX(Destination!$G$2:$G$501,MATCH(D488,Destination!$A$2:$A$501,0))</f>
        <v>82.57</v>
      </c>
      <c r="K488" s="17" t="n">
        <f aca="false">Assumptions!$B$2*2*ASIN(SQRT(SIN(RADIANS(I488-G488)/2)^2+COS(RADIANS(G488))*COS(RADIANS(I488))*SIN(RADIANS(J488-H488)/2)^2))</f>
        <v>67.3833444537109</v>
      </c>
      <c r="L488" s="18" t="n">
        <f aca="false">K488*Assumptions!$B$3</f>
        <v>87.5983477898241</v>
      </c>
      <c r="M488" s="19" t="n">
        <f aca="false">L488/Assumptions!$B$4</f>
        <v>1.94662995088498</v>
      </c>
      <c r="N488" s="9" t="s">
        <v>1365</v>
      </c>
    </row>
    <row r="489" customFormat="false" ht="15" hidden="false" customHeight="false" outlineLevel="0" collapsed="false">
      <c r="A489" s="9" t="s">
        <v>1852</v>
      </c>
      <c r="B489" s="9" t="s">
        <v>553</v>
      </c>
      <c r="C489" s="9" t="str">
        <f aca="false">IFERROR(INDEX(Destination!$B$2:$B$501,MATCH(B489,Destination!$A$2:$A$501,0)),"")</f>
        <v>Amaravati</v>
      </c>
      <c r="D489" s="9" t="s">
        <v>579</v>
      </c>
      <c r="E489" s="9" t="str">
        <f aca="false">IFERROR(INDEX(Destination!$B$2:$B$501,MATCH(D489,Destination!$A$2:$A$501,0)),"")</f>
        <v>Mangalagiri</v>
      </c>
      <c r="F489" s="9" t="s">
        <v>1364</v>
      </c>
      <c r="G489" s="12" t="n">
        <f aca="false">INDEX(Destination!$F$2:$F$501,MATCH(B489,Destination!$A$2:$A$501,0))</f>
        <v>16.57</v>
      </c>
      <c r="H489" s="12" t="n">
        <f aca="false">INDEX(Destination!$G$2:$G$501,MATCH(B489,Destination!$A$2:$A$501,0))</f>
        <v>80.36</v>
      </c>
      <c r="I489" s="12" t="n">
        <f aca="false">INDEX(Destination!$F$2:$F$501,MATCH(D489,Destination!$A$2:$A$501,0))</f>
        <v>16.43</v>
      </c>
      <c r="J489" s="12" t="n">
        <f aca="false">INDEX(Destination!$G$2:$G$501,MATCH(D489,Destination!$A$2:$A$501,0))</f>
        <v>80.57</v>
      </c>
      <c r="K489" s="17" t="n">
        <f aca="false">Assumptions!$B$2*2*ASIN(SQRT(SIN(RADIANS(I489-G489)/2)^2+COS(RADIANS(G489))*COS(RADIANS(I489))*SIN(RADIANS(J489-H489)/2)^2))</f>
        <v>27.2694436472392</v>
      </c>
      <c r="L489" s="18" t="n">
        <f aca="false">K489*Assumptions!$B$3</f>
        <v>35.450276741411</v>
      </c>
      <c r="M489" s="19" t="n">
        <f aca="false">L489/Assumptions!$B$4</f>
        <v>0.787783927586911</v>
      </c>
      <c r="N489" s="9" t="s">
        <v>1365</v>
      </c>
    </row>
    <row r="490" customFormat="false" ht="15" hidden="false" customHeight="false" outlineLevel="0" collapsed="false">
      <c r="A490" s="9" t="s">
        <v>1853</v>
      </c>
      <c r="B490" s="9" t="s">
        <v>553</v>
      </c>
      <c r="C490" s="9" t="str">
        <f aca="false">IFERROR(INDEX(Destination!$B$2:$B$501,MATCH(B490,Destination!$A$2:$A$501,0)),"")</f>
        <v>Amaravati</v>
      </c>
      <c r="D490" s="9" t="s">
        <v>581</v>
      </c>
      <c r="E490" s="9" t="str">
        <f aca="false">IFERROR(INDEX(Destination!$B$2:$B$501,MATCH(D490,Destination!$A$2:$A$501,0)),"")</f>
        <v>Machilipatnam</v>
      </c>
      <c r="F490" s="9" t="s">
        <v>1364</v>
      </c>
      <c r="G490" s="12" t="n">
        <f aca="false">INDEX(Destination!$F$2:$F$501,MATCH(B490,Destination!$A$2:$A$501,0))</f>
        <v>16.57</v>
      </c>
      <c r="H490" s="12" t="n">
        <f aca="false">INDEX(Destination!$G$2:$G$501,MATCH(B490,Destination!$A$2:$A$501,0))</f>
        <v>80.36</v>
      </c>
      <c r="I490" s="12" t="n">
        <f aca="false">INDEX(Destination!$F$2:$F$501,MATCH(D490,Destination!$A$2:$A$501,0))</f>
        <v>16.19</v>
      </c>
      <c r="J490" s="12" t="n">
        <f aca="false">INDEX(Destination!$G$2:$G$501,MATCH(D490,Destination!$A$2:$A$501,0))</f>
        <v>81.14</v>
      </c>
      <c r="K490" s="17" t="n">
        <f aca="false">Assumptions!$B$2*2*ASIN(SQRT(SIN(RADIANS(I490-G490)/2)^2+COS(RADIANS(G490))*COS(RADIANS(I490))*SIN(RADIANS(J490-H490)/2)^2))</f>
        <v>93.3250791448249</v>
      </c>
      <c r="L490" s="18" t="n">
        <f aca="false">K490*Assumptions!$B$3</f>
        <v>121.322602888272</v>
      </c>
      <c r="M490" s="19" t="n">
        <f aca="false">L490/Assumptions!$B$4</f>
        <v>2.69605784196161</v>
      </c>
      <c r="N490" s="9" t="s">
        <v>1365</v>
      </c>
    </row>
    <row r="491" customFormat="false" ht="15" hidden="false" customHeight="false" outlineLevel="0" collapsed="false">
      <c r="A491" s="9" t="s">
        <v>1854</v>
      </c>
      <c r="B491" s="9" t="s">
        <v>553</v>
      </c>
      <c r="C491" s="9" t="str">
        <f aca="false">IFERROR(INDEX(Destination!$B$2:$B$501,MATCH(B491,Destination!$A$2:$A$501,0)),"")</f>
        <v>Amaravati</v>
      </c>
      <c r="D491" s="9" t="s">
        <v>598</v>
      </c>
      <c r="E491" s="9" t="str">
        <f aca="false">IFERROR(INDEX(Destination!$B$2:$B$501,MATCH(D491,Destination!$A$2:$A$501,0)),"")</f>
        <v>Nagarjuna Sagar</v>
      </c>
      <c r="F491" s="9" t="s">
        <v>1364</v>
      </c>
      <c r="G491" s="12" t="n">
        <f aca="false">INDEX(Destination!$F$2:$F$501,MATCH(B491,Destination!$A$2:$A$501,0))</f>
        <v>16.57</v>
      </c>
      <c r="H491" s="12" t="n">
        <f aca="false">INDEX(Destination!$G$2:$G$501,MATCH(B491,Destination!$A$2:$A$501,0))</f>
        <v>80.36</v>
      </c>
      <c r="I491" s="12" t="n">
        <f aca="false">INDEX(Destination!$F$2:$F$501,MATCH(D491,Destination!$A$2:$A$501,0))</f>
        <v>16.57</v>
      </c>
      <c r="J491" s="12" t="n">
        <f aca="false">INDEX(Destination!$G$2:$G$501,MATCH(D491,Destination!$A$2:$A$501,0))</f>
        <v>79.31</v>
      </c>
      <c r="K491" s="17" t="n">
        <f aca="false">Assumptions!$B$2*2*ASIN(SQRT(SIN(RADIANS(I491-G491)/2)^2+COS(RADIANS(G491))*COS(RADIANS(I491))*SIN(RADIANS(J491-H491)/2)^2))</f>
        <v>111.905960959345</v>
      </c>
      <c r="L491" s="18" t="n">
        <f aca="false">K491*Assumptions!$B$3</f>
        <v>145.477749247149</v>
      </c>
      <c r="M491" s="19" t="n">
        <f aca="false">L491/Assumptions!$B$4</f>
        <v>3.23283887215886</v>
      </c>
      <c r="N491" s="9" t="s">
        <v>1365</v>
      </c>
    </row>
    <row r="492" customFormat="false" ht="15" hidden="false" customHeight="false" outlineLevel="0" collapsed="false">
      <c r="A492" s="9" t="s">
        <v>1855</v>
      </c>
      <c r="B492" s="9" t="s">
        <v>555</v>
      </c>
      <c r="C492" s="9" t="str">
        <f aca="false">IFERROR(INDEX(Destination!$B$2:$B$501,MATCH(B492,Destination!$A$2:$A$501,0)),"")</f>
        <v>Srisailam</v>
      </c>
      <c r="D492" s="9" t="s">
        <v>563</v>
      </c>
      <c r="E492" s="9" t="str">
        <f aca="false">IFERROR(INDEX(Destination!$B$2:$B$501,MATCH(D492,Destination!$A$2:$A$501,0)),"")</f>
        <v>Kurnool</v>
      </c>
      <c r="F492" s="9" t="s">
        <v>1364</v>
      </c>
      <c r="G492" s="12" t="n">
        <f aca="false">INDEX(Destination!$F$2:$F$501,MATCH(B492,Destination!$A$2:$A$501,0))</f>
        <v>16.07</v>
      </c>
      <c r="H492" s="12" t="n">
        <f aca="false">INDEX(Destination!$G$2:$G$501,MATCH(B492,Destination!$A$2:$A$501,0))</f>
        <v>78.87</v>
      </c>
      <c r="I492" s="12" t="n">
        <f aca="false">INDEX(Destination!$F$2:$F$501,MATCH(D492,Destination!$A$2:$A$501,0))</f>
        <v>15.83</v>
      </c>
      <c r="J492" s="12" t="n">
        <f aca="false">INDEX(Destination!$G$2:$G$501,MATCH(D492,Destination!$A$2:$A$501,0))</f>
        <v>78.04</v>
      </c>
      <c r="K492" s="17" t="n">
        <f aca="false">Assumptions!$B$2*2*ASIN(SQRT(SIN(RADIANS(I492-G492)/2)^2+COS(RADIANS(G492))*COS(RADIANS(I492))*SIN(RADIANS(J492-H492)/2)^2))</f>
        <v>92.6645639738866</v>
      </c>
      <c r="L492" s="18" t="n">
        <f aca="false">K492*Assumptions!$B$3</f>
        <v>120.463933166053</v>
      </c>
      <c r="M492" s="19" t="n">
        <f aca="false">L492/Assumptions!$B$4</f>
        <v>2.67697629257895</v>
      </c>
      <c r="N492" s="9" t="s">
        <v>1365</v>
      </c>
    </row>
    <row r="493" customFormat="false" ht="15" hidden="false" customHeight="false" outlineLevel="0" collapsed="false">
      <c r="A493" s="9" t="s">
        <v>1856</v>
      </c>
      <c r="B493" s="9" t="s">
        <v>555</v>
      </c>
      <c r="C493" s="9" t="str">
        <f aca="false">IFERROR(INDEX(Destination!$B$2:$B$501,MATCH(B493,Destination!$A$2:$A$501,0)),"")</f>
        <v>Srisailam</v>
      </c>
      <c r="D493" s="9" t="s">
        <v>577</v>
      </c>
      <c r="E493" s="9" t="str">
        <f aca="false">IFERROR(INDEX(Destination!$B$2:$B$501,MATCH(D493,Destination!$A$2:$A$501,0)),"")</f>
        <v>Ahobilam</v>
      </c>
      <c r="F493" s="9" t="s">
        <v>1364</v>
      </c>
      <c r="G493" s="12" t="n">
        <f aca="false">INDEX(Destination!$F$2:$F$501,MATCH(B493,Destination!$A$2:$A$501,0))</f>
        <v>16.07</v>
      </c>
      <c r="H493" s="12" t="n">
        <f aca="false">INDEX(Destination!$G$2:$G$501,MATCH(B493,Destination!$A$2:$A$501,0))</f>
        <v>78.87</v>
      </c>
      <c r="I493" s="12" t="n">
        <f aca="false">INDEX(Destination!$F$2:$F$501,MATCH(D493,Destination!$A$2:$A$501,0))</f>
        <v>15.13</v>
      </c>
      <c r="J493" s="12" t="n">
        <f aca="false">INDEX(Destination!$G$2:$G$501,MATCH(D493,Destination!$A$2:$A$501,0))</f>
        <v>78.73</v>
      </c>
      <c r="K493" s="17" t="n">
        <f aca="false">Assumptions!$B$2*2*ASIN(SQRT(SIN(RADIANS(I493-G493)/2)^2+COS(RADIANS(G493))*COS(RADIANS(I493))*SIN(RADIANS(J493-H493)/2)^2))</f>
        <v>105.593155830951</v>
      </c>
      <c r="L493" s="18" t="n">
        <f aca="false">K493*Assumptions!$B$3</f>
        <v>137.271102580236</v>
      </c>
      <c r="M493" s="19" t="n">
        <f aca="false">L493/Assumptions!$B$4</f>
        <v>3.05046894622747</v>
      </c>
      <c r="N493" s="9" t="s">
        <v>1365</v>
      </c>
    </row>
    <row r="494" customFormat="false" ht="15" hidden="false" customHeight="false" outlineLevel="0" collapsed="false">
      <c r="A494" s="9" t="s">
        <v>1857</v>
      </c>
      <c r="B494" s="9" t="s">
        <v>555</v>
      </c>
      <c r="C494" s="9" t="str">
        <f aca="false">IFERROR(INDEX(Destination!$B$2:$B$501,MATCH(B494,Destination!$A$2:$A$501,0)),"")</f>
        <v>Srisailam</v>
      </c>
      <c r="D494" s="9" t="s">
        <v>598</v>
      </c>
      <c r="E494" s="9" t="str">
        <f aca="false">IFERROR(INDEX(Destination!$B$2:$B$501,MATCH(D494,Destination!$A$2:$A$501,0)),"")</f>
        <v>Nagarjuna Sagar</v>
      </c>
      <c r="F494" s="9" t="s">
        <v>1364</v>
      </c>
      <c r="G494" s="12" t="n">
        <f aca="false">INDEX(Destination!$F$2:$F$501,MATCH(B494,Destination!$A$2:$A$501,0))</f>
        <v>16.07</v>
      </c>
      <c r="H494" s="12" t="n">
        <f aca="false">INDEX(Destination!$G$2:$G$501,MATCH(B494,Destination!$A$2:$A$501,0))</f>
        <v>78.87</v>
      </c>
      <c r="I494" s="12" t="n">
        <f aca="false">INDEX(Destination!$F$2:$F$501,MATCH(D494,Destination!$A$2:$A$501,0))</f>
        <v>16.57</v>
      </c>
      <c r="J494" s="12" t="n">
        <f aca="false">INDEX(Destination!$G$2:$G$501,MATCH(D494,Destination!$A$2:$A$501,0))</f>
        <v>79.31</v>
      </c>
      <c r="K494" s="17" t="n">
        <f aca="false">Assumptions!$B$2*2*ASIN(SQRT(SIN(RADIANS(I494-G494)/2)^2+COS(RADIANS(G494))*COS(RADIANS(I494))*SIN(RADIANS(J494-H494)/2)^2))</f>
        <v>72.7720862181429</v>
      </c>
      <c r="L494" s="18" t="n">
        <f aca="false">K494*Assumptions!$B$3</f>
        <v>94.6037120835858</v>
      </c>
      <c r="M494" s="19" t="n">
        <f aca="false">L494/Assumptions!$B$4</f>
        <v>2.10230471296857</v>
      </c>
      <c r="N494" s="9" t="s">
        <v>1365</v>
      </c>
    </row>
    <row r="495" customFormat="false" ht="15" hidden="false" customHeight="false" outlineLevel="0" collapsed="false">
      <c r="A495" s="9" t="s">
        <v>1858</v>
      </c>
      <c r="B495" s="9" t="s">
        <v>557</v>
      </c>
      <c r="C495" s="9" t="str">
        <f aca="false">IFERROR(INDEX(Destination!$B$2:$B$501,MATCH(B495,Destination!$A$2:$A$501,0)),"")</f>
        <v>Rajahmundry</v>
      </c>
      <c r="D495" s="9" t="s">
        <v>569</v>
      </c>
      <c r="E495" s="9" t="str">
        <f aca="false">IFERROR(INDEX(Destination!$B$2:$B$501,MATCH(D495,Destination!$A$2:$A$501,0)),"")</f>
        <v>Konaseema</v>
      </c>
      <c r="F495" s="9" t="s">
        <v>1364</v>
      </c>
      <c r="G495" s="12" t="n">
        <f aca="false">INDEX(Destination!$F$2:$F$501,MATCH(B495,Destination!$A$2:$A$501,0))</f>
        <v>17</v>
      </c>
      <c r="H495" s="12" t="n">
        <f aca="false">INDEX(Destination!$G$2:$G$501,MATCH(B495,Destination!$A$2:$A$501,0))</f>
        <v>81.8</v>
      </c>
      <c r="I495" s="12" t="n">
        <f aca="false">INDEX(Destination!$F$2:$F$501,MATCH(D495,Destination!$A$2:$A$501,0))</f>
        <v>16.58</v>
      </c>
      <c r="J495" s="12" t="n">
        <f aca="false">INDEX(Destination!$G$2:$G$501,MATCH(D495,Destination!$A$2:$A$501,0))</f>
        <v>82.01</v>
      </c>
      <c r="K495" s="17" t="n">
        <f aca="false">Assumptions!$B$2*2*ASIN(SQRT(SIN(RADIANS(I495-G495)/2)^2+COS(RADIANS(G495))*COS(RADIANS(I495))*SIN(RADIANS(J495-H495)/2)^2))</f>
        <v>51.7767253859078</v>
      </c>
      <c r="L495" s="18" t="n">
        <f aca="false">K495*Assumptions!$B$3</f>
        <v>67.3097430016801</v>
      </c>
      <c r="M495" s="19" t="n">
        <f aca="false">L495/Assumptions!$B$4</f>
        <v>1.495772066704</v>
      </c>
      <c r="N495" s="9" t="s">
        <v>1365</v>
      </c>
    </row>
    <row r="496" customFormat="false" ht="15" hidden="false" customHeight="false" outlineLevel="0" collapsed="false">
      <c r="A496" s="9" t="s">
        <v>1859</v>
      </c>
      <c r="B496" s="9" t="s">
        <v>557</v>
      </c>
      <c r="C496" s="9" t="str">
        <f aca="false">IFERROR(INDEX(Destination!$B$2:$B$501,MATCH(B496,Destination!$A$2:$A$501,0)),"")</f>
        <v>Rajahmundry</v>
      </c>
      <c r="D496" s="9" t="s">
        <v>572</v>
      </c>
      <c r="E496" s="9" t="str">
        <f aca="false">IFERROR(INDEX(Destination!$B$2:$B$501,MATCH(D496,Destination!$A$2:$A$501,0)),"")</f>
        <v>Papikondalu</v>
      </c>
      <c r="F496" s="9" t="s">
        <v>1364</v>
      </c>
      <c r="G496" s="12" t="n">
        <f aca="false">INDEX(Destination!$F$2:$F$501,MATCH(B496,Destination!$A$2:$A$501,0))</f>
        <v>17</v>
      </c>
      <c r="H496" s="12" t="n">
        <f aca="false">INDEX(Destination!$G$2:$G$501,MATCH(B496,Destination!$A$2:$A$501,0))</f>
        <v>81.8</v>
      </c>
      <c r="I496" s="12" t="n">
        <f aca="false">INDEX(Destination!$F$2:$F$501,MATCH(D496,Destination!$A$2:$A$501,0))</f>
        <v>17.42</v>
      </c>
      <c r="J496" s="12" t="n">
        <f aca="false">INDEX(Destination!$G$2:$G$501,MATCH(D496,Destination!$A$2:$A$501,0))</f>
        <v>81.55</v>
      </c>
      <c r="K496" s="17" t="n">
        <f aca="false">Assumptions!$B$2*2*ASIN(SQRT(SIN(RADIANS(I496-G496)/2)^2+COS(RADIANS(G496))*COS(RADIANS(I496))*SIN(RADIANS(J496-H496)/2)^2))</f>
        <v>53.7231813039872</v>
      </c>
      <c r="L496" s="18" t="n">
        <f aca="false">K496*Assumptions!$B$3</f>
        <v>69.8401356951833</v>
      </c>
      <c r="M496" s="19" t="n">
        <f aca="false">L496/Assumptions!$B$4</f>
        <v>1.55200301544852</v>
      </c>
      <c r="N496" s="9" t="s">
        <v>1365</v>
      </c>
    </row>
    <row r="497" customFormat="false" ht="15" hidden="false" customHeight="false" outlineLevel="0" collapsed="false">
      <c r="A497" s="9" t="s">
        <v>1860</v>
      </c>
      <c r="B497" s="9" t="s">
        <v>557</v>
      </c>
      <c r="C497" s="9" t="str">
        <f aca="false">IFERROR(INDEX(Destination!$B$2:$B$501,MATCH(B497,Destination!$A$2:$A$501,0)),"")</f>
        <v>Rajahmundry</v>
      </c>
      <c r="D497" s="9" t="s">
        <v>581</v>
      </c>
      <c r="E497" s="9" t="str">
        <f aca="false">IFERROR(INDEX(Destination!$B$2:$B$501,MATCH(D497,Destination!$A$2:$A$501,0)),"")</f>
        <v>Machilipatnam</v>
      </c>
      <c r="F497" s="9" t="s">
        <v>1364</v>
      </c>
      <c r="G497" s="12" t="n">
        <f aca="false">INDEX(Destination!$F$2:$F$501,MATCH(B497,Destination!$A$2:$A$501,0))</f>
        <v>17</v>
      </c>
      <c r="H497" s="12" t="n">
        <f aca="false">INDEX(Destination!$G$2:$G$501,MATCH(B497,Destination!$A$2:$A$501,0))</f>
        <v>81.8</v>
      </c>
      <c r="I497" s="12" t="n">
        <f aca="false">INDEX(Destination!$F$2:$F$501,MATCH(D497,Destination!$A$2:$A$501,0))</f>
        <v>16.19</v>
      </c>
      <c r="J497" s="12" t="n">
        <f aca="false">INDEX(Destination!$G$2:$G$501,MATCH(D497,Destination!$A$2:$A$501,0))</f>
        <v>81.14</v>
      </c>
      <c r="K497" s="17" t="n">
        <f aca="false">Assumptions!$B$2*2*ASIN(SQRT(SIN(RADIANS(I497-G497)/2)^2+COS(RADIANS(G497))*COS(RADIANS(I497))*SIN(RADIANS(J497-H497)/2)^2))</f>
        <v>114.274592777825</v>
      </c>
      <c r="L497" s="18" t="n">
        <f aca="false">K497*Assumptions!$B$3</f>
        <v>148.556970611172</v>
      </c>
      <c r="M497" s="19" t="n">
        <f aca="false">L497/Assumptions!$B$4</f>
        <v>3.3012660135816</v>
      </c>
      <c r="N497" s="9" t="s">
        <v>1365</v>
      </c>
    </row>
    <row r="498" customFormat="false" ht="15" hidden="false" customHeight="false" outlineLevel="0" collapsed="false">
      <c r="A498" s="9" t="s">
        <v>1861</v>
      </c>
      <c r="B498" s="9" t="s">
        <v>559</v>
      </c>
      <c r="C498" s="9" t="str">
        <f aca="false">IFERROR(INDEX(Destination!$B$2:$B$501,MATCH(B498,Destination!$A$2:$A$501,0)),"")</f>
        <v>Gandikota</v>
      </c>
      <c r="D498" s="9" t="s">
        <v>561</v>
      </c>
      <c r="E498" s="9" t="str">
        <f aca="false">IFERROR(INDEX(Destination!$B$2:$B$501,MATCH(D498,Destination!$A$2:$A$501,0)),"")</f>
        <v>Lepakshi</v>
      </c>
      <c r="F498" s="9" t="s">
        <v>1364</v>
      </c>
      <c r="G498" s="12" t="n">
        <f aca="false">INDEX(Destination!$F$2:$F$501,MATCH(B498,Destination!$A$2:$A$501,0))</f>
        <v>14.81</v>
      </c>
      <c r="H498" s="12" t="n">
        <f aca="false">INDEX(Destination!$G$2:$G$501,MATCH(B498,Destination!$A$2:$A$501,0))</f>
        <v>78.28</v>
      </c>
      <c r="I498" s="12" t="n">
        <f aca="false">INDEX(Destination!$F$2:$F$501,MATCH(D498,Destination!$A$2:$A$501,0))</f>
        <v>13.8</v>
      </c>
      <c r="J498" s="12" t="n">
        <f aca="false">INDEX(Destination!$G$2:$G$501,MATCH(D498,Destination!$A$2:$A$501,0))</f>
        <v>77.61</v>
      </c>
      <c r="K498" s="17" t="n">
        <f aca="false">Assumptions!$B$2*2*ASIN(SQRT(SIN(RADIANS(I498-G498)/2)^2+COS(RADIANS(G498))*COS(RADIANS(I498))*SIN(RADIANS(J498-H498)/2)^2))</f>
        <v>133.507150178321</v>
      </c>
      <c r="L498" s="18" t="n">
        <f aca="false">K498*Assumptions!$B$3</f>
        <v>173.559295231818</v>
      </c>
      <c r="M498" s="19" t="n">
        <f aca="false">L498/Assumptions!$B$4</f>
        <v>3.85687322737373</v>
      </c>
      <c r="N498" s="9" t="s">
        <v>1365</v>
      </c>
    </row>
    <row r="499" customFormat="false" ht="15" hidden="false" customHeight="false" outlineLevel="0" collapsed="false">
      <c r="A499" s="9" t="s">
        <v>1862</v>
      </c>
      <c r="B499" s="9" t="s">
        <v>559</v>
      </c>
      <c r="C499" s="9" t="str">
        <f aca="false">IFERROR(INDEX(Destination!$B$2:$B$501,MATCH(B499,Destination!$A$2:$A$501,0)),"")</f>
        <v>Gandikota</v>
      </c>
      <c r="D499" s="9" t="s">
        <v>563</v>
      </c>
      <c r="E499" s="9" t="str">
        <f aca="false">IFERROR(INDEX(Destination!$B$2:$B$501,MATCH(D499,Destination!$A$2:$A$501,0)),"")</f>
        <v>Kurnool</v>
      </c>
      <c r="F499" s="9" t="s">
        <v>1364</v>
      </c>
      <c r="G499" s="12" t="n">
        <f aca="false">INDEX(Destination!$F$2:$F$501,MATCH(B499,Destination!$A$2:$A$501,0))</f>
        <v>14.81</v>
      </c>
      <c r="H499" s="12" t="n">
        <f aca="false">INDEX(Destination!$G$2:$G$501,MATCH(B499,Destination!$A$2:$A$501,0))</f>
        <v>78.28</v>
      </c>
      <c r="I499" s="12" t="n">
        <f aca="false">INDEX(Destination!$F$2:$F$501,MATCH(D499,Destination!$A$2:$A$501,0))</f>
        <v>15.83</v>
      </c>
      <c r="J499" s="12" t="n">
        <f aca="false">INDEX(Destination!$G$2:$G$501,MATCH(D499,Destination!$A$2:$A$501,0))</f>
        <v>78.04</v>
      </c>
      <c r="K499" s="17" t="n">
        <f aca="false">Assumptions!$B$2*2*ASIN(SQRT(SIN(RADIANS(I499-G499)/2)^2+COS(RADIANS(G499))*COS(RADIANS(I499))*SIN(RADIANS(J499-H499)/2)^2))</f>
        <v>116.302525594133</v>
      </c>
      <c r="L499" s="18" t="n">
        <f aca="false">K499*Assumptions!$B$3</f>
        <v>151.193283272373</v>
      </c>
      <c r="M499" s="19" t="n">
        <f aca="false">L499/Assumptions!$B$4</f>
        <v>3.35985073938607</v>
      </c>
      <c r="N499" s="9" t="s">
        <v>1365</v>
      </c>
    </row>
    <row r="500" customFormat="false" ht="15" hidden="false" customHeight="false" outlineLevel="0" collapsed="false">
      <c r="A500" s="9" t="s">
        <v>1863</v>
      </c>
      <c r="B500" s="9" t="s">
        <v>559</v>
      </c>
      <c r="C500" s="9" t="str">
        <f aca="false">IFERROR(INDEX(Destination!$B$2:$B$501,MATCH(B500,Destination!$A$2:$A$501,0)),"")</f>
        <v>Gandikota</v>
      </c>
      <c r="D500" s="9" t="s">
        <v>565</v>
      </c>
      <c r="E500" s="9" t="str">
        <f aca="false">IFERROR(INDEX(Destination!$B$2:$B$501,MATCH(D500,Destination!$A$2:$A$501,0)),"")</f>
        <v>Horsley Hills</v>
      </c>
      <c r="F500" s="9" t="s">
        <v>1364</v>
      </c>
      <c r="G500" s="12" t="n">
        <f aca="false">INDEX(Destination!$F$2:$F$501,MATCH(B500,Destination!$A$2:$A$501,0))</f>
        <v>14.81</v>
      </c>
      <c r="H500" s="12" t="n">
        <f aca="false">INDEX(Destination!$G$2:$G$501,MATCH(B500,Destination!$A$2:$A$501,0))</f>
        <v>78.28</v>
      </c>
      <c r="I500" s="12" t="n">
        <f aca="false">INDEX(Destination!$F$2:$F$501,MATCH(D500,Destination!$A$2:$A$501,0))</f>
        <v>13.65</v>
      </c>
      <c r="J500" s="12" t="n">
        <f aca="false">INDEX(Destination!$G$2:$G$501,MATCH(D500,Destination!$A$2:$A$501,0))</f>
        <v>78.4</v>
      </c>
      <c r="K500" s="17" t="n">
        <f aca="false">Assumptions!$B$2*2*ASIN(SQRT(SIN(RADIANS(I500-G500)/2)^2+COS(RADIANS(G500))*COS(RADIANS(I500))*SIN(RADIANS(J500-H500)/2)^2))</f>
        <v>129.632938229198</v>
      </c>
      <c r="L500" s="18" t="n">
        <f aca="false">K500*Assumptions!$B$3</f>
        <v>168.522819697958</v>
      </c>
      <c r="M500" s="19" t="n">
        <f aca="false">L500/Assumptions!$B$4</f>
        <v>3.7449515488435</v>
      </c>
      <c r="N500" s="9" t="s">
        <v>1365</v>
      </c>
    </row>
    <row r="501" customFormat="false" ht="15" hidden="false" customHeight="false" outlineLevel="0" collapsed="false">
      <c r="A501" s="9" t="s">
        <v>1864</v>
      </c>
      <c r="B501" s="9" t="s">
        <v>559</v>
      </c>
      <c r="C501" s="9" t="str">
        <f aca="false">IFERROR(INDEX(Destination!$B$2:$B$501,MATCH(B501,Destination!$A$2:$A$501,0)),"")</f>
        <v>Gandikota</v>
      </c>
      <c r="D501" s="9" t="s">
        <v>577</v>
      </c>
      <c r="E501" s="9" t="str">
        <f aca="false">IFERROR(INDEX(Destination!$B$2:$B$501,MATCH(D501,Destination!$A$2:$A$501,0)),"")</f>
        <v>Ahobilam</v>
      </c>
      <c r="F501" s="9" t="s">
        <v>1364</v>
      </c>
      <c r="G501" s="12" t="n">
        <f aca="false">INDEX(Destination!$F$2:$F$501,MATCH(B501,Destination!$A$2:$A$501,0))</f>
        <v>14.81</v>
      </c>
      <c r="H501" s="12" t="n">
        <f aca="false">INDEX(Destination!$G$2:$G$501,MATCH(B501,Destination!$A$2:$A$501,0))</f>
        <v>78.28</v>
      </c>
      <c r="I501" s="12" t="n">
        <f aca="false">INDEX(Destination!$F$2:$F$501,MATCH(D501,Destination!$A$2:$A$501,0))</f>
        <v>15.13</v>
      </c>
      <c r="J501" s="12" t="n">
        <f aca="false">INDEX(Destination!$G$2:$G$501,MATCH(D501,Destination!$A$2:$A$501,0))</f>
        <v>78.73</v>
      </c>
      <c r="K501" s="17" t="n">
        <f aca="false">Assumptions!$B$2*2*ASIN(SQRT(SIN(RADIANS(I501-G501)/2)^2+COS(RADIANS(G501))*COS(RADIANS(I501))*SIN(RADIANS(J501-H501)/2)^2))</f>
        <v>60.0233650978543</v>
      </c>
      <c r="L501" s="18" t="n">
        <f aca="false">K501*Assumptions!$B$3</f>
        <v>78.0303746272107</v>
      </c>
      <c r="M501" s="19" t="n">
        <f aca="false">L501/Assumptions!$B$4</f>
        <v>1.73400832504913</v>
      </c>
      <c r="N501" s="9" t="s">
        <v>1365</v>
      </c>
    </row>
    <row r="502" customFormat="false" ht="15" hidden="false" customHeight="false" outlineLevel="0" collapsed="false">
      <c r="A502" s="9" t="s">
        <v>1865</v>
      </c>
      <c r="B502" s="9" t="s">
        <v>561</v>
      </c>
      <c r="C502" s="9" t="str">
        <f aca="false">IFERROR(INDEX(Destination!$B$2:$B$501,MATCH(B502,Destination!$A$2:$A$501,0)),"")</f>
        <v>Lepakshi</v>
      </c>
      <c r="D502" s="9" t="s">
        <v>565</v>
      </c>
      <c r="E502" s="9" t="str">
        <f aca="false">IFERROR(INDEX(Destination!$B$2:$B$501,MATCH(D502,Destination!$A$2:$A$501,0)),"")</f>
        <v>Horsley Hills</v>
      </c>
      <c r="F502" s="9" t="s">
        <v>1364</v>
      </c>
      <c r="G502" s="12" t="n">
        <f aca="false">INDEX(Destination!$F$2:$F$501,MATCH(B502,Destination!$A$2:$A$501,0))</f>
        <v>13.8</v>
      </c>
      <c r="H502" s="12" t="n">
        <f aca="false">INDEX(Destination!$G$2:$G$501,MATCH(B502,Destination!$A$2:$A$501,0))</f>
        <v>77.61</v>
      </c>
      <c r="I502" s="12" t="n">
        <f aca="false">INDEX(Destination!$F$2:$F$501,MATCH(D502,Destination!$A$2:$A$501,0))</f>
        <v>13.65</v>
      </c>
      <c r="J502" s="12" t="n">
        <f aca="false">INDEX(Destination!$G$2:$G$501,MATCH(D502,Destination!$A$2:$A$501,0))</f>
        <v>78.4</v>
      </c>
      <c r="K502" s="17" t="n">
        <f aca="false">Assumptions!$B$2*2*ASIN(SQRT(SIN(RADIANS(I502-G502)/2)^2+COS(RADIANS(G502))*COS(RADIANS(I502))*SIN(RADIANS(J502-H502)/2)^2))</f>
        <v>86.9503405302415</v>
      </c>
      <c r="L502" s="18" t="n">
        <f aca="false">K502*Assumptions!$B$3</f>
        <v>113.035442689314</v>
      </c>
      <c r="M502" s="19" t="n">
        <f aca="false">L502/Assumptions!$B$4</f>
        <v>2.5118987264292</v>
      </c>
      <c r="N502" s="9" t="s">
        <v>1365</v>
      </c>
    </row>
    <row r="503" customFormat="false" ht="15" hidden="false" customHeight="false" outlineLevel="0" collapsed="false">
      <c r="A503" s="9" t="s">
        <v>1866</v>
      </c>
      <c r="B503" s="9" t="s">
        <v>563</v>
      </c>
      <c r="C503" s="9" t="str">
        <f aca="false">IFERROR(INDEX(Destination!$B$2:$B$501,MATCH(B503,Destination!$A$2:$A$501,0)),"")</f>
        <v>Kurnool</v>
      </c>
      <c r="D503" s="9" t="s">
        <v>577</v>
      </c>
      <c r="E503" s="9" t="str">
        <f aca="false">IFERROR(INDEX(Destination!$B$2:$B$501,MATCH(D503,Destination!$A$2:$A$501,0)),"")</f>
        <v>Ahobilam</v>
      </c>
      <c r="F503" s="9" t="s">
        <v>1364</v>
      </c>
      <c r="G503" s="12" t="n">
        <f aca="false">INDEX(Destination!$F$2:$F$501,MATCH(B503,Destination!$A$2:$A$501,0))</f>
        <v>15.83</v>
      </c>
      <c r="H503" s="12" t="n">
        <f aca="false">INDEX(Destination!$G$2:$G$501,MATCH(B503,Destination!$A$2:$A$501,0))</f>
        <v>78.04</v>
      </c>
      <c r="I503" s="12" t="n">
        <f aca="false">INDEX(Destination!$F$2:$F$501,MATCH(D503,Destination!$A$2:$A$501,0))</f>
        <v>15.13</v>
      </c>
      <c r="J503" s="12" t="n">
        <f aca="false">INDEX(Destination!$G$2:$G$501,MATCH(D503,Destination!$A$2:$A$501,0))</f>
        <v>78.73</v>
      </c>
      <c r="K503" s="17" t="n">
        <f aca="false">Assumptions!$B$2*2*ASIN(SQRT(SIN(RADIANS(I503-G503)/2)^2+COS(RADIANS(G503))*COS(RADIANS(I503))*SIN(RADIANS(J503-H503)/2)^2))</f>
        <v>107.357942946558</v>
      </c>
      <c r="L503" s="18" t="n">
        <f aca="false">K503*Assumptions!$B$3</f>
        <v>139.565325830526</v>
      </c>
      <c r="M503" s="19" t="n">
        <f aca="false">L503/Assumptions!$B$4</f>
        <v>3.1014516851228</v>
      </c>
      <c r="N503" s="9" t="s">
        <v>1365</v>
      </c>
    </row>
    <row r="504" customFormat="false" ht="15" hidden="false" customHeight="false" outlineLevel="0" collapsed="false">
      <c r="A504" s="9" t="s">
        <v>1867</v>
      </c>
      <c r="B504" s="9" t="s">
        <v>565</v>
      </c>
      <c r="C504" s="9" t="str">
        <f aca="false">IFERROR(INDEX(Destination!$B$2:$B$501,MATCH(B504,Destination!$A$2:$A$501,0)),"")</f>
        <v>Horsley Hills</v>
      </c>
      <c r="D504" s="9" t="s">
        <v>585</v>
      </c>
      <c r="E504" s="9" t="str">
        <f aca="false">IFERROR(INDEX(Destination!$B$2:$B$501,MATCH(D504,Destination!$A$2:$A$501,0)),"")</f>
        <v>Talakona</v>
      </c>
      <c r="F504" s="9" t="s">
        <v>1364</v>
      </c>
      <c r="G504" s="12" t="n">
        <f aca="false">INDEX(Destination!$F$2:$F$501,MATCH(B504,Destination!$A$2:$A$501,0))</f>
        <v>13.65</v>
      </c>
      <c r="H504" s="12" t="n">
        <f aca="false">INDEX(Destination!$G$2:$G$501,MATCH(B504,Destination!$A$2:$A$501,0))</f>
        <v>78.4</v>
      </c>
      <c r="I504" s="12" t="n">
        <f aca="false">INDEX(Destination!$F$2:$F$501,MATCH(D504,Destination!$A$2:$A$501,0))</f>
        <v>13.83</v>
      </c>
      <c r="J504" s="12" t="n">
        <f aca="false">INDEX(Destination!$G$2:$G$501,MATCH(D504,Destination!$A$2:$A$501,0))</f>
        <v>79.25</v>
      </c>
      <c r="K504" s="17" t="n">
        <f aca="false">Assumptions!$B$2*2*ASIN(SQRT(SIN(RADIANS(I504-G504)/2)^2+COS(RADIANS(G504))*COS(RADIANS(I504))*SIN(RADIANS(J504-H504)/2)^2))</f>
        <v>93.9672465842996</v>
      </c>
      <c r="L504" s="18" t="n">
        <f aca="false">K504*Assumptions!$B$3</f>
        <v>122.157420559589</v>
      </c>
      <c r="M504" s="19" t="n">
        <f aca="false">L504/Assumptions!$B$4</f>
        <v>2.71460934576866</v>
      </c>
      <c r="N504" s="9" t="s">
        <v>1365</v>
      </c>
    </row>
    <row r="505" customFormat="false" ht="15" hidden="false" customHeight="false" outlineLevel="0" collapsed="false">
      <c r="A505" s="9" t="s">
        <v>1868</v>
      </c>
      <c r="B505" s="9" t="s">
        <v>567</v>
      </c>
      <c r="C505" s="9" t="str">
        <f aca="false">IFERROR(INDEX(Destination!$B$2:$B$501,MATCH(B505,Destination!$A$2:$A$501,0)),"")</f>
        <v>Nellore</v>
      </c>
      <c r="D505" s="9" t="s">
        <v>585</v>
      </c>
      <c r="E505" s="9" t="str">
        <f aca="false">IFERROR(INDEX(Destination!$B$2:$B$501,MATCH(D505,Destination!$A$2:$A$501,0)),"")</f>
        <v>Talakona</v>
      </c>
      <c r="F505" s="9" t="s">
        <v>1364</v>
      </c>
      <c r="G505" s="12" t="n">
        <f aca="false">INDEX(Destination!$F$2:$F$501,MATCH(B505,Destination!$A$2:$A$501,0))</f>
        <v>14.44</v>
      </c>
      <c r="H505" s="12" t="n">
        <f aca="false">INDEX(Destination!$G$2:$G$501,MATCH(B505,Destination!$A$2:$A$501,0))</f>
        <v>79.99</v>
      </c>
      <c r="I505" s="12" t="n">
        <f aca="false">INDEX(Destination!$F$2:$F$501,MATCH(D505,Destination!$A$2:$A$501,0))</f>
        <v>13.83</v>
      </c>
      <c r="J505" s="12" t="n">
        <f aca="false">INDEX(Destination!$G$2:$G$501,MATCH(D505,Destination!$A$2:$A$501,0))</f>
        <v>79.25</v>
      </c>
      <c r="K505" s="17" t="n">
        <f aca="false">Assumptions!$B$2*2*ASIN(SQRT(SIN(RADIANS(I505-G505)/2)^2+COS(RADIANS(G505))*COS(RADIANS(I505))*SIN(RADIANS(J505-H505)/2)^2))</f>
        <v>104.726284886318</v>
      </c>
      <c r="L505" s="18" t="n">
        <f aca="false">K505*Assumptions!$B$3</f>
        <v>136.144170352214</v>
      </c>
      <c r="M505" s="19" t="n">
        <f aca="false">L505/Assumptions!$B$4</f>
        <v>3.02542600782697</v>
      </c>
      <c r="N505" s="9" t="s">
        <v>1365</v>
      </c>
    </row>
    <row r="506" customFormat="false" ht="15" hidden="false" customHeight="false" outlineLevel="0" collapsed="false">
      <c r="A506" s="9" t="s">
        <v>1869</v>
      </c>
      <c r="B506" s="9" t="s">
        <v>569</v>
      </c>
      <c r="C506" s="9" t="str">
        <f aca="false">IFERROR(INDEX(Destination!$B$2:$B$501,MATCH(B506,Destination!$A$2:$A$501,0)),"")</f>
        <v>Konaseema</v>
      </c>
      <c r="D506" s="9" t="s">
        <v>572</v>
      </c>
      <c r="E506" s="9" t="str">
        <f aca="false">IFERROR(INDEX(Destination!$B$2:$B$501,MATCH(D506,Destination!$A$2:$A$501,0)),"")</f>
        <v>Papikondalu</v>
      </c>
      <c r="F506" s="9" t="s">
        <v>1364</v>
      </c>
      <c r="G506" s="12" t="n">
        <f aca="false">INDEX(Destination!$F$2:$F$501,MATCH(B506,Destination!$A$2:$A$501,0))</f>
        <v>16.58</v>
      </c>
      <c r="H506" s="12" t="n">
        <f aca="false">INDEX(Destination!$G$2:$G$501,MATCH(B506,Destination!$A$2:$A$501,0))</f>
        <v>82.01</v>
      </c>
      <c r="I506" s="12" t="n">
        <f aca="false">INDEX(Destination!$F$2:$F$501,MATCH(D506,Destination!$A$2:$A$501,0))</f>
        <v>17.42</v>
      </c>
      <c r="J506" s="12" t="n">
        <f aca="false">INDEX(Destination!$G$2:$G$501,MATCH(D506,Destination!$A$2:$A$501,0))</f>
        <v>81.55</v>
      </c>
      <c r="K506" s="17" t="n">
        <f aca="false">Assumptions!$B$2*2*ASIN(SQRT(SIN(RADIANS(I506-G506)/2)^2+COS(RADIANS(G506))*COS(RADIANS(I506))*SIN(RADIANS(J506-H506)/2)^2))</f>
        <v>105.436460606303</v>
      </c>
      <c r="L506" s="18" t="n">
        <f aca="false">K506*Assumptions!$B$3</f>
        <v>137.067398788194</v>
      </c>
      <c r="M506" s="19" t="n">
        <f aca="false">L506/Assumptions!$B$4</f>
        <v>3.0459421952932</v>
      </c>
      <c r="N506" s="9" t="s">
        <v>1365</v>
      </c>
    </row>
    <row r="507" customFormat="false" ht="15" hidden="false" customHeight="false" outlineLevel="0" collapsed="false">
      <c r="A507" s="9" t="s">
        <v>1870</v>
      </c>
      <c r="B507" s="9" t="s">
        <v>569</v>
      </c>
      <c r="C507" s="9" t="str">
        <f aca="false">IFERROR(INDEX(Destination!$B$2:$B$501,MATCH(B507,Destination!$A$2:$A$501,0)),"")</f>
        <v>Konaseema</v>
      </c>
      <c r="D507" s="9" t="s">
        <v>581</v>
      </c>
      <c r="E507" s="9" t="str">
        <f aca="false">IFERROR(INDEX(Destination!$B$2:$B$501,MATCH(D507,Destination!$A$2:$A$501,0)),"")</f>
        <v>Machilipatnam</v>
      </c>
      <c r="F507" s="9" t="s">
        <v>1364</v>
      </c>
      <c r="G507" s="12" t="n">
        <f aca="false">INDEX(Destination!$F$2:$F$501,MATCH(B507,Destination!$A$2:$A$501,0))</f>
        <v>16.58</v>
      </c>
      <c r="H507" s="12" t="n">
        <f aca="false">INDEX(Destination!$G$2:$G$501,MATCH(B507,Destination!$A$2:$A$501,0))</f>
        <v>82.01</v>
      </c>
      <c r="I507" s="12" t="n">
        <f aca="false">INDEX(Destination!$F$2:$F$501,MATCH(D507,Destination!$A$2:$A$501,0))</f>
        <v>16.19</v>
      </c>
      <c r="J507" s="12" t="n">
        <f aca="false">INDEX(Destination!$G$2:$G$501,MATCH(D507,Destination!$A$2:$A$501,0))</f>
        <v>81.14</v>
      </c>
      <c r="K507" s="17" t="n">
        <f aca="false">Assumptions!$B$2*2*ASIN(SQRT(SIN(RADIANS(I507-G507)/2)^2+COS(RADIANS(G507))*COS(RADIANS(I507))*SIN(RADIANS(J507-H507)/2)^2))</f>
        <v>102.442171299629</v>
      </c>
      <c r="L507" s="18" t="n">
        <f aca="false">K507*Assumptions!$B$3</f>
        <v>133.174822689518</v>
      </c>
      <c r="M507" s="19" t="n">
        <f aca="false">L507/Assumptions!$B$4</f>
        <v>2.95944050421152</v>
      </c>
      <c r="N507" s="9" t="s">
        <v>1365</v>
      </c>
    </row>
    <row r="508" customFormat="false" ht="15" hidden="false" customHeight="false" outlineLevel="0" collapsed="false">
      <c r="A508" s="9" t="s">
        <v>1871</v>
      </c>
      <c r="B508" s="9" t="s">
        <v>572</v>
      </c>
      <c r="C508" s="9" t="str">
        <f aca="false">IFERROR(INDEX(Destination!$B$2:$B$501,MATCH(B508,Destination!$A$2:$A$501,0)),"")</f>
        <v>Papikondalu</v>
      </c>
      <c r="D508" s="9" t="s">
        <v>594</v>
      </c>
      <c r="E508" s="9" t="str">
        <f aca="false">IFERROR(INDEX(Destination!$B$2:$B$501,MATCH(D508,Destination!$A$2:$A$501,0)),"")</f>
        <v>Bhadrachalam</v>
      </c>
      <c r="F508" s="9" t="s">
        <v>1364</v>
      </c>
      <c r="G508" s="12" t="n">
        <f aca="false">INDEX(Destination!$F$2:$F$501,MATCH(B508,Destination!$A$2:$A$501,0))</f>
        <v>17.42</v>
      </c>
      <c r="H508" s="12" t="n">
        <f aca="false">INDEX(Destination!$G$2:$G$501,MATCH(B508,Destination!$A$2:$A$501,0))</f>
        <v>81.55</v>
      </c>
      <c r="I508" s="12" t="n">
        <f aca="false">INDEX(Destination!$F$2:$F$501,MATCH(D508,Destination!$A$2:$A$501,0))</f>
        <v>17.67</v>
      </c>
      <c r="J508" s="12" t="n">
        <f aca="false">INDEX(Destination!$G$2:$G$501,MATCH(D508,Destination!$A$2:$A$501,0))</f>
        <v>80.89</v>
      </c>
      <c r="K508" s="17" t="n">
        <f aca="false">Assumptions!$B$2*2*ASIN(SQRT(SIN(RADIANS(I508-G508)/2)^2+COS(RADIANS(G508))*COS(RADIANS(I508))*SIN(RADIANS(J508-H508)/2)^2))</f>
        <v>75.2941277867822</v>
      </c>
      <c r="L508" s="18" t="n">
        <f aca="false">K508*Assumptions!$B$3</f>
        <v>97.8823661228169</v>
      </c>
      <c r="M508" s="19" t="n">
        <f aca="false">L508/Assumptions!$B$4</f>
        <v>2.17516369161815</v>
      </c>
      <c r="N508" s="9" t="s">
        <v>1365</v>
      </c>
    </row>
    <row r="509" customFormat="false" ht="15" hidden="false" customHeight="false" outlineLevel="0" collapsed="false">
      <c r="A509" s="9" t="s">
        <v>1872</v>
      </c>
      <c r="B509" s="9" t="s">
        <v>575</v>
      </c>
      <c r="C509" s="9" t="str">
        <f aca="false">IFERROR(INDEX(Destination!$B$2:$B$501,MATCH(B509,Destination!$A$2:$A$501,0)),"")</f>
        <v>Simhachalam</v>
      </c>
      <c r="D509" s="9" t="s">
        <v>583</v>
      </c>
      <c r="E509" s="9" t="str">
        <f aca="false">IFERROR(INDEX(Destination!$B$2:$B$501,MATCH(D509,Destination!$A$2:$A$501,0)),"")</f>
        <v>Borra Caves</v>
      </c>
      <c r="F509" s="9" t="s">
        <v>1364</v>
      </c>
      <c r="G509" s="12" t="n">
        <f aca="false">INDEX(Destination!$F$2:$F$501,MATCH(B509,Destination!$A$2:$A$501,0))</f>
        <v>17.77</v>
      </c>
      <c r="H509" s="12" t="n">
        <f aca="false">INDEX(Destination!$G$2:$G$501,MATCH(B509,Destination!$A$2:$A$501,0))</f>
        <v>83.25</v>
      </c>
      <c r="I509" s="12" t="n">
        <f aca="false">INDEX(Destination!$F$2:$F$501,MATCH(D509,Destination!$A$2:$A$501,0))</f>
        <v>18.28</v>
      </c>
      <c r="J509" s="12" t="n">
        <f aca="false">INDEX(Destination!$G$2:$G$501,MATCH(D509,Destination!$A$2:$A$501,0))</f>
        <v>83.04</v>
      </c>
      <c r="K509" s="17" t="n">
        <f aca="false">Assumptions!$B$2*2*ASIN(SQRT(SIN(RADIANS(I509-G509)/2)^2+COS(RADIANS(G509))*COS(RADIANS(I509))*SIN(RADIANS(J509-H509)/2)^2))</f>
        <v>60.901650784022</v>
      </c>
      <c r="L509" s="18" t="n">
        <f aca="false">K509*Assumptions!$B$3</f>
        <v>79.1721460192286</v>
      </c>
      <c r="M509" s="19" t="n">
        <f aca="false">L509/Assumptions!$B$4</f>
        <v>1.75938102264952</v>
      </c>
      <c r="N509" s="9" t="s">
        <v>1365</v>
      </c>
    </row>
    <row r="510" customFormat="false" ht="15" hidden="false" customHeight="false" outlineLevel="0" collapsed="false">
      <c r="A510" s="9" t="s">
        <v>1873</v>
      </c>
      <c r="B510" s="9" t="s">
        <v>575</v>
      </c>
      <c r="C510" s="9" t="str">
        <f aca="false">IFERROR(INDEX(Destination!$B$2:$B$501,MATCH(B510,Destination!$A$2:$A$501,0)),"")</f>
        <v>Simhachalam</v>
      </c>
      <c r="D510" s="9" t="s">
        <v>650</v>
      </c>
      <c r="E510" s="9" t="str">
        <f aca="false">IFERROR(INDEX(Destination!$B$2:$B$501,MATCH(D510,Destination!$A$2:$A$501,0)),"")</f>
        <v>Jeypore</v>
      </c>
      <c r="F510" s="9" t="s">
        <v>1364</v>
      </c>
      <c r="G510" s="12" t="n">
        <f aca="false">INDEX(Destination!$F$2:$F$501,MATCH(B510,Destination!$A$2:$A$501,0))</f>
        <v>17.77</v>
      </c>
      <c r="H510" s="12" t="n">
        <f aca="false">INDEX(Destination!$G$2:$G$501,MATCH(B510,Destination!$A$2:$A$501,0))</f>
        <v>83.25</v>
      </c>
      <c r="I510" s="12" t="n">
        <f aca="false">INDEX(Destination!$F$2:$F$501,MATCH(D510,Destination!$A$2:$A$501,0))</f>
        <v>18.86</v>
      </c>
      <c r="J510" s="12" t="n">
        <f aca="false">INDEX(Destination!$G$2:$G$501,MATCH(D510,Destination!$A$2:$A$501,0))</f>
        <v>82.57</v>
      </c>
      <c r="K510" s="17" t="n">
        <f aca="false">Assumptions!$B$2*2*ASIN(SQRT(SIN(RADIANS(I510-G510)/2)^2+COS(RADIANS(G510))*COS(RADIANS(I510))*SIN(RADIANS(J510-H510)/2)^2))</f>
        <v>140.863478705742</v>
      </c>
      <c r="L510" s="18" t="n">
        <f aca="false">K510*Assumptions!$B$3</f>
        <v>183.122522317465</v>
      </c>
      <c r="M510" s="19" t="n">
        <f aca="false">L510/Assumptions!$B$4</f>
        <v>4.06938938483256</v>
      </c>
      <c r="N510" s="9" t="s">
        <v>1365</v>
      </c>
    </row>
    <row r="511" customFormat="false" ht="15" hidden="false" customHeight="false" outlineLevel="0" collapsed="false">
      <c r="A511" s="9" t="s">
        <v>1874</v>
      </c>
      <c r="B511" s="9" t="s">
        <v>579</v>
      </c>
      <c r="C511" s="9" t="str">
        <f aca="false">IFERROR(INDEX(Destination!$B$2:$B$501,MATCH(B511,Destination!$A$2:$A$501,0)),"")</f>
        <v>Mangalagiri</v>
      </c>
      <c r="D511" s="9" t="s">
        <v>581</v>
      </c>
      <c r="E511" s="9" t="str">
        <f aca="false">IFERROR(INDEX(Destination!$B$2:$B$501,MATCH(D511,Destination!$A$2:$A$501,0)),"")</f>
        <v>Machilipatnam</v>
      </c>
      <c r="F511" s="9" t="s">
        <v>1364</v>
      </c>
      <c r="G511" s="12" t="n">
        <f aca="false">INDEX(Destination!$F$2:$F$501,MATCH(B511,Destination!$A$2:$A$501,0))</f>
        <v>16.43</v>
      </c>
      <c r="H511" s="12" t="n">
        <f aca="false">INDEX(Destination!$G$2:$G$501,MATCH(B511,Destination!$A$2:$A$501,0))</f>
        <v>80.57</v>
      </c>
      <c r="I511" s="12" t="n">
        <f aca="false">INDEX(Destination!$F$2:$F$501,MATCH(D511,Destination!$A$2:$A$501,0))</f>
        <v>16.19</v>
      </c>
      <c r="J511" s="12" t="n">
        <f aca="false">INDEX(Destination!$G$2:$G$501,MATCH(D511,Destination!$A$2:$A$501,0))</f>
        <v>81.14</v>
      </c>
      <c r="K511" s="17" t="n">
        <f aca="false">Assumptions!$B$2*2*ASIN(SQRT(SIN(RADIANS(I511-G511)/2)^2+COS(RADIANS(G511))*COS(RADIANS(I511))*SIN(RADIANS(J511-H511)/2)^2))</f>
        <v>66.4267628584419</v>
      </c>
      <c r="L511" s="18" t="n">
        <f aca="false">K511*Assumptions!$B$3</f>
        <v>86.3547917159744</v>
      </c>
      <c r="M511" s="19" t="n">
        <f aca="false">L511/Assumptions!$B$4</f>
        <v>1.9189953714661</v>
      </c>
      <c r="N511" s="9" t="s">
        <v>1365</v>
      </c>
    </row>
    <row r="512" customFormat="false" ht="15" hidden="false" customHeight="false" outlineLevel="0" collapsed="false">
      <c r="A512" s="9" t="s">
        <v>1875</v>
      </c>
      <c r="B512" s="9" t="s">
        <v>587</v>
      </c>
      <c r="C512" s="9" t="str">
        <f aca="false">IFERROR(INDEX(Destination!$B$2:$B$501,MATCH(B512,Destination!$A$2:$A$501,0)),"")</f>
        <v>Hyderabad</v>
      </c>
      <c r="D512" s="9" t="s">
        <v>596</v>
      </c>
      <c r="E512" s="9" t="str">
        <f aca="false">IFERROR(INDEX(Destination!$B$2:$B$501,MATCH(D512,Destination!$A$2:$A$501,0)),"")</f>
        <v>Yadadri</v>
      </c>
      <c r="F512" s="9" t="s">
        <v>1364</v>
      </c>
      <c r="G512" s="12" t="n">
        <f aca="false">INDEX(Destination!$F$2:$F$501,MATCH(B512,Destination!$A$2:$A$501,0))</f>
        <v>17.39</v>
      </c>
      <c r="H512" s="12" t="n">
        <f aca="false">INDEX(Destination!$G$2:$G$501,MATCH(B512,Destination!$A$2:$A$501,0))</f>
        <v>78.49</v>
      </c>
      <c r="I512" s="12" t="n">
        <f aca="false">INDEX(Destination!$F$2:$F$501,MATCH(D512,Destination!$A$2:$A$501,0))</f>
        <v>17.59</v>
      </c>
      <c r="J512" s="12" t="n">
        <f aca="false">INDEX(Destination!$G$2:$G$501,MATCH(D512,Destination!$A$2:$A$501,0))</f>
        <v>78.94</v>
      </c>
      <c r="K512" s="17" t="n">
        <f aca="false">Assumptions!$B$2*2*ASIN(SQRT(SIN(RADIANS(I512-G512)/2)^2+COS(RADIANS(G512))*COS(RADIANS(I512))*SIN(RADIANS(J512-H512)/2)^2))</f>
        <v>52.6516000784159</v>
      </c>
      <c r="L512" s="18" t="n">
        <f aca="false">K512*Assumptions!$B$3</f>
        <v>68.4470801019407</v>
      </c>
      <c r="M512" s="19" t="n">
        <f aca="false">L512/Assumptions!$B$4</f>
        <v>1.52104622448757</v>
      </c>
      <c r="N512" s="9" t="s">
        <v>1365</v>
      </c>
    </row>
    <row r="513" customFormat="false" ht="15" hidden="false" customHeight="false" outlineLevel="0" collapsed="false">
      <c r="A513" s="9" t="s">
        <v>1876</v>
      </c>
      <c r="B513" s="9" t="s">
        <v>587</v>
      </c>
      <c r="C513" s="9" t="str">
        <f aca="false">IFERROR(INDEX(Destination!$B$2:$B$501,MATCH(B513,Destination!$A$2:$A$501,0)),"")</f>
        <v>Hyderabad</v>
      </c>
      <c r="D513" s="9" t="s">
        <v>604</v>
      </c>
      <c r="E513" s="9" t="str">
        <f aca="false">IFERROR(INDEX(Destination!$B$2:$B$501,MATCH(D513,Destination!$A$2:$A$501,0)),"")</f>
        <v>Medak</v>
      </c>
      <c r="F513" s="9" t="s">
        <v>1364</v>
      </c>
      <c r="G513" s="12" t="n">
        <f aca="false">INDEX(Destination!$F$2:$F$501,MATCH(B513,Destination!$A$2:$A$501,0))</f>
        <v>17.39</v>
      </c>
      <c r="H513" s="12" t="n">
        <f aca="false">INDEX(Destination!$G$2:$G$501,MATCH(B513,Destination!$A$2:$A$501,0))</f>
        <v>78.49</v>
      </c>
      <c r="I513" s="12" t="n">
        <f aca="false">INDEX(Destination!$F$2:$F$501,MATCH(D513,Destination!$A$2:$A$501,0))</f>
        <v>18.05</v>
      </c>
      <c r="J513" s="12" t="n">
        <f aca="false">INDEX(Destination!$G$2:$G$501,MATCH(D513,Destination!$A$2:$A$501,0))</f>
        <v>78.26</v>
      </c>
      <c r="K513" s="17" t="n">
        <f aca="false">Assumptions!$B$2*2*ASIN(SQRT(SIN(RADIANS(I513-G513)/2)^2+COS(RADIANS(G513))*COS(RADIANS(I513))*SIN(RADIANS(J513-H513)/2)^2))</f>
        <v>77.3263566136932</v>
      </c>
      <c r="L513" s="18" t="n">
        <f aca="false">K513*Assumptions!$B$3</f>
        <v>100.524263597801</v>
      </c>
      <c r="M513" s="19" t="n">
        <f aca="false">L513/Assumptions!$B$4</f>
        <v>2.23387252439558</v>
      </c>
      <c r="N513" s="9" t="s">
        <v>1365</v>
      </c>
    </row>
    <row r="514" customFormat="false" ht="15" hidden="false" customHeight="false" outlineLevel="0" collapsed="false">
      <c r="A514" s="9" t="s">
        <v>1877</v>
      </c>
      <c r="B514" s="9" t="s">
        <v>587</v>
      </c>
      <c r="C514" s="9" t="str">
        <f aca="false">IFERROR(INDEX(Destination!$B$2:$B$501,MATCH(B514,Destination!$A$2:$A$501,0)),"")</f>
        <v>Hyderabad</v>
      </c>
      <c r="D514" s="9" t="s">
        <v>612</v>
      </c>
      <c r="E514" s="9" t="str">
        <f aca="false">IFERROR(INDEX(Destination!$B$2:$B$501,MATCH(D514,Destination!$A$2:$A$501,0)),"")</f>
        <v>Ananthagiri Hills</v>
      </c>
      <c r="F514" s="9" t="s">
        <v>1364</v>
      </c>
      <c r="G514" s="12" t="n">
        <f aca="false">INDEX(Destination!$F$2:$F$501,MATCH(B514,Destination!$A$2:$A$501,0))</f>
        <v>17.39</v>
      </c>
      <c r="H514" s="12" t="n">
        <f aca="false">INDEX(Destination!$G$2:$G$501,MATCH(B514,Destination!$A$2:$A$501,0))</f>
        <v>78.49</v>
      </c>
      <c r="I514" s="12" t="n">
        <f aca="false">INDEX(Destination!$F$2:$F$501,MATCH(D514,Destination!$A$2:$A$501,0))</f>
        <v>17.32</v>
      </c>
      <c r="J514" s="12" t="n">
        <f aca="false">INDEX(Destination!$G$2:$G$501,MATCH(D514,Destination!$A$2:$A$501,0))</f>
        <v>77.87</v>
      </c>
      <c r="K514" s="17" t="n">
        <f aca="false">Assumptions!$B$2*2*ASIN(SQRT(SIN(RADIANS(I514-G514)/2)^2+COS(RADIANS(G514))*COS(RADIANS(I514))*SIN(RADIANS(J514-H514)/2)^2))</f>
        <v>66.261039553908</v>
      </c>
      <c r="L514" s="18" t="n">
        <f aca="false">K514*Assumptions!$B$3</f>
        <v>86.1393514200804</v>
      </c>
      <c r="M514" s="19" t="n">
        <f aca="false">L514/Assumptions!$B$4</f>
        <v>1.91420780933512</v>
      </c>
      <c r="N514" s="9" t="s">
        <v>1365</v>
      </c>
    </row>
    <row r="515" customFormat="false" ht="15" hidden="false" customHeight="false" outlineLevel="0" collapsed="false">
      <c r="A515" s="9" t="s">
        <v>1878</v>
      </c>
      <c r="B515" s="9" t="s">
        <v>587</v>
      </c>
      <c r="C515" s="9" t="str">
        <f aca="false">IFERROR(INDEX(Destination!$B$2:$B$501,MATCH(B515,Destination!$A$2:$A$501,0)),"")</f>
        <v>Hyderabad</v>
      </c>
      <c r="D515" s="9" t="s">
        <v>614</v>
      </c>
      <c r="E515" s="9" t="str">
        <f aca="false">IFERROR(INDEX(Destination!$B$2:$B$501,MATCH(D515,Destination!$A$2:$A$501,0)),"")</f>
        <v>Pocharam</v>
      </c>
      <c r="F515" s="9" t="s">
        <v>1364</v>
      </c>
      <c r="G515" s="12" t="n">
        <f aca="false">INDEX(Destination!$F$2:$F$501,MATCH(B515,Destination!$A$2:$A$501,0))</f>
        <v>17.39</v>
      </c>
      <c r="H515" s="12" t="n">
        <f aca="false">INDEX(Destination!$G$2:$G$501,MATCH(B515,Destination!$A$2:$A$501,0))</f>
        <v>78.49</v>
      </c>
      <c r="I515" s="12" t="n">
        <f aca="false">INDEX(Destination!$F$2:$F$501,MATCH(D515,Destination!$A$2:$A$501,0))</f>
        <v>18.02</v>
      </c>
      <c r="J515" s="12" t="n">
        <f aca="false">INDEX(Destination!$G$2:$G$501,MATCH(D515,Destination!$A$2:$A$501,0))</f>
        <v>78.18</v>
      </c>
      <c r="K515" s="17" t="n">
        <f aca="false">Assumptions!$B$2*2*ASIN(SQRT(SIN(RADIANS(I515-G515)/2)^2+COS(RADIANS(G515))*COS(RADIANS(I515))*SIN(RADIANS(J515-H515)/2)^2))</f>
        <v>77.3672904861975</v>
      </c>
      <c r="L515" s="18" t="n">
        <f aca="false">K515*Assumptions!$B$3</f>
        <v>100.577477632057</v>
      </c>
      <c r="M515" s="19" t="n">
        <f aca="false">L515/Assumptions!$B$4</f>
        <v>2.23505505849015</v>
      </c>
      <c r="N515" s="9" t="s">
        <v>1365</v>
      </c>
    </row>
    <row r="516" customFormat="false" ht="15" hidden="false" customHeight="false" outlineLevel="0" collapsed="false">
      <c r="A516" s="9" t="s">
        <v>1879</v>
      </c>
      <c r="B516" s="9" t="s">
        <v>590</v>
      </c>
      <c r="C516" s="9" t="str">
        <f aca="false">IFERROR(INDEX(Destination!$B$2:$B$501,MATCH(B516,Destination!$A$2:$A$501,0)),"")</f>
        <v>Warangal</v>
      </c>
      <c r="D516" s="9" t="s">
        <v>592</v>
      </c>
      <c r="E516" s="9" t="str">
        <f aca="false">IFERROR(INDEX(Destination!$B$2:$B$501,MATCH(D516,Destination!$A$2:$A$501,0)),"")</f>
        <v>Ramappa</v>
      </c>
      <c r="F516" s="9" t="s">
        <v>1364</v>
      </c>
      <c r="G516" s="12" t="n">
        <f aca="false">INDEX(Destination!$F$2:$F$501,MATCH(B516,Destination!$A$2:$A$501,0))</f>
        <v>17.97</v>
      </c>
      <c r="H516" s="12" t="n">
        <f aca="false">INDEX(Destination!$G$2:$G$501,MATCH(B516,Destination!$A$2:$A$501,0))</f>
        <v>79.59</v>
      </c>
      <c r="I516" s="12" t="n">
        <f aca="false">INDEX(Destination!$F$2:$F$501,MATCH(D516,Destination!$A$2:$A$501,0))</f>
        <v>18.26</v>
      </c>
      <c r="J516" s="12" t="n">
        <f aca="false">INDEX(Destination!$G$2:$G$501,MATCH(D516,Destination!$A$2:$A$501,0))</f>
        <v>79.94</v>
      </c>
      <c r="K516" s="17" t="n">
        <f aca="false">Assumptions!$B$2*2*ASIN(SQRT(SIN(RADIANS(I516-G516)/2)^2+COS(RADIANS(G516))*COS(RADIANS(I516))*SIN(RADIANS(J516-H516)/2)^2))</f>
        <v>49.0717492829288</v>
      </c>
      <c r="L516" s="18" t="n">
        <f aca="false">K516*Assumptions!$B$3</f>
        <v>63.7932740678074</v>
      </c>
      <c r="M516" s="19" t="n">
        <f aca="false">L516/Assumptions!$B$4</f>
        <v>1.41762831261794</v>
      </c>
      <c r="N516" s="9" t="s">
        <v>1365</v>
      </c>
    </row>
    <row r="517" customFormat="false" ht="15" hidden="false" customHeight="false" outlineLevel="0" collapsed="false">
      <c r="A517" s="9" t="s">
        <v>1880</v>
      </c>
      <c r="B517" s="9" t="s">
        <v>590</v>
      </c>
      <c r="C517" s="9" t="str">
        <f aca="false">IFERROR(INDEX(Destination!$B$2:$B$501,MATCH(B517,Destination!$A$2:$A$501,0)),"")</f>
        <v>Warangal</v>
      </c>
      <c r="D517" s="9" t="s">
        <v>596</v>
      </c>
      <c r="E517" s="9" t="str">
        <f aca="false">IFERROR(INDEX(Destination!$B$2:$B$501,MATCH(D517,Destination!$A$2:$A$501,0)),"")</f>
        <v>Yadadri</v>
      </c>
      <c r="F517" s="9" t="s">
        <v>1364</v>
      </c>
      <c r="G517" s="12" t="n">
        <f aca="false">INDEX(Destination!$F$2:$F$501,MATCH(B517,Destination!$A$2:$A$501,0))</f>
        <v>17.97</v>
      </c>
      <c r="H517" s="12" t="n">
        <f aca="false">INDEX(Destination!$G$2:$G$501,MATCH(B517,Destination!$A$2:$A$501,0))</f>
        <v>79.59</v>
      </c>
      <c r="I517" s="12" t="n">
        <f aca="false">INDEX(Destination!$F$2:$F$501,MATCH(D517,Destination!$A$2:$A$501,0))</f>
        <v>17.59</v>
      </c>
      <c r="J517" s="12" t="n">
        <f aca="false">INDEX(Destination!$G$2:$G$501,MATCH(D517,Destination!$A$2:$A$501,0))</f>
        <v>78.94</v>
      </c>
      <c r="K517" s="17" t="n">
        <f aca="false">Assumptions!$B$2*2*ASIN(SQRT(SIN(RADIANS(I517-G517)/2)^2+COS(RADIANS(G517))*COS(RADIANS(I517))*SIN(RADIANS(J517-H517)/2)^2))</f>
        <v>80.7600664728298</v>
      </c>
      <c r="L517" s="18" t="n">
        <f aca="false">K517*Assumptions!$B$3</f>
        <v>104.988086414679</v>
      </c>
      <c r="M517" s="19" t="n">
        <f aca="false">L517/Assumptions!$B$4</f>
        <v>2.33306858699286</v>
      </c>
      <c r="N517" s="9" t="s">
        <v>1365</v>
      </c>
    </row>
    <row r="518" customFormat="false" ht="15" hidden="false" customHeight="false" outlineLevel="0" collapsed="false">
      <c r="A518" s="9" t="s">
        <v>1881</v>
      </c>
      <c r="B518" s="9" t="s">
        <v>590</v>
      </c>
      <c r="C518" s="9" t="str">
        <f aca="false">IFERROR(INDEX(Destination!$B$2:$B$501,MATCH(B518,Destination!$A$2:$A$501,0)),"")</f>
        <v>Warangal</v>
      </c>
      <c r="D518" s="9" t="s">
        <v>610</v>
      </c>
      <c r="E518" s="9" t="str">
        <f aca="false">IFERROR(INDEX(Destination!$B$2:$B$501,MATCH(D518,Destination!$A$2:$A$501,0)),"")</f>
        <v>Laknavaram</v>
      </c>
      <c r="F518" s="9" t="s">
        <v>1364</v>
      </c>
      <c r="G518" s="12" t="n">
        <f aca="false">INDEX(Destination!$F$2:$F$501,MATCH(B518,Destination!$A$2:$A$501,0))</f>
        <v>17.97</v>
      </c>
      <c r="H518" s="12" t="n">
        <f aca="false">INDEX(Destination!$G$2:$G$501,MATCH(B518,Destination!$A$2:$A$501,0))</f>
        <v>79.59</v>
      </c>
      <c r="I518" s="12" t="n">
        <f aca="false">INDEX(Destination!$F$2:$F$501,MATCH(D518,Destination!$A$2:$A$501,0))</f>
        <v>18.09</v>
      </c>
      <c r="J518" s="12" t="n">
        <f aca="false">INDEX(Destination!$G$2:$G$501,MATCH(D518,Destination!$A$2:$A$501,0))</f>
        <v>79.96</v>
      </c>
      <c r="K518" s="17" t="n">
        <f aca="false">Assumptions!$B$2*2*ASIN(SQRT(SIN(RADIANS(I518-G518)/2)^2+COS(RADIANS(G518))*COS(RADIANS(I518))*SIN(RADIANS(J518-H518)/2)^2))</f>
        <v>41.3347527639475</v>
      </c>
      <c r="L518" s="18" t="n">
        <f aca="false">K518*Assumptions!$B$3</f>
        <v>53.7351785931318</v>
      </c>
      <c r="M518" s="19" t="n">
        <f aca="false">L518/Assumptions!$B$4</f>
        <v>1.19411507984737</v>
      </c>
      <c r="N518" s="9" t="s">
        <v>1365</v>
      </c>
    </row>
    <row r="519" customFormat="false" ht="15" hidden="false" customHeight="false" outlineLevel="0" collapsed="false">
      <c r="A519" s="9" t="s">
        <v>1882</v>
      </c>
      <c r="B519" s="9" t="s">
        <v>592</v>
      </c>
      <c r="C519" s="9" t="str">
        <f aca="false">IFERROR(INDEX(Destination!$B$2:$B$501,MATCH(B519,Destination!$A$2:$A$501,0)),"")</f>
        <v>Ramappa</v>
      </c>
      <c r="D519" s="9" t="s">
        <v>594</v>
      </c>
      <c r="E519" s="9" t="str">
        <f aca="false">IFERROR(INDEX(Destination!$B$2:$B$501,MATCH(D519,Destination!$A$2:$A$501,0)),"")</f>
        <v>Bhadrachalam</v>
      </c>
      <c r="F519" s="9" t="s">
        <v>1364</v>
      </c>
      <c r="G519" s="12" t="n">
        <f aca="false">INDEX(Destination!$F$2:$F$501,MATCH(B519,Destination!$A$2:$A$501,0))</f>
        <v>18.26</v>
      </c>
      <c r="H519" s="12" t="n">
        <f aca="false">INDEX(Destination!$G$2:$G$501,MATCH(B519,Destination!$A$2:$A$501,0))</f>
        <v>79.94</v>
      </c>
      <c r="I519" s="12" t="n">
        <f aca="false">INDEX(Destination!$F$2:$F$501,MATCH(D519,Destination!$A$2:$A$501,0))</f>
        <v>17.67</v>
      </c>
      <c r="J519" s="12" t="n">
        <f aca="false">INDEX(Destination!$G$2:$G$501,MATCH(D519,Destination!$A$2:$A$501,0))</f>
        <v>80.89</v>
      </c>
      <c r="K519" s="17" t="n">
        <f aca="false">Assumptions!$B$2*2*ASIN(SQRT(SIN(RADIANS(I519-G519)/2)^2+COS(RADIANS(G519))*COS(RADIANS(I519))*SIN(RADIANS(J519-H519)/2)^2))</f>
        <v>120.004593159481</v>
      </c>
      <c r="L519" s="18" t="n">
        <f aca="false">K519*Assumptions!$B$3</f>
        <v>156.005971107325</v>
      </c>
      <c r="M519" s="19" t="n">
        <f aca="false">L519/Assumptions!$B$4</f>
        <v>3.46679935794056</v>
      </c>
      <c r="N519" s="9" t="s">
        <v>1365</v>
      </c>
    </row>
    <row r="520" customFormat="false" ht="15" hidden="false" customHeight="false" outlineLevel="0" collapsed="false">
      <c r="A520" s="9" t="s">
        <v>1883</v>
      </c>
      <c r="B520" s="9" t="s">
        <v>592</v>
      </c>
      <c r="C520" s="9" t="str">
        <f aca="false">IFERROR(INDEX(Destination!$B$2:$B$501,MATCH(B520,Destination!$A$2:$A$501,0)),"")</f>
        <v>Ramappa</v>
      </c>
      <c r="D520" s="9" t="s">
        <v>610</v>
      </c>
      <c r="E520" s="9" t="str">
        <f aca="false">IFERROR(INDEX(Destination!$B$2:$B$501,MATCH(D520,Destination!$A$2:$A$501,0)),"")</f>
        <v>Laknavaram</v>
      </c>
      <c r="F520" s="9" t="s">
        <v>1364</v>
      </c>
      <c r="G520" s="12" t="n">
        <f aca="false">INDEX(Destination!$F$2:$F$501,MATCH(B520,Destination!$A$2:$A$501,0))</f>
        <v>18.26</v>
      </c>
      <c r="H520" s="12" t="n">
        <f aca="false">INDEX(Destination!$G$2:$G$501,MATCH(B520,Destination!$A$2:$A$501,0))</f>
        <v>79.94</v>
      </c>
      <c r="I520" s="12" t="n">
        <f aca="false">INDEX(Destination!$F$2:$F$501,MATCH(D520,Destination!$A$2:$A$501,0))</f>
        <v>18.09</v>
      </c>
      <c r="J520" s="12" t="n">
        <f aca="false">INDEX(Destination!$G$2:$G$501,MATCH(D520,Destination!$A$2:$A$501,0))</f>
        <v>79.96</v>
      </c>
      <c r="K520" s="17" t="n">
        <f aca="false">Assumptions!$B$2*2*ASIN(SQRT(SIN(RADIANS(I520-G520)/2)^2+COS(RADIANS(G520))*COS(RADIANS(I520))*SIN(RADIANS(J520-H520)/2)^2))</f>
        <v>19.0208605971018</v>
      </c>
      <c r="L520" s="18" t="n">
        <f aca="false">K520*Assumptions!$B$3</f>
        <v>24.7271187762324</v>
      </c>
      <c r="M520" s="19" t="n">
        <f aca="false">L520/Assumptions!$B$4</f>
        <v>0.549491528360719</v>
      </c>
      <c r="N520" s="9" t="s">
        <v>1365</v>
      </c>
    </row>
    <row r="521" customFormat="false" ht="15" hidden="false" customHeight="false" outlineLevel="0" collapsed="false">
      <c r="A521" s="9" t="s">
        <v>1884</v>
      </c>
      <c r="B521" s="9" t="s">
        <v>592</v>
      </c>
      <c r="C521" s="9" t="str">
        <f aca="false">IFERROR(INDEX(Destination!$B$2:$B$501,MATCH(B521,Destination!$A$2:$A$501,0)),"")</f>
        <v>Ramappa</v>
      </c>
      <c r="D521" s="9" t="s">
        <v>616</v>
      </c>
      <c r="E521" s="9" t="str">
        <f aca="false">IFERROR(INDEX(Destination!$B$2:$B$501,MATCH(D521,Destination!$A$2:$A$501,0)),"")</f>
        <v>Thousand Pillar Temple</v>
      </c>
      <c r="F521" s="9" t="s">
        <v>1364</v>
      </c>
      <c r="G521" s="12" t="n">
        <f aca="false">INDEX(Destination!$F$2:$F$501,MATCH(B521,Destination!$A$2:$A$501,0))</f>
        <v>18.26</v>
      </c>
      <c r="H521" s="12" t="n">
        <f aca="false">INDEX(Destination!$G$2:$G$501,MATCH(B521,Destination!$A$2:$A$501,0))</f>
        <v>79.94</v>
      </c>
      <c r="I521" s="12" t="n">
        <f aca="false">INDEX(Destination!$F$2:$F$501,MATCH(D521,Destination!$A$2:$A$501,0))</f>
        <v>18</v>
      </c>
      <c r="J521" s="12" t="n">
        <f aca="false">INDEX(Destination!$G$2:$G$501,MATCH(D521,Destination!$A$2:$A$501,0))</f>
        <v>79.57</v>
      </c>
      <c r="K521" s="17" t="n">
        <f aca="false">Assumptions!$B$2*2*ASIN(SQRT(SIN(RADIANS(I521-G521)/2)^2+COS(RADIANS(G521))*COS(RADIANS(I521))*SIN(RADIANS(J521-H521)/2)^2))</f>
        <v>48.6271250339383</v>
      </c>
      <c r="L521" s="18" t="n">
        <f aca="false">K521*Assumptions!$B$3</f>
        <v>63.2152625441198</v>
      </c>
      <c r="M521" s="19" t="n">
        <f aca="false">L521/Assumptions!$B$4</f>
        <v>1.40478361209155</v>
      </c>
      <c r="N521" s="9" t="s">
        <v>1365</v>
      </c>
    </row>
    <row r="522" customFormat="false" ht="15" hidden="false" customHeight="false" outlineLevel="0" collapsed="false">
      <c r="A522" s="9" t="s">
        <v>1885</v>
      </c>
      <c r="B522" s="9" t="s">
        <v>594</v>
      </c>
      <c r="C522" s="9" t="str">
        <f aca="false">IFERROR(INDEX(Destination!$B$2:$B$501,MATCH(B522,Destination!$A$2:$A$501,0)),"")</f>
        <v>Bhadrachalam</v>
      </c>
      <c r="D522" s="9" t="s">
        <v>610</v>
      </c>
      <c r="E522" s="9" t="str">
        <f aca="false">IFERROR(INDEX(Destination!$B$2:$B$501,MATCH(D522,Destination!$A$2:$A$501,0)),"")</f>
        <v>Laknavaram</v>
      </c>
      <c r="F522" s="9" t="s">
        <v>1364</v>
      </c>
      <c r="G522" s="12" t="n">
        <f aca="false">INDEX(Destination!$F$2:$F$501,MATCH(B522,Destination!$A$2:$A$501,0))</f>
        <v>17.67</v>
      </c>
      <c r="H522" s="12" t="n">
        <f aca="false">INDEX(Destination!$G$2:$G$501,MATCH(B522,Destination!$A$2:$A$501,0))</f>
        <v>80.89</v>
      </c>
      <c r="I522" s="12" t="n">
        <f aca="false">INDEX(Destination!$F$2:$F$501,MATCH(D522,Destination!$A$2:$A$501,0))</f>
        <v>18.09</v>
      </c>
      <c r="J522" s="12" t="n">
        <f aca="false">INDEX(Destination!$G$2:$G$501,MATCH(D522,Destination!$A$2:$A$501,0))</f>
        <v>79.96</v>
      </c>
      <c r="K522" s="17" t="n">
        <f aca="false">Assumptions!$B$2*2*ASIN(SQRT(SIN(RADIANS(I522-G522)/2)^2+COS(RADIANS(G522))*COS(RADIANS(I522))*SIN(RADIANS(J522-H522)/2)^2))</f>
        <v>108.934988271939</v>
      </c>
      <c r="L522" s="18" t="n">
        <f aca="false">K522*Assumptions!$B$3</f>
        <v>141.61548475352</v>
      </c>
      <c r="M522" s="19" t="n">
        <f aca="false">L522/Assumptions!$B$4</f>
        <v>3.14701077230045</v>
      </c>
      <c r="N522" s="9" t="s">
        <v>1365</v>
      </c>
    </row>
    <row r="523" customFormat="false" ht="15" hidden="false" customHeight="false" outlineLevel="0" collapsed="false">
      <c r="A523" s="9" t="s">
        <v>1886</v>
      </c>
      <c r="B523" s="9" t="s">
        <v>596</v>
      </c>
      <c r="C523" s="9" t="str">
        <f aca="false">IFERROR(INDEX(Destination!$B$2:$B$501,MATCH(B523,Destination!$A$2:$A$501,0)),"")</f>
        <v>Yadadri</v>
      </c>
      <c r="D523" s="9" t="s">
        <v>598</v>
      </c>
      <c r="E523" s="9" t="str">
        <f aca="false">IFERROR(INDEX(Destination!$B$2:$B$501,MATCH(D523,Destination!$A$2:$A$501,0)),"")</f>
        <v>Nagarjuna Sagar</v>
      </c>
      <c r="F523" s="9" t="s">
        <v>1364</v>
      </c>
      <c r="G523" s="12" t="n">
        <f aca="false">INDEX(Destination!$F$2:$F$501,MATCH(B523,Destination!$A$2:$A$501,0))</f>
        <v>17.59</v>
      </c>
      <c r="H523" s="12" t="n">
        <f aca="false">INDEX(Destination!$G$2:$G$501,MATCH(B523,Destination!$A$2:$A$501,0))</f>
        <v>78.94</v>
      </c>
      <c r="I523" s="12" t="n">
        <f aca="false">INDEX(Destination!$F$2:$F$501,MATCH(D523,Destination!$A$2:$A$501,0))</f>
        <v>16.57</v>
      </c>
      <c r="J523" s="12" t="n">
        <f aca="false">INDEX(Destination!$G$2:$G$501,MATCH(D523,Destination!$A$2:$A$501,0))</f>
        <v>79.31</v>
      </c>
      <c r="K523" s="17" t="n">
        <f aca="false">Assumptions!$B$2*2*ASIN(SQRT(SIN(RADIANS(I523-G523)/2)^2+COS(RADIANS(G523))*COS(RADIANS(I523))*SIN(RADIANS(J523-H523)/2)^2))</f>
        <v>120.043471727335</v>
      </c>
      <c r="L523" s="18" t="n">
        <f aca="false">K523*Assumptions!$B$3</f>
        <v>156.056513245535</v>
      </c>
      <c r="M523" s="19" t="n">
        <f aca="false">L523/Assumptions!$B$4</f>
        <v>3.46792251656746</v>
      </c>
      <c r="N523" s="9" t="s">
        <v>1365</v>
      </c>
    </row>
    <row r="524" customFormat="false" ht="15" hidden="false" customHeight="false" outlineLevel="0" collapsed="false">
      <c r="A524" s="9" t="s">
        <v>1887</v>
      </c>
      <c r="B524" s="9" t="s">
        <v>596</v>
      </c>
      <c r="C524" s="9" t="str">
        <f aca="false">IFERROR(INDEX(Destination!$B$2:$B$501,MATCH(B524,Destination!$A$2:$A$501,0)),"")</f>
        <v>Yadadri</v>
      </c>
      <c r="D524" s="9" t="s">
        <v>616</v>
      </c>
      <c r="E524" s="9" t="str">
        <f aca="false">IFERROR(INDEX(Destination!$B$2:$B$501,MATCH(D524,Destination!$A$2:$A$501,0)),"")</f>
        <v>Thousand Pillar Temple</v>
      </c>
      <c r="F524" s="9" t="s">
        <v>1364</v>
      </c>
      <c r="G524" s="12" t="n">
        <f aca="false">INDEX(Destination!$F$2:$F$501,MATCH(B524,Destination!$A$2:$A$501,0))</f>
        <v>17.59</v>
      </c>
      <c r="H524" s="12" t="n">
        <f aca="false">INDEX(Destination!$G$2:$G$501,MATCH(B524,Destination!$A$2:$A$501,0))</f>
        <v>78.94</v>
      </c>
      <c r="I524" s="12" t="n">
        <f aca="false">INDEX(Destination!$F$2:$F$501,MATCH(D524,Destination!$A$2:$A$501,0))</f>
        <v>18</v>
      </c>
      <c r="J524" s="12" t="n">
        <f aca="false">INDEX(Destination!$G$2:$G$501,MATCH(D524,Destination!$A$2:$A$501,0))</f>
        <v>79.57</v>
      </c>
      <c r="K524" s="17" t="n">
        <f aca="false">Assumptions!$B$2*2*ASIN(SQRT(SIN(RADIANS(I524-G524)/2)^2+COS(RADIANS(G524))*COS(RADIANS(I524))*SIN(RADIANS(J524-H524)/2)^2))</f>
        <v>80.7927107915512</v>
      </c>
      <c r="L524" s="18" t="n">
        <f aca="false">K524*Assumptions!$B$3</f>
        <v>105.030524029017</v>
      </c>
      <c r="M524" s="19" t="n">
        <f aca="false">L524/Assumptions!$B$4</f>
        <v>2.33401164508926</v>
      </c>
      <c r="N524" s="9" t="s">
        <v>1365</v>
      </c>
    </row>
    <row r="525" customFormat="false" ht="15" hidden="false" customHeight="false" outlineLevel="0" collapsed="false">
      <c r="A525" s="9" t="s">
        <v>1888</v>
      </c>
      <c r="B525" s="9" t="s">
        <v>596</v>
      </c>
      <c r="C525" s="9" t="str">
        <f aca="false">IFERROR(INDEX(Destination!$B$2:$B$501,MATCH(B525,Destination!$A$2:$A$501,0)),"")</f>
        <v>Yadadri</v>
      </c>
      <c r="D525" s="9" t="s">
        <v>1008</v>
      </c>
      <c r="E525" s="9" t="str">
        <f aca="false">IFERROR(INDEX(Destination!$B$2:$B$501,MATCH(D525,Destination!$A$2:$A$501,0)),"")</f>
        <v>Hyderabad Heritage</v>
      </c>
      <c r="F525" s="9" t="s">
        <v>1364</v>
      </c>
      <c r="G525" s="12" t="n">
        <f aca="false">INDEX(Destination!$F$2:$F$501,MATCH(B525,Destination!$A$2:$A$501,0))</f>
        <v>17.59</v>
      </c>
      <c r="H525" s="12" t="n">
        <f aca="false">INDEX(Destination!$G$2:$G$501,MATCH(B525,Destination!$A$2:$A$501,0))</f>
        <v>78.94</v>
      </c>
      <c r="I525" s="12" t="n">
        <f aca="false">INDEX(Destination!$F$2:$F$501,MATCH(D525,Destination!$A$2:$A$501,0))</f>
        <v>17.36</v>
      </c>
      <c r="J525" s="12" t="n">
        <f aca="false">INDEX(Destination!$G$2:$G$501,MATCH(D525,Destination!$A$2:$A$501,0))</f>
        <v>78.47</v>
      </c>
      <c r="K525" s="17" t="n">
        <f aca="false">Assumptions!$B$2*2*ASIN(SQRT(SIN(RADIANS(I525-G525)/2)^2+COS(RADIANS(G525))*COS(RADIANS(I525))*SIN(RADIANS(J525-H525)/2)^2))</f>
        <v>56.0272541656939</v>
      </c>
      <c r="L525" s="18" t="n">
        <f aca="false">K525*Assumptions!$B$3</f>
        <v>72.8354304154021</v>
      </c>
      <c r="M525" s="19" t="n">
        <f aca="false">L525/Assumptions!$B$4</f>
        <v>1.61856512034227</v>
      </c>
      <c r="N525" s="9" t="s">
        <v>1365</v>
      </c>
    </row>
    <row r="526" customFormat="false" ht="15" hidden="false" customHeight="false" outlineLevel="0" collapsed="false">
      <c r="A526" s="9" t="s">
        <v>1889</v>
      </c>
      <c r="B526" s="9" t="s">
        <v>600</v>
      </c>
      <c r="C526" s="9" t="str">
        <f aca="false">IFERROR(INDEX(Destination!$B$2:$B$501,MATCH(B526,Destination!$A$2:$A$501,0)),"")</f>
        <v>Basara</v>
      </c>
      <c r="D526" s="9" t="s">
        <v>604</v>
      </c>
      <c r="E526" s="9" t="str">
        <f aca="false">IFERROR(INDEX(Destination!$B$2:$B$501,MATCH(D526,Destination!$A$2:$A$501,0)),"")</f>
        <v>Medak</v>
      </c>
      <c r="F526" s="9" t="s">
        <v>1364</v>
      </c>
      <c r="G526" s="12" t="n">
        <f aca="false">INDEX(Destination!$F$2:$F$501,MATCH(B526,Destination!$A$2:$A$501,0))</f>
        <v>18.88</v>
      </c>
      <c r="H526" s="12" t="n">
        <f aca="false">INDEX(Destination!$G$2:$G$501,MATCH(B526,Destination!$A$2:$A$501,0))</f>
        <v>77.96</v>
      </c>
      <c r="I526" s="12" t="n">
        <f aca="false">INDEX(Destination!$F$2:$F$501,MATCH(D526,Destination!$A$2:$A$501,0))</f>
        <v>18.05</v>
      </c>
      <c r="J526" s="12" t="n">
        <f aca="false">INDEX(Destination!$G$2:$G$501,MATCH(D526,Destination!$A$2:$A$501,0))</f>
        <v>78.26</v>
      </c>
      <c r="K526" s="17" t="n">
        <f aca="false">Assumptions!$B$2*2*ASIN(SQRT(SIN(RADIANS(I526-G526)/2)^2+COS(RADIANS(G526))*COS(RADIANS(I526))*SIN(RADIANS(J526-H526)/2)^2))</f>
        <v>97.5648992156049</v>
      </c>
      <c r="L526" s="18" t="n">
        <f aca="false">K526*Assumptions!$B$3</f>
        <v>126.834368980286</v>
      </c>
      <c r="M526" s="19" t="n">
        <f aca="false">L526/Assumptions!$B$4</f>
        <v>2.81854153289525</v>
      </c>
      <c r="N526" s="9" t="s">
        <v>1365</v>
      </c>
    </row>
    <row r="527" customFormat="false" ht="15" hidden="false" customHeight="false" outlineLevel="0" collapsed="false">
      <c r="A527" s="9" t="s">
        <v>1890</v>
      </c>
      <c r="B527" s="9" t="s">
        <v>600</v>
      </c>
      <c r="C527" s="9" t="str">
        <f aca="false">IFERROR(INDEX(Destination!$B$2:$B$501,MATCH(B527,Destination!$A$2:$A$501,0)),"")</f>
        <v>Basara</v>
      </c>
      <c r="D527" s="9" t="s">
        <v>606</v>
      </c>
      <c r="E527" s="9" t="str">
        <f aca="false">IFERROR(INDEX(Destination!$B$2:$B$501,MATCH(D527,Destination!$A$2:$A$501,0)),"")</f>
        <v>Adilabad</v>
      </c>
      <c r="F527" s="9" t="s">
        <v>1364</v>
      </c>
      <c r="G527" s="12" t="n">
        <f aca="false">INDEX(Destination!$F$2:$F$501,MATCH(B527,Destination!$A$2:$A$501,0))</f>
        <v>18.88</v>
      </c>
      <c r="H527" s="12" t="n">
        <f aca="false">INDEX(Destination!$G$2:$G$501,MATCH(B527,Destination!$A$2:$A$501,0))</f>
        <v>77.96</v>
      </c>
      <c r="I527" s="12" t="n">
        <f aca="false">INDEX(Destination!$F$2:$F$501,MATCH(D527,Destination!$A$2:$A$501,0))</f>
        <v>19.66</v>
      </c>
      <c r="J527" s="12" t="n">
        <f aca="false">INDEX(Destination!$G$2:$G$501,MATCH(D527,Destination!$A$2:$A$501,0))</f>
        <v>78.53</v>
      </c>
      <c r="K527" s="17" t="n">
        <f aca="false">Assumptions!$B$2*2*ASIN(SQRT(SIN(RADIANS(I527-G527)/2)^2+COS(RADIANS(G527))*COS(RADIANS(I527))*SIN(RADIANS(J527-H527)/2)^2))</f>
        <v>105.366078995456</v>
      </c>
      <c r="L527" s="18" t="n">
        <f aca="false">K527*Assumptions!$B$3</f>
        <v>136.975902694092</v>
      </c>
      <c r="M527" s="19" t="n">
        <f aca="false">L527/Assumptions!$B$4</f>
        <v>3.04390894875761</v>
      </c>
      <c r="N527" s="9" t="s">
        <v>1365</v>
      </c>
    </row>
    <row r="528" customFormat="false" ht="15" hidden="false" customHeight="false" outlineLevel="0" collapsed="false">
      <c r="A528" s="9" t="s">
        <v>1891</v>
      </c>
      <c r="B528" s="9" t="s">
        <v>600</v>
      </c>
      <c r="C528" s="9" t="str">
        <f aca="false">IFERROR(INDEX(Destination!$B$2:$B$501,MATCH(B528,Destination!$A$2:$A$501,0)),"")</f>
        <v>Basara</v>
      </c>
      <c r="D528" s="9" t="s">
        <v>608</v>
      </c>
      <c r="E528" s="9" t="str">
        <f aca="false">IFERROR(INDEX(Destination!$B$2:$B$501,MATCH(D528,Destination!$A$2:$A$501,0)),"")</f>
        <v>Kuntala Falls</v>
      </c>
      <c r="F528" s="9" t="s">
        <v>1364</v>
      </c>
      <c r="G528" s="12" t="n">
        <f aca="false">INDEX(Destination!$F$2:$F$501,MATCH(B528,Destination!$A$2:$A$501,0))</f>
        <v>18.88</v>
      </c>
      <c r="H528" s="12" t="n">
        <f aca="false">INDEX(Destination!$G$2:$G$501,MATCH(B528,Destination!$A$2:$A$501,0))</f>
        <v>77.96</v>
      </c>
      <c r="I528" s="12" t="n">
        <f aca="false">INDEX(Destination!$F$2:$F$501,MATCH(D528,Destination!$A$2:$A$501,0))</f>
        <v>19.05</v>
      </c>
      <c r="J528" s="12" t="n">
        <f aca="false">INDEX(Destination!$G$2:$G$501,MATCH(D528,Destination!$A$2:$A$501,0))</f>
        <v>78.64</v>
      </c>
      <c r="K528" s="17" t="n">
        <f aca="false">Assumptions!$B$2*2*ASIN(SQRT(SIN(RADIANS(I528-G528)/2)^2+COS(RADIANS(G528))*COS(RADIANS(I528))*SIN(RADIANS(J528-H528)/2)^2))</f>
        <v>73.9643484711618</v>
      </c>
      <c r="L528" s="18" t="n">
        <f aca="false">K528*Assumptions!$B$3</f>
        <v>96.1536530125103</v>
      </c>
      <c r="M528" s="19" t="n">
        <f aca="false">L528/Assumptions!$B$4</f>
        <v>2.13674784472245</v>
      </c>
      <c r="N528" s="9" t="s">
        <v>1365</v>
      </c>
    </row>
    <row r="529" customFormat="false" ht="15" hidden="false" customHeight="false" outlineLevel="0" collapsed="false">
      <c r="A529" s="9" t="s">
        <v>1892</v>
      </c>
      <c r="B529" s="9" t="s">
        <v>600</v>
      </c>
      <c r="C529" s="9" t="str">
        <f aca="false">IFERROR(INDEX(Destination!$B$2:$B$501,MATCH(B529,Destination!$A$2:$A$501,0)),"")</f>
        <v>Basara</v>
      </c>
      <c r="D529" s="9" t="s">
        <v>614</v>
      </c>
      <c r="E529" s="9" t="str">
        <f aca="false">IFERROR(INDEX(Destination!$B$2:$B$501,MATCH(D529,Destination!$A$2:$A$501,0)),"")</f>
        <v>Pocharam</v>
      </c>
      <c r="F529" s="9" t="s">
        <v>1364</v>
      </c>
      <c r="G529" s="12" t="n">
        <f aca="false">INDEX(Destination!$F$2:$F$501,MATCH(B529,Destination!$A$2:$A$501,0))</f>
        <v>18.88</v>
      </c>
      <c r="H529" s="12" t="n">
        <f aca="false">INDEX(Destination!$G$2:$G$501,MATCH(B529,Destination!$A$2:$A$501,0))</f>
        <v>77.96</v>
      </c>
      <c r="I529" s="12" t="n">
        <f aca="false">INDEX(Destination!$F$2:$F$501,MATCH(D529,Destination!$A$2:$A$501,0))</f>
        <v>18.02</v>
      </c>
      <c r="J529" s="12" t="n">
        <f aca="false">INDEX(Destination!$G$2:$G$501,MATCH(D529,Destination!$A$2:$A$501,0))</f>
        <v>78.18</v>
      </c>
      <c r="K529" s="17" t="n">
        <f aca="false">Assumptions!$B$2*2*ASIN(SQRT(SIN(RADIANS(I529-G529)/2)^2+COS(RADIANS(G529))*COS(RADIANS(I529))*SIN(RADIANS(J529-H529)/2)^2))</f>
        <v>98.402878272587</v>
      </c>
      <c r="L529" s="18" t="n">
        <f aca="false">K529*Assumptions!$B$3</f>
        <v>127.923741754363</v>
      </c>
      <c r="M529" s="19" t="n">
        <f aca="false">L529/Assumptions!$B$4</f>
        <v>2.84274981676362</v>
      </c>
      <c r="N529" s="9" t="s">
        <v>1365</v>
      </c>
    </row>
    <row r="530" customFormat="false" ht="15" hidden="false" customHeight="false" outlineLevel="0" collapsed="false">
      <c r="A530" s="9" t="s">
        <v>1893</v>
      </c>
      <c r="B530" s="9" t="s">
        <v>602</v>
      </c>
      <c r="C530" s="9" t="str">
        <f aca="false">IFERROR(INDEX(Destination!$B$2:$B$501,MATCH(B530,Destination!$A$2:$A$501,0)),"")</f>
        <v>Vemulawada</v>
      </c>
      <c r="D530" s="9" t="s">
        <v>604</v>
      </c>
      <c r="E530" s="9" t="str">
        <f aca="false">IFERROR(INDEX(Destination!$B$2:$B$501,MATCH(D530,Destination!$A$2:$A$501,0)),"")</f>
        <v>Medak</v>
      </c>
      <c r="F530" s="9" t="s">
        <v>1364</v>
      </c>
      <c r="G530" s="12" t="n">
        <f aca="false">INDEX(Destination!$F$2:$F$501,MATCH(B530,Destination!$A$2:$A$501,0))</f>
        <v>18.46</v>
      </c>
      <c r="H530" s="12" t="n">
        <f aca="false">INDEX(Destination!$G$2:$G$501,MATCH(B530,Destination!$A$2:$A$501,0))</f>
        <v>78.87</v>
      </c>
      <c r="I530" s="12" t="n">
        <f aca="false">INDEX(Destination!$F$2:$F$501,MATCH(D530,Destination!$A$2:$A$501,0))</f>
        <v>18.05</v>
      </c>
      <c r="J530" s="12" t="n">
        <f aca="false">INDEX(Destination!$G$2:$G$501,MATCH(D530,Destination!$A$2:$A$501,0))</f>
        <v>78.26</v>
      </c>
      <c r="K530" s="17" t="n">
        <f aca="false">Assumptions!$B$2*2*ASIN(SQRT(SIN(RADIANS(I530-G530)/2)^2+COS(RADIANS(G530))*COS(RADIANS(I530))*SIN(RADIANS(J530-H530)/2)^2))</f>
        <v>78.9159756815559</v>
      </c>
      <c r="L530" s="18" t="n">
        <f aca="false">K530*Assumptions!$B$3</f>
        <v>102.590768386023</v>
      </c>
      <c r="M530" s="19" t="n">
        <f aca="false">L530/Assumptions!$B$4</f>
        <v>2.27979485302273</v>
      </c>
      <c r="N530" s="9" t="s">
        <v>1365</v>
      </c>
    </row>
    <row r="531" customFormat="false" ht="15" hidden="false" customHeight="false" outlineLevel="0" collapsed="false">
      <c r="A531" s="9" t="s">
        <v>1894</v>
      </c>
      <c r="B531" s="9" t="s">
        <v>602</v>
      </c>
      <c r="C531" s="9" t="str">
        <f aca="false">IFERROR(INDEX(Destination!$B$2:$B$501,MATCH(B531,Destination!$A$2:$A$501,0)),"")</f>
        <v>Vemulawada</v>
      </c>
      <c r="D531" s="9" t="s">
        <v>606</v>
      </c>
      <c r="E531" s="9" t="str">
        <f aca="false">IFERROR(INDEX(Destination!$B$2:$B$501,MATCH(D531,Destination!$A$2:$A$501,0)),"")</f>
        <v>Adilabad</v>
      </c>
      <c r="F531" s="9" t="s">
        <v>1364</v>
      </c>
      <c r="G531" s="12" t="n">
        <f aca="false">INDEX(Destination!$F$2:$F$501,MATCH(B531,Destination!$A$2:$A$501,0))</f>
        <v>18.46</v>
      </c>
      <c r="H531" s="12" t="n">
        <f aca="false">INDEX(Destination!$G$2:$G$501,MATCH(B531,Destination!$A$2:$A$501,0))</f>
        <v>78.87</v>
      </c>
      <c r="I531" s="12" t="n">
        <f aca="false">INDEX(Destination!$F$2:$F$501,MATCH(D531,Destination!$A$2:$A$501,0))</f>
        <v>19.66</v>
      </c>
      <c r="J531" s="12" t="n">
        <f aca="false">INDEX(Destination!$G$2:$G$501,MATCH(D531,Destination!$A$2:$A$501,0))</f>
        <v>78.53</v>
      </c>
      <c r="K531" s="17" t="n">
        <f aca="false">Assumptions!$B$2*2*ASIN(SQRT(SIN(RADIANS(I531-G531)/2)^2+COS(RADIANS(G531))*COS(RADIANS(I531))*SIN(RADIANS(J531-H531)/2)^2))</f>
        <v>138.13557514789</v>
      </c>
      <c r="L531" s="18" t="n">
        <f aca="false">K531*Assumptions!$B$3</f>
        <v>179.576247692257</v>
      </c>
      <c r="M531" s="19" t="n">
        <f aca="false">L531/Assumptions!$B$4</f>
        <v>3.99058328205015</v>
      </c>
      <c r="N531" s="9" t="s">
        <v>1365</v>
      </c>
    </row>
    <row r="532" customFormat="false" ht="15" hidden="false" customHeight="false" outlineLevel="0" collapsed="false">
      <c r="A532" s="9" t="s">
        <v>1895</v>
      </c>
      <c r="B532" s="9" t="s">
        <v>602</v>
      </c>
      <c r="C532" s="9" t="str">
        <f aca="false">IFERROR(INDEX(Destination!$B$2:$B$501,MATCH(B532,Destination!$A$2:$A$501,0)),"")</f>
        <v>Vemulawada</v>
      </c>
      <c r="D532" s="9" t="s">
        <v>608</v>
      </c>
      <c r="E532" s="9" t="str">
        <f aca="false">IFERROR(INDEX(Destination!$B$2:$B$501,MATCH(D532,Destination!$A$2:$A$501,0)),"")</f>
        <v>Kuntala Falls</v>
      </c>
      <c r="F532" s="9" t="s">
        <v>1364</v>
      </c>
      <c r="G532" s="12" t="n">
        <f aca="false">INDEX(Destination!$F$2:$F$501,MATCH(B532,Destination!$A$2:$A$501,0))</f>
        <v>18.46</v>
      </c>
      <c r="H532" s="12" t="n">
        <f aca="false">INDEX(Destination!$G$2:$G$501,MATCH(B532,Destination!$A$2:$A$501,0))</f>
        <v>78.87</v>
      </c>
      <c r="I532" s="12" t="n">
        <f aca="false">INDEX(Destination!$F$2:$F$501,MATCH(D532,Destination!$A$2:$A$501,0))</f>
        <v>19.05</v>
      </c>
      <c r="J532" s="12" t="n">
        <f aca="false">INDEX(Destination!$G$2:$G$501,MATCH(D532,Destination!$A$2:$A$501,0))</f>
        <v>78.64</v>
      </c>
      <c r="K532" s="17" t="n">
        <f aca="false">Assumptions!$B$2*2*ASIN(SQRT(SIN(RADIANS(I532-G532)/2)^2+COS(RADIANS(G532))*COS(RADIANS(I532))*SIN(RADIANS(J532-H532)/2)^2))</f>
        <v>69.9318688639243</v>
      </c>
      <c r="L532" s="18" t="n">
        <f aca="false">K532*Assumptions!$B$3</f>
        <v>90.9114295231016</v>
      </c>
      <c r="M532" s="19" t="n">
        <f aca="false">L532/Assumptions!$B$4</f>
        <v>2.02025398940226</v>
      </c>
      <c r="N532" s="9" t="s">
        <v>1365</v>
      </c>
    </row>
    <row r="533" customFormat="false" ht="15" hidden="false" customHeight="false" outlineLevel="0" collapsed="false">
      <c r="A533" s="9" t="s">
        <v>1896</v>
      </c>
      <c r="B533" s="9" t="s">
        <v>602</v>
      </c>
      <c r="C533" s="9" t="str">
        <f aca="false">IFERROR(INDEX(Destination!$B$2:$B$501,MATCH(B533,Destination!$A$2:$A$501,0)),"")</f>
        <v>Vemulawada</v>
      </c>
      <c r="D533" s="9" t="s">
        <v>614</v>
      </c>
      <c r="E533" s="9" t="str">
        <f aca="false">IFERROR(INDEX(Destination!$B$2:$B$501,MATCH(D533,Destination!$A$2:$A$501,0)),"")</f>
        <v>Pocharam</v>
      </c>
      <c r="F533" s="9" t="s">
        <v>1364</v>
      </c>
      <c r="G533" s="12" t="n">
        <f aca="false">INDEX(Destination!$F$2:$F$501,MATCH(B533,Destination!$A$2:$A$501,0))</f>
        <v>18.46</v>
      </c>
      <c r="H533" s="12" t="n">
        <f aca="false">INDEX(Destination!$G$2:$G$501,MATCH(B533,Destination!$A$2:$A$501,0))</f>
        <v>78.87</v>
      </c>
      <c r="I533" s="12" t="n">
        <f aca="false">INDEX(Destination!$F$2:$F$501,MATCH(D533,Destination!$A$2:$A$501,0))</f>
        <v>18.02</v>
      </c>
      <c r="J533" s="12" t="n">
        <f aca="false">INDEX(Destination!$G$2:$G$501,MATCH(D533,Destination!$A$2:$A$501,0))</f>
        <v>78.18</v>
      </c>
      <c r="K533" s="17" t="n">
        <f aca="false">Assumptions!$B$2*2*ASIN(SQRT(SIN(RADIANS(I533-G533)/2)^2+COS(RADIANS(G533))*COS(RADIANS(I533))*SIN(RADIANS(J533-H533)/2)^2))</f>
        <v>87.7703638144279</v>
      </c>
      <c r="L533" s="18" t="n">
        <f aca="false">K533*Assumptions!$B$3</f>
        <v>114.101472958756</v>
      </c>
      <c r="M533" s="19" t="n">
        <f aca="false">L533/Assumptions!$B$4</f>
        <v>2.53558828797236</v>
      </c>
      <c r="N533" s="9" t="s">
        <v>1365</v>
      </c>
    </row>
    <row r="534" customFormat="false" ht="15" hidden="false" customHeight="false" outlineLevel="0" collapsed="false">
      <c r="A534" s="9" t="s">
        <v>1897</v>
      </c>
      <c r="B534" s="9" t="s">
        <v>606</v>
      </c>
      <c r="C534" s="9" t="str">
        <f aca="false">IFERROR(INDEX(Destination!$B$2:$B$501,MATCH(B534,Destination!$A$2:$A$501,0)),"")</f>
        <v>Adilabad</v>
      </c>
      <c r="D534" s="9" t="s">
        <v>608</v>
      </c>
      <c r="E534" s="9" t="str">
        <f aca="false">IFERROR(INDEX(Destination!$B$2:$B$501,MATCH(D534,Destination!$A$2:$A$501,0)),"")</f>
        <v>Kuntala Falls</v>
      </c>
      <c r="F534" s="9" t="s">
        <v>1364</v>
      </c>
      <c r="G534" s="12" t="n">
        <f aca="false">INDEX(Destination!$F$2:$F$501,MATCH(B534,Destination!$A$2:$A$501,0))</f>
        <v>19.66</v>
      </c>
      <c r="H534" s="12" t="n">
        <f aca="false">INDEX(Destination!$G$2:$G$501,MATCH(B534,Destination!$A$2:$A$501,0))</f>
        <v>78.53</v>
      </c>
      <c r="I534" s="12" t="n">
        <f aca="false">INDEX(Destination!$F$2:$F$501,MATCH(D534,Destination!$A$2:$A$501,0))</f>
        <v>19.05</v>
      </c>
      <c r="J534" s="12" t="n">
        <f aca="false">INDEX(Destination!$G$2:$G$501,MATCH(D534,Destination!$A$2:$A$501,0))</f>
        <v>78.64</v>
      </c>
      <c r="K534" s="17" t="n">
        <f aca="false">Assumptions!$B$2*2*ASIN(SQRT(SIN(RADIANS(I534-G534)/2)^2+COS(RADIANS(G534))*COS(RADIANS(I534))*SIN(RADIANS(J534-H534)/2)^2))</f>
        <v>68.8035897674427</v>
      </c>
      <c r="L534" s="18" t="n">
        <f aca="false">K534*Assumptions!$B$3</f>
        <v>89.4446666976755</v>
      </c>
      <c r="M534" s="19" t="n">
        <f aca="false">L534/Assumptions!$B$4</f>
        <v>1.98765925994834</v>
      </c>
      <c r="N534" s="9" t="s">
        <v>1365</v>
      </c>
    </row>
    <row r="535" customFormat="false" ht="15" hidden="false" customHeight="false" outlineLevel="0" collapsed="false">
      <c r="A535" s="9" t="s">
        <v>1898</v>
      </c>
      <c r="B535" s="9" t="s">
        <v>610</v>
      </c>
      <c r="C535" s="9" t="str">
        <f aca="false">IFERROR(INDEX(Destination!$B$2:$B$501,MATCH(B535,Destination!$A$2:$A$501,0)),"")</f>
        <v>Laknavaram</v>
      </c>
      <c r="D535" s="9" t="s">
        <v>616</v>
      </c>
      <c r="E535" s="9" t="str">
        <f aca="false">IFERROR(INDEX(Destination!$B$2:$B$501,MATCH(D535,Destination!$A$2:$A$501,0)),"")</f>
        <v>Thousand Pillar Temple</v>
      </c>
      <c r="F535" s="9" t="s">
        <v>1364</v>
      </c>
      <c r="G535" s="12" t="n">
        <f aca="false">INDEX(Destination!$F$2:$F$501,MATCH(B535,Destination!$A$2:$A$501,0))</f>
        <v>18.09</v>
      </c>
      <c r="H535" s="12" t="n">
        <f aca="false">INDEX(Destination!$G$2:$G$501,MATCH(B535,Destination!$A$2:$A$501,0))</f>
        <v>79.96</v>
      </c>
      <c r="I535" s="12" t="n">
        <f aca="false">INDEX(Destination!$F$2:$F$501,MATCH(D535,Destination!$A$2:$A$501,0))</f>
        <v>18</v>
      </c>
      <c r="J535" s="12" t="n">
        <f aca="false">INDEX(Destination!$G$2:$G$501,MATCH(D535,Destination!$A$2:$A$501,0))</f>
        <v>79.57</v>
      </c>
      <c r="K535" s="17" t="n">
        <f aca="false">Assumptions!$B$2*2*ASIN(SQRT(SIN(RADIANS(I535-G535)/2)^2+COS(RADIANS(G535))*COS(RADIANS(I535))*SIN(RADIANS(J535-H535)/2)^2))</f>
        <v>42.4300610804678</v>
      </c>
      <c r="L535" s="18" t="n">
        <f aca="false">K535*Assumptions!$B$3</f>
        <v>55.1590794046082</v>
      </c>
      <c r="M535" s="19" t="n">
        <f aca="false">L535/Assumptions!$B$4</f>
        <v>1.2257573201024</v>
      </c>
      <c r="N535" s="9" t="s">
        <v>1365</v>
      </c>
    </row>
    <row r="536" customFormat="false" ht="15" hidden="false" customHeight="false" outlineLevel="0" collapsed="false">
      <c r="A536" s="9" t="s">
        <v>1899</v>
      </c>
      <c r="B536" s="9" t="s">
        <v>612</v>
      </c>
      <c r="C536" s="9" t="str">
        <f aca="false">IFERROR(INDEX(Destination!$B$2:$B$501,MATCH(B536,Destination!$A$2:$A$501,0)),"")</f>
        <v>Ananthagiri Hills</v>
      </c>
      <c r="D536" s="9" t="s">
        <v>1008</v>
      </c>
      <c r="E536" s="9" t="str">
        <f aca="false">IFERROR(INDEX(Destination!$B$2:$B$501,MATCH(D536,Destination!$A$2:$A$501,0)),"")</f>
        <v>Hyderabad Heritage</v>
      </c>
      <c r="F536" s="9" t="s">
        <v>1364</v>
      </c>
      <c r="G536" s="12" t="n">
        <f aca="false">INDEX(Destination!$F$2:$F$501,MATCH(B536,Destination!$A$2:$A$501,0))</f>
        <v>17.32</v>
      </c>
      <c r="H536" s="12" t="n">
        <f aca="false">INDEX(Destination!$G$2:$G$501,MATCH(B536,Destination!$A$2:$A$501,0))</f>
        <v>77.87</v>
      </c>
      <c r="I536" s="12" t="n">
        <f aca="false">INDEX(Destination!$F$2:$F$501,MATCH(D536,Destination!$A$2:$A$501,0))</f>
        <v>17.36</v>
      </c>
      <c r="J536" s="12" t="n">
        <f aca="false">INDEX(Destination!$G$2:$G$501,MATCH(D536,Destination!$A$2:$A$501,0))</f>
        <v>78.47</v>
      </c>
      <c r="K536" s="17" t="n">
        <f aca="false">Assumptions!$B$2*2*ASIN(SQRT(SIN(RADIANS(I536-G536)/2)^2+COS(RADIANS(G536))*COS(RADIANS(I536))*SIN(RADIANS(J536-H536)/2)^2))</f>
        <v>63.8399701037792</v>
      </c>
      <c r="L536" s="18" t="n">
        <f aca="false">K536*Assumptions!$B$3</f>
        <v>82.9919611349129</v>
      </c>
      <c r="M536" s="19" t="n">
        <f aca="false">L536/Assumptions!$B$4</f>
        <v>1.84426580299807</v>
      </c>
      <c r="N536" s="9" t="s">
        <v>1365</v>
      </c>
    </row>
    <row r="537" customFormat="false" ht="15" hidden="false" customHeight="false" outlineLevel="0" collapsed="false">
      <c r="A537" s="9" t="s">
        <v>1900</v>
      </c>
      <c r="B537" s="9" t="s">
        <v>614</v>
      </c>
      <c r="C537" s="9" t="str">
        <f aca="false">IFERROR(INDEX(Destination!$B$2:$B$501,MATCH(B537,Destination!$A$2:$A$501,0)),"")</f>
        <v>Pocharam</v>
      </c>
      <c r="D537" s="9" t="s">
        <v>1008</v>
      </c>
      <c r="E537" s="9" t="str">
        <f aca="false">IFERROR(INDEX(Destination!$B$2:$B$501,MATCH(D537,Destination!$A$2:$A$501,0)),"")</f>
        <v>Hyderabad Heritage</v>
      </c>
      <c r="F537" s="9" t="s">
        <v>1364</v>
      </c>
      <c r="G537" s="12" t="n">
        <f aca="false">INDEX(Destination!$F$2:$F$501,MATCH(B537,Destination!$A$2:$A$501,0))</f>
        <v>18.02</v>
      </c>
      <c r="H537" s="12" t="n">
        <f aca="false">INDEX(Destination!$G$2:$G$501,MATCH(B537,Destination!$A$2:$A$501,0))</f>
        <v>78.18</v>
      </c>
      <c r="I537" s="12" t="n">
        <f aca="false">INDEX(Destination!$F$2:$F$501,MATCH(D537,Destination!$A$2:$A$501,0))</f>
        <v>17.36</v>
      </c>
      <c r="J537" s="12" t="n">
        <f aca="false">INDEX(Destination!$G$2:$G$501,MATCH(D537,Destination!$A$2:$A$501,0))</f>
        <v>78.47</v>
      </c>
      <c r="K537" s="17" t="n">
        <f aca="false">Assumptions!$B$2*2*ASIN(SQRT(SIN(RADIANS(I537-G537)/2)^2+COS(RADIANS(G537))*COS(RADIANS(I537))*SIN(RADIANS(J537-H537)/2)^2))</f>
        <v>79.5594461147285</v>
      </c>
      <c r="L537" s="18" t="n">
        <f aca="false">K537*Assumptions!$B$3</f>
        <v>103.427279949147</v>
      </c>
      <c r="M537" s="19" t="n">
        <f aca="false">L537/Assumptions!$B$4</f>
        <v>2.29838399886994</v>
      </c>
      <c r="N537" s="9" t="s">
        <v>1365</v>
      </c>
    </row>
    <row r="538" customFormat="false" ht="15" hidden="false" customHeight="false" outlineLevel="0" collapsed="false">
      <c r="A538" s="9" t="s">
        <v>1901</v>
      </c>
      <c r="B538" s="9" t="s">
        <v>619</v>
      </c>
      <c r="C538" s="9" t="str">
        <f aca="false">IFERROR(INDEX(Destination!$B$2:$B$501,MATCH(B538,Destination!$A$2:$A$501,0)),"")</f>
        <v>Bhubaneswar</v>
      </c>
      <c r="D538" s="9" t="s">
        <v>629</v>
      </c>
      <c r="E538" s="9" t="str">
        <f aca="false">IFERROR(INDEX(Destination!$B$2:$B$501,MATCH(D538,Destination!$A$2:$A$501,0)),"")</f>
        <v>Cuttack</v>
      </c>
      <c r="F538" s="9" t="s">
        <v>1364</v>
      </c>
      <c r="G538" s="12" t="n">
        <f aca="false">INDEX(Destination!$F$2:$F$501,MATCH(B538,Destination!$A$2:$A$501,0))</f>
        <v>20.3</v>
      </c>
      <c r="H538" s="12" t="n">
        <f aca="false">INDEX(Destination!$G$2:$G$501,MATCH(B538,Destination!$A$2:$A$501,0))</f>
        <v>85.82</v>
      </c>
      <c r="I538" s="12" t="n">
        <f aca="false">INDEX(Destination!$F$2:$F$501,MATCH(D538,Destination!$A$2:$A$501,0))</f>
        <v>20.46</v>
      </c>
      <c r="J538" s="12" t="n">
        <f aca="false">INDEX(Destination!$G$2:$G$501,MATCH(D538,Destination!$A$2:$A$501,0))</f>
        <v>85.88</v>
      </c>
      <c r="K538" s="17" t="n">
        <f aca="false">Assumptions!$B$2*2*ASIN(SQRT(SIN(RADIANS(I538-G538)/2)^2+COS(RADIANS(G538))*COS(RADIANS(I538))*SIN(RADIANS(J538-H538)/2)^2))</f>
        <v>18.8584133479572</v>
      </c>
      <c r="L538" s="18" t="n">
        <f aca="false">K538*Assumptions!$B$3</f>
        <v>24.5159373523444</v>
      </c>
      <c r="M538" s="19" t="n">
        <f aca="false">L538/Assumptions!$B$4</f>
        <v>0.544798607829875</v>
      </c>
      <c r="N538" s="9" t="s">
        <v>1365</v>
      </c>
    </row>
    <row r="539" customFormat="false" ht="15" hidden="false" customHeight="false" outlineLevel="0" collapsed="false">
      <c r="A539" s="9" t="s">
        <v>1902</v>
      </c>
      <c r="B539" s="9" t="s">
        <v>619</v>
      </c>
      <c r="C539" s="9" t="str">
        <f aca="false">IFERROR(INDEX(Destination!$B$2:$B$501,MATCH(B539,Destination!$A$2:$A$501,0)),"")</f>
        <v>Bhubaneswar</v>
      </c>
      <c r="D539" s="9" t="s">
        <v>642</v>
      </c>
      <c r="E539" s="9" t="str">
        <f aca="false">IFERROR(INDEX(Destination!$B$2:$B$501,MATCH(D539,Destination!$A$2:$A$501,0)),"")</f>
        <v>Dhauli</v>
      </c>
      <c r="F539" s="9" t="s">
        <v>1364</v>
      </c>
      <c r="G539" s="12" t="n">
        <f aca="false">INDEX(Destination!$F$2:$F$501,MATCH(B539,Destination!$A$2:$A$501,0))</f>
        <v>20.3</v>
      </c>
      <c r="H539" s="12" t="n">
        <f aca="false">INDEX(Destination!$G$2:$G$501,MATCH(B539,Destination!$A$2:$A$501,0))</f>
        <v>85.82</v>
      </c>
      <c r="I539" s="12" t="n">
        <f aca="false">INDEX(Destination!$F$2:$F$501,MATCH(D539,Destination!$A$2:$A$501,0))</f>
        <v>20.19</v>
      </c>
      <c r="J539" s="12" t="n">
        <f aca="false">INDEX(Destination!$G$2:$G$501,MATCH(D539,Destination!$A$2:$A$501,0))</f>
        <v>85.84</v>
      </c>
      <c r="K539" s="17" t="n">
        <f aca="false">Assumptions!$B$2*2*ASIN(SQRT(SIN(RADIANS(I539-G539)/2)^2+COS(RADIANS(G539))*COS(RADIANS(I539))*SIN(RADIANS(J539-H539)/2)^2))</f>
        <v>12.4081300650331</v>
      </c>
      <c r="L539" s="18" t="n">
        <f aca="false">K539*Assumptions!$B$3</f>
        <v>16.1305690845431</v>
      </c>
      <c r="M539" s="19" t="n">
        <f aca="false">L539/Assumptions!$B$4</f>
        <v>0.358457090767624</v>
      </c>
      <c r="N539" s="9" t="s">
        <v>1365</v>
      </c>
    </row>
    <row r="540" customFormat="false" ht="15" hidden="false" customHeight="false" outlineLevel="0" collapsed="false">
      <c r="A540" s="9" t="s">
        <v>1903</v>
      </c>
      <c r="B540" s="9" t="s">
        <v>619</v>
      </c>
      <c r="C540" s="9" t="str">
        <f aca="false">IFERROR(INDEX(Destination!$B$2:$B$501,MATCH(B540,Destination!$A$2:$A$501,0)),"")</f>
        <v>Bhubaneswar</v>
      </c>
      <c r="D540" s="9" t="s">
        <v>644</v>
      </c>
      <c r="E540" s="9" t="str">
        <f aca="false">IFERROR(INDEX(Destination!$B$2:$B$501,MATCH(D540,Destination!$A$2:$A$501,0)),"")</f>
        <v>Raghurajpur</v>
      </c>
      <c r="F540" s="9" t="s">
        <v>1364</v>
      </c>
      <c r="G540" s="12" t="n">
        <f aca="false">INDEX(Destination!$F$2:$F$501,MATCH(B540,Destination!$A$2:$A$501,0))</f>
        <v>20.3</v>
      </c>
      <c r="H540" s="12" t="n">
        <f aca="false">INDEX(Destination!$G$2:$G$501,MATCH(B540,Destination!$A$2:$A$501,0))</f>
        <v>85.82</v>
      </c>
      <c r="I540" s="12" t="n">
        <f aca="false">INDEX(Destination!$F$2:$F$501,MATCH(D540,Destination!$A$2:$A$501,0))</f>
        <v>19.9</v>
      </c>
      <c r="J540" s="12" t="n">
        <f aca="false">INDEX(Destination!$G$2:$G$501,MATCH(D540,Destination!$A$2:$A$501,0))</f>
        <v>85.88</v>
      </c>
      <c r="K540" s="17" t="n">
        <f aca="false">Assumptions!$B$2*2*ASIN(SQRT(SIN(RADIANS(I540-G540)/2)^2+COS(RADIANS(G540))*COS(RADIANS(I540))*SIN(RADIANS(J540-H540)/2)^2))</f>
        <v>44.9170821952358</v>
      </c>
      <c r="L540" s="18" t="n">
        <f aca="false">K540*Assumptions!$B$3</f>
        <v>58.3922068538065</v>
      </c>
      <c r="M540" s="19" t="n">
        <f aca="false">L540/Assumptions!$B$4</f>
        <v>1.29760459675126</v>
      </c>
      <c r="N540" s="9" t="s">
        <v>1365</v>
      </c>
    </row>
    <row r="541" customFormat="false" ht="15" hidden="false" customHeight="false" outlineLevel="0" collapsed="false">
      <c r="A541" s="9" t="s">
        <v>1904</v>
      </c>
      <c r="B541" s="9" t="s">
        <v>619</v>
      </c>
      <c r="C541" s="9" t="str">
        <f aca="false">IFERROR(INDEX(Destination!$B$2:$B$501,MATCH(B541,Destination!$A$2:$A$501,0)),"")</f>
        <v>Bhubaneswar</v>
      </c>
      <c r="D541" s="9" t="s">
        <v>648</v>
      </c>
      <c r="E541" s="9" t="str">
        <f aca="false">IFERROR(INDEX(Destination!$B$2:$B$501,MATCH(D541,Destination!$A$2:$A$501,0)),"")</f>
        <v>Bhitarkanika</v>
      </c>
      <c r="F541" s="9" t="s">
        <v>1364</v>
      </c>
      <c r="G541" s="12" t="n">
        <f aca="false">INDEX(Destination!$F$2:$F$501,MATCH(B541,Destination!$A$2:$A$501,0))</f>
        <v>20.3</v>
      </c>
      <c r="H541" s="12" t="n">
        <f aca="false">INDEX(Destination!$G$2:$G$501,MATCH(B541,Destination!$A$2:$A$501,0))</f>
        <v>85.82</v>
      </c>
      <c r="I541" s="12" t="n">
        <f aca="false">INDEX(Destination!$F$2:$F$501,MATCH(D541,Destination!$A$2:$A$501,0))</f>
        <v>20.72</v>
      </c>
      <c r="J541" s="12" t="n">
        <f aca="false">INDEX(Destination!$G$2:$G$501,MATCH(D541,Destination!$A$2:$A$501,0))</f>
        <v>86.87</v>
      </c>
      <c r="K541" s="17" t="n">
        <f aca="false">Assumptions!$B$2*2*ASIN(SQRT(SIN(RADIANS(I541-G541)/2)^2+COS(RADIANS(G541))*COS(RADIANS(I541))*SIN(RADIANS(J541-H541)/2)^2))</f>
        <v>118.90829625718</v>
      </c>
      <c r="L541" s="18" t="n">
        <f aca="false">K541*Assumptions!$B$3</f>
        <v>154.580785134334</v>
      </c>
      <c r="M541" s="19" t="n">
        <f aca="false">L541/Assumptions!$B$4</f>
        <v>3.43512855854076</v>
      </c>
      <c r="N541" s="9" t="s">
        <v>1365</v>
      </c>
    </row>
    <row r="542" customFormat="false" ht="15" hidden="false" customHeight="false" outlineLevel="0" collapsed="false">
      <c r="A542" s="9" t="s">
        <v>1905</v>
      </c>
      <c r="B542" s="9" t="s">
        <v>623</v>
      </c>
      <c r="C542" s="9" t="str">
        <f aca="false">IFERROR(INDEX(Destination!$B$2:$B$501,MATCH(B542,Destination!$A$2:$A$501,0)),"")</f>
        <v>Puri</v>
      </c>
      <c r="D542" s="9" t="s">
        <v>625</v>
      </c>
      <c r="E542" s="9" t="str">
        <f aca="false">IFERROR(INDEX(Destination!$B$2:$B$501,MATCH(D542,Destination!$A$2:$A$501,0)),"")</f>
        <v>Konark</v>
      </c>
      <c r="F542" s="9" t="s">
        <v>1364</v>
      </c>
      <c r="G542" s="12" t="n">
        <f aca="false">INDEX(Destination!$F$2:$F$501,MATCH(B542,Destination!$A$2:$A$501,0))</f>
        <v>19.81</v>
      </c>
      <c r="H542" s="12" t="n">
        <f aca="false">INDEX(Destination!$G$2:$G$501,MATCH(B542,Destination!$A$2:$A$501,0))</f>
        <v>85.83</v>
      </c>
      <c r="I542" s="12" t="n">
        <f aca="false">INDEX(Destination!$F$2:$F$501,MATCH(D542,Destination!$A$2:$A$501,0))</f>
        <v>19.89</v>
      </c>
      <c r="J542" s="12" t="n">
        <f aca="false">INDEX(Destination!$G$2:$G$501,MATCH(D542,Destination!$A$2:$A$501,0))</f>
        <v>86.09</v>
      </c>
      <c r="K542" s="17" t="n">
        <f aca="false">Assumptions!$B$2*2*ASIN(SQRT(SIN(RADIANS(I542-G542)/2)^2+COS(RADIANS(G542))*COS(RADIANS(I542))*SIN(RADIANS(J542-H542)/2)^2))</f>
        <v>28.6109709692077</v>
      </c>
      <c r="L542" s="18" t="n">
        <f aca="false">K542*Assumptions!$B$3</f>
        <v>37.19426225997</v>
      </c>
      <c r="M542" s="19" t="n">
        <f aca="false">L542/Assumptions!$B$4</f>
        <v>0.826539161332667</v>
      </c>
      <c r="N542" s="9" t="s">
        <v>1365</v>
      </c>
    </row>
    <row r="543" customFormat="false" ht="15" hidden="false" customHeight="false" outlineLevel="0" collapsed="false">
      <c r="A543" s="9" t="s">
        <v>1906</v>
      </c>
      <c r="B543" s="9" t="s">
        <v>623</v>
      </c>
      <c r="C543" s="9" t="str">
        <f aca="false">IFERROR(INDEX(Destination!$B$2:$B$501,MATCH(B543,Destination!$A$2:$A$501,0)),"")</f>
        <v>Puri</v>
      </c>
      <c r="D543" s="9" t="s">
        <v>627</v>
      </c>
      <c r="E543" s="9" t="str">
        <f aca="false">IFERROR(INDEX(Destination!$B$2:$B$501,MATCH(D543,Destination!$A$2:$A$501,0)),"")</f>
        <v>Chilika Lake</v>
      </c>
      <c r="F543" s="9" t="s">
        <v>1364</v>
      </c>
      <c r="G543" s="12" t="n">
        <f aca="false">INDEX(Destination!$F$2:$F$501,MATCH(B543,Destination!$A$2:$A$501,0))</f>
        <v>19.81</v>
      </c>
      <c r="H543" s="12" t="n">
        <f aca="false">INDEX(Destination!$G$2:$G$501,MATCH(B543,Destination!$A$2:$A$501,0))</f>
        <v>85.83</v>
      </c>
      <c r="I543" s="12" t="n">
        <f aca="false">INDEX(Destination!$F$2:$F$501,MATCH(D543,Destination!$A$2:$A$501,0))</f>
        <v>19.72</v>
      </c>
      <c r="J543" s="12" t="n">
        <f aca="false">INDEX(Destination!$G$2:$G$501,MATCH(D543,Destination!$A$2:$A$501,0))</f>
        <v>85.32</v>
      </c>
      <c r="K543" s="17" t="n">
        <f aca="false">Assumptions!$B$2*2*ASIN(SQRT(SIN(RADIANS(I543-G543)/2)^2+COS(RADIANS(G543))*COS(RADIANS(I543))*SIN(RADIANS(J543-H543)/2)^2))</f>
        <v>54.2986824591654</v>
      </c>
      <c r="L543" s="18" t="n">
        <f aca="false">K543*Assumptions!$B$3</f>
        <v>70.588287196915</v>
      </c>
      <c r="M543" s="19" t="n">
        <f aca="false">L543/Assumptions!$B$4</f>
        <v>1.56862860437589</v>
      </c>
      <c r="N543" s="9" t="s">
        <v>1365</v>
      </c>
    </row>
    <row r="544" customFormat="false" ht="15" hidden="false" customHeight="false" outlineLevel="0" collapsed="false">
      <c r="A544" s="9" t="s">
        <v>1907</v>
      </c>
      <c r="B544" s="9" t="s">
        <v>623</v>
      </c>
      <c r="C544" s="9" t="str">
        <f aca="false">IFERROR(INDEX(Destination!$B$2:$B$501,MATCH(B544,Destination!$A$2:$A$501,0)),"")</f>
        <v>Puri</v>
      </c>
      <c r="D544" s="9" t="s">
        <v>633</v>
      </c>
      <c r="E544" s="9" t="str">
        <f aca="false">IFERROR(INDEX(Destination!$B$2:$B$501,MATCH(D544,Destination!$A$2:$A$501,0)),"")</f>
        <v>Gopalpur</v>
      </c>
      <c r="F544" s="9" t="s">
        <v>1364</v>
      </c>
      <c r="G544" s="12" t="n">
        <f aca="false">INDEX(Destination!$F$2:$F$501,MATCH(B544,Destination!$A$2:$A$501,0))</f>
        <v>19.81</v>
      </c>
      <c r="H544" s="12" t="n">
        <f aca="false">INDEX(Destination!$G$2:$G$501,MATCH(B544,Destination!$A$2:$A$501,0))</f>
        <v>85.83</v>
      </c>
      <c r="I544" s="12" t="n">
        <f aca="false">INDEX(Destination!$F$2:$F$501,MATCH(D544,Destination!$A$2:$A$501,0))</f>
        <v>19.26</v>
      </c>
      <c r="J544" s="12" t="n">
        <f aca="false">INDEX(Destination!$G$2:$G$501,MATCH(D544,Destination!$A$2:$A$501,0))</f>
        <v>84.91</v>
      </c>
      <c r="K544" s="17" t="n">
        <f aca="false">Assumptions!$B$2*2*ASIN(SQRT(SIN(RADIANS(I544-G544)/2)^2+COS(RADIANS(G544))*COS(RADIANS(I544))*SIN(RADIANS(J544-H544)/2)^2))</f>
        <v>114.171406477931</v>
      </c>
      <c r="L544" s="18" t="n">
        <f aca="false">K544*Assumptions!$B$3</f>
        <v>148.42282842131</v>
      </c>
      <c r="M544" s="19" t="n">
        <f aca="false">L544/Assumptions!$B$4</f>
        <v>3.29828507602912</v>
      </c>
      <c r="N544" s="9" t="s">
        <v>1365</v>
      </c>
    </row>
    <row r="545" customFormat="false" ht="15" hidden="false" customHeight="false" outlineLevel="0" collapsed="false">
      <c r="A545" s="9" t="s">
        <v>1908</v>
      </c>
      <c r="B545" s="9" t="s">
        <v>623</v>
      </c>
      <c r="C545" s="9" t="str">
        <f aca="false">IFERROR(INDEX(Destination!$B$2:$B$501,MATCH(B545,Destination!$A$2:$A$501,0)),"")</f>
        <v>Puri</v>
      </c>
      <c r="D545" s="9" t="s">
        <v>642</v>
      </c>
      <c r="E545" s="9" t="str">
        <f aca="false">IFERROR(INDEX(Destination!$B$2:$B$501,MATCH(D545,Destination!$A$2:$A$501,0)),"")</f>
        <v>Dhauli</v>
      </c>
      <c r="F545" s="9" t="s">
        <v>1364</v>
      </c>
      <c r="G545" s="12" t="n">
        <f aca="false">INDEX(Destination!$F$2:$F$501,MATCH(B545,Destination!$A$2:$A$501,0))</f>
        <v>19.81</v>
      </c>
      <c r="H545" s="12" t="n">
        <f aca="false">INDEX(Destination!$G$2:$G$501,MATCH(B545,Destination!$A$2:$A$501,0))</f>
        <v>85.83</v>
      </c>
      <c r="I545" s="12" t="n">
        <f aca="false">INDEX(Destination!$F$2:$F$501,MATCH(D545,Destination!$A$2:$A$501,0))</f>
        <v>20.19</v>
      </c>
      <c r="J545" s="12" t="n">
        <f aca="false">INDEX(Destination!$G$2:$G$501,MATCH(D545,Destination!$A$2:$A$501,0))</f>
        <v>85.84</v>
      </c>
      <c r="K545" s="17" t="n">
        <f aca="false">Assumptions!$B$2*2*ASIN(SQRT(SIN(RADIANS(I545-G545)/2)^2+COS(RADIANS(G545))*COS(RADIANS(I545))*SIN(RADIANS(J545-H545)/2)^2))</f>
        <v>42.2669895041707</v>
      </c>
      <c r="L545" s="18" t="n">
        <f aca="false">K545*Assumptions!$B$3</f>
        <v>54.9470863554219</v>
      </c>
      <c r="M545" s="19" t="n">
        <f aca="false">L545/Assumptions!$B$4</f>
        <v>1.22104636345382</v>
      </c>
      <c r="N545" s="9" t="s">
        <v>1365</v>
      </c>
    </row>
    <row r="546" customFormat="false" ht="15" hidden="false" customHeight="false" outlineLevel="0" collapsed="false">
      <c r="A546" s="9" t="s">
        <v>1909</v>
      </c>
      <c r="B546" s="9" t="s">
        <v>623</v>
      </c>
      <c r="C546" s="9" t="str">
        <f aca="false">IFERROR(INDEX(Destination!$B$2:$B$501,MATCH(B546,Destination!$A$2:$A$501,0)),"")</f>
        <v>Puri</v>
      </c>
      <c r="D546" s="9" t="s">
        <v>644</v>
      </c>
      <c r="E546" s="9" t="str">
        <f aca="false">IFERROR(INDEX(Destination!$B$2:$B$501,MATCH(D546,Destination!$A$2:$A$501,0)),"")</f>
        <v>Raghurajpur</v>
      </c>
      <c r="F546" s="9" t="s">
        <v>1364</v>
      </c>
      <c r="G546" s="12" t="n">
        <f aca="false">INDEX(Destination!$F$2:$F$501,MATCH(B546,Destination!$A$2:$A$501,0))</f>
        <v>19.81</v>
      </c>
      <c r="H546" s="12" t="n">
        <f aca="false">INDEX(Destination!$G$2:$G$501,MATCH(B546,Destination!$A$2:$A$501,0))</f>
        <v>85.83</v>
      </c>
      <c r="I546" s="12" t="n">
        <f aca="false">INDEX(Destination!$F$2:$F$501,MATCH(D546,Destination!$A$2:$A$501,0))</f>
        <v>19.9</v>
      </c>
      <c r="J546" s="12" t="n">
        <f aca="false">INDEX(Destination!$G$2:$G$501,MATCH(D546,Destination!$A$2:$A$501,0))</f>
        <v>85.88</v>
      </c>
      <c r="K546" s="17" t="n">
        <f aca="false">Assumptions!$B$2*2*ASIN(SQRT(SIN(RADIANS(I546-G546)/2)^2+COS(RADIANS(G546))*COS(RADIANS(I546))*SIN(RADIANS(J546-H546)/2)^2))</f>
        <v>11.291410591719</v>
      </c>
      <c r="L546" s="18" t="n">
        <f aca="false">K546*Assumptions!$B$3</f>
        <v>14.6788337692348</v>
      </c>
      <c r="M546" s="19" t="n">
        <f aca="false">L546/Assumptions!$B$4</f>
        <v>0.326196305982995</v>
      </c>
      <c r="N546" s="9" t="s">
        <v>1365</v>
      </c>
    </row>
    <row r="547" customFormat="false" ht="15" hidden="false" customHeight="false" outlineLevel="0" collapsed="false">
      <c r="A547" s="9" t="s">
        <v>1910</v>
      </c>
      <c r="B547" s="9" t="s">
        <v>625</v>
      </c>
      <c r="C547" s="9" t="str">
        <f aca="false">IFERROR(INDEX(Destination!$B$2:$B$501,MATCH(B547,Destination!$A$2:$A$501,0)),"")</f>
        <v>Konark</v>
      </c>
      <c r="D547" s="9" t="s">
        <v>642</v>
      </c>
      <c r="E547" s="9" t="str">
        <f aca="false">IFERROR(INDEX(Destination!$B$2:$B$501,MATCH(D547,Destination!$A$2:$A$501,0)),"")</f>
        <v>Dhauli</v>
      </c>
      <c r="F547" s="9" t="s">
        <v>1364</v>
      </c>
      <c r="G547" s="12" t="n">
        <f aca="false">INDEX(Destination!$F$2:$F$501,MATCH(B547,Destination!$A$2:$A$501,0))</f>
        <v>19.89</v>
      </c>
      <c r="H547" s="12" t="n">
        <f aca="false">INDEX(Destination!$G$2:$G$501,MATCH(B547,Destination!$A$2:$A$501,0))</f>
        <v>86.09</v>
      </c>
      <c r="I547" s="12" t="n">
        <f aca="false">INDEX(Destination!$F$2:$F$501,MATCH(D547,Destination!$A$2:$A$501,0))</f>
        <v>20.19</v>
      </c>
      <c r="J547" s="12" t="n">
        <f aca="false">INDEX(Destination!$G$2:$G$501,MATCH(D547,Destination!$A$2:$A$501,0))</f>
        <v>85.84</v>
      </c>
      <c r="K547" s="17" t="n">
        <f aca="false">Assumptions!$B$2*2*ASIN(SQRT(SIN(RADIANS(I547-G547)/2)^2+COS(RADIANS(G547))*COS(RADIANS(I547))*SIN(RADIANS(J547-H547)/2)^2))</f>
        <v>42.3652133540413</v>
      </c>
      <c r="L547" s="18" t="n">
        <f aca="false">K547*Assumptions!$B$3</f>
        <v>55.0747773602537</v>
      </c>
      <c r="M547" s="19" t="n">
        <f aca="false">L547/Assumptions!$B$4</f>
        <v>1.22388394133897</v>
      </c>
      <c r="N547" s="9" t="s">
        <v>1365</v>
      </c>
    </row>
    <row r="548" customFormat="false" ht="15" hidden="false" customHeight="false" outlineLevel="0" collapsed="false">
      <c r="A548" s="9" t="s">
        <v>1911</v>
      </c>
      <c r="B548" s="9" t="s">
        <v>625</v>
      </c>
      <c r="C548" s="9" t="str">
        <f aca="false">IFERROR(INDEX(Destination!$B$2:$B$501,MATCH(B548,Destination!$A$2:$A$501,0)),"")</f>
        <v>Konark</v>
      </c>
      <c r="D548" s="9" t="s">
        <v>644</v>
      </c>
      <c r="E548" s="9" t="str">
        <f aca="false">IFERROR(INDEX(Destination!$B$2:$B$501,MATCH(D548,Destination!$A$2:$A$501,0)),"")</f>
        <v>Raghurajpur</v>
      </c>
      <c r="F548" s="9" t="s">
        <v>1364</v>
      </c>
      <c r="G548" s="12" t="n">
        <f aca="false">INDEX(Destination!$F$2:$F$501,MATCH(B548,Destination!$A$2:$A$501,0))</f>
        <v>19.89</v>
      </c>
      <c r="H548" s="12" t="n">
        <f aca="false">INDEX(Destination!$G$2:$G$501,MATCH(B548,Destination!$A$2:$A$501,0))</f>
        <v>86.09</v>
      </c>
      <c r="I548" s="12" t="n">
        <f aca="false">INDEX(Destination!$F$2:$F$501,MATCH(D548,Destination!$A$2:$A$501,0))</f>
        <v>19.9</v>
      </c>
      <c r="J548" s="12" t="n">
        <f aca="false">INDEX(Destination!$G$2:$G$501,MATCH(D548,Destination!$A$2:$A$501,0))</f>
        <v>85.88</v>
      </c>
      <c r="K548" s="17" t="n">
        <f aca="false">Assumptions!$B$2*2*ASIN(SQRT(SIN(RADIANS(I548-G548)/2)^2+COS(RADIANS(G548))*COS(RADIANS(I548))*SIN(RADIANS(J548-H548)/2)^2))</f>
        <v>21.9854359473579</v>
      </c>
      <c r="L548" s="18" t="n">
        <f aca="false">K548*Assumptions!$B$3</f>
        <v>28.5810667315653</v>
      </c>
      <c r="M548" s="19" t="n">
        <f aca="false">L548/Assumptions!$B$4</f>
        <v>0.635134816257006</v>
      </c>
      <c r="N548" s="9" t="s">
        <v>1365</v>
      </c>
    </row>
    <row r="549" customFormat="false" ht="15" hidden="false" customHeight="false" outlineLevel="0" collapsed="false">
      <c r="A549" s="9" t="s">
        <v>1912</v>
      </c>
      <c r="B549" s="9" t="s">
        <v>627</v>
      </c>
      <c r="C549" s="9" t="str">
        <f aca="false">IFERROR(INDEX(Destination!$B$2:$B$501,MATCH(B549,Destination!$A$2:$A$501,0)),"")</f>
        <v>Chilika Lake</v>
      </c>
      <c r="D549" s="9" t="s">
        <v>633</v>
      </c>
      <c r="E549" s="9" t="str">
        <f aca="false">IFERROR(INDEX(Destination!$B$2:$B$501,MATCH(D549,Destination!$A$2:$A$501,0)),"")</f>
        <v>Gopalpur</v>
      </c>
      <c r="F549" s="9" t="s">
        <v>1364</v>
      </c>
      <c r="G549" s="12" t="n">
        <f aca="false">INDEX(Destination!$F$2:$F$501,MATCH(B549,Destination!$A$2:$A$501,0))</f>
        <v>19.72</v>
      </c>
      <c r="H549" s="12" t="n">
        <f aca="false">INDEX(Destination!$G$2:$G$501,MATCH(B549,Destination!$A$2:$A$501,0))</f>
        <v>85.32</v>
      </c>
      <c r="I549" s="12" t="n">
        <f aca="false">INDEX(Destination!$F$2:$F$501,MATCH(D549,Destination!$A$2:$A$501,0))</f>
        <v>19.26</v>
      </c>
      <c r="J549" s="12" t="n">
        <f aca="false">INDEX(Destination!$G$2:$G$501,MATCH(D549,Destination!$A$2:$A$501,0))</f>
        <v>84.91</v>
      </c>
      <c r="K549" s="17" t="n">
        <f aca="false">Assumptions!$B$2*2*ASIN(SQRT(SIN(RADIANS(I549-G549)/2)^2+COS(RADIANS(G549))*COS(RADIANS(I549))*SIN(RADIANS(J549-H549)/2)^2))</f>
        <v>66.8082959484977</v>
      </c>
      <c r="L549" s="18" t="n">
        <f aca="false">K549*Assumptions!$B$3</f>
        <v>86.850784733047</v>
      </c>
      <c r="M549" s="19" t="n">
        <f aca="false">L549/Assumptions!$B$4</f>
        <v>1.93001743851216</v>
      </c>
      <c r="N549" s="9" t="s">
        <v>1365</v>
      </c>
    </row>
    <row r="550" customFormat="false" ht="15" hidden="false" customHeight="false" outlineLevel="0" collapsed="false">
      <c r="A550" s="9" t="s">
        <v>1913</v>
      </c>
      <c r="B550" s="9" t="s">
        <v>627</v>
      </c>
      <c r="C550" s="9" t="str">
        <f aca="false">IFERROR(INDEX(Destination!$B$2:$B$501,MATCH(B550,Destination!$A$2:$A$501,0)),"")</f>
        <v>Chilika Lake</v>
      </c>
      <c r="D550" s="9" t="s">
        <v>640</v>
      </c>
      <c r="E550" s="9" t="str">
        <f aca="false">IFERROR(INDEX(Destination!$B$2:$B$501,MATCH(D550,Destination!$A$2:$A$501,0)),"")</f>
        <v>Daringbadi</v>
      </c>
      <c r="F550" s="9" t="s">
        <v>1364</v>
      </c>
      <c r="G550" s="12" t="n">
        <f aca="false">INDEX(Destination!$F$2:$F$501,MATCH(B550,Destination!$A$2:$A$501,0))</f>
        <v>19.72</v>
      </c>
      <c r="H550" s="12" t="n">
        <f aca="false">INDEX(Destination!$G$2:$G$501,MATCH(B550,Destination!$A$2:$A$501,0))</f>
        <v>85.32</v>
      </c>
      <c r="I550" s="12" t="n">
        <f aca="false">INDEX(Destination!$F$2:$F$501,MATCH(D550,Destination!$A$2:$A$501,0))</f>
        <v>19.91</v>
      </c>
      <c r="J550" s="12" t="n">
        <f aca="false">INDEX(Destination!$G$2:$G$501,MATCH(D550,Destination!$A$2:$A$501,0))</f>
        <v>84.12</v>
      </c>
      <c r="K550" s="17" t="n">
        <f aca="false">Assumptions!$B$2*2*ASIN(SQRT(SIN(RADIANS(I550-G550)/2)^2+COS(RADIANS(G550))*COS(RADIANS(I550))*SIN(RADIANS(J550-H550)/2)^2))</f>
        <v>127.298629827554</v>
      </c>
      <c r="L550" s="18" t="n">
        <f aca="false">K550*Assumptions!$B$3</f>
        <v>165.48821877582</v>
      </c>
      <c r="M550" s="19" t="n">
        <f aca="false">L550/Assumptions!$B$4</f>
        <v>3.67751597279601</v>
      </c>
      <c r="N550" s="9" t="s">
        <v>1365</v>
      </c>
    </row>
    <row r="551" customFormat="false" ht="15" hidden="false" customHeight="false" outlineLevel="0" collapsed="false">
      <c r="A551" s="9" t="s">
        <v>1914</v>
      </c>
      <c r="B551" s="9" t="s">
        <v>627</v>
      </c>
      <c r="C551" s="9" t="str">
        <f aca="false">IFERROR(INDEX(Destination!$B$2:$B$501,MATCH(B551,Destination!$A$2:$A$501,0)),"")</f>
        <v>Chilika Lake</v>
      </c>
      <c r="D551" s="9" t="s">
        <v>644</v>
      </c>
      <c r="E551" s="9" t="str">
        <f aca="false">IFERROR(INDEX(Destination!$B$2:$B$501,MATCH(D551,Destination!$A$2:$A$501,0)),"")</f>
        <v>Raghurajpur</v>
      </c>
      <c r="F551" s="9" t="s">
        <v>1364</v>
      </c>
      <c r="G551" s="12" t="n">
        <f aca="false">INDEX(Destination!$F$2:$F$501,MATCH(B551,Destination!$A$2:$A$501,0))</f>
        <v>19.72</v>
      </c>
      <c r="H551" s="12" t="n">
        <f aca="false">INDEX(Destination!$G$2:$G$501,MATCH(B551,Destination!$A$2:$A$501,0))</f>
        <v>85.32</v>
      </c>
      <c r="I551" s="12" t="n">
        <f aca="false">INDEX(Destination!$F$2:$F$501,MATCH(D551,Destination!$A$2:$A$501,0))</f>
        <v>19.9</v>
      </c>
      <c r="J551" s="12" t="n">
        <f aca="false">INDEX(Destination!$G$2:$G$501,MATCH(D551,Destination!$A$2:$A$501,0))</f>
        <v>85.88</v>
      </c>
      <c r="K551" s="17" t="n">
        <f aca="false">Assumptions!$B$2*2*ASIN(SQRT(SIN(RADIANS(I551-G551)/2)^2+COS(RADIANS(G551))*COS(RADIANS(I551))*SIN(RADIANS(J551-H551)/2)^2))</f>
        <v>61.9088186626803</v>
      </c>
      <c r="L551" s="18" t="n">
        <f aca="false">K551*Assumptions!$B$3</f>
        <v>80.4814642614845</v>
      </c>
      <c r="M551" s="19" t="n">
        <f aca="false">L551/Assumptions!$B$4</f>
        <v>1.78847698358854</v>
      </c>
      <c r="N551" s="9" t="s">
        <v>1365</v>
      </c>
    </row>
    <row r="552" customFormat="false" ht="15" hidden="false" customHeight="false" outlineLevel="0" collapsed="false">
      <c r="A552" s="9" t="s">
        <v>1915</v>
      </c>
      <c r="B552" s="9" t="s">
        <v>629</v>
      </c>
      <c r="C552" s="9" t="str">
        <f aca="false">IFERROR(INDEX(Destination!$B$2:$B$501,MATCH(B552,Destination!$A$2:$A$501,0)),"")</f>
        <v>Cuttack</v>
      </c>
      <c r="D552" s="9" t="s">
        <v>642</v>
      </c>
      <c r="E552" s="9" t="str">
        <f aca="false">IFERROR(INDEX(Destination!$B$2:$B$501,MATCH(D552,Destination!$A$2:$A$501,0)),"")</f>
        <v>Dhauli</v>
      </c>
      <c r="F552" s="9" t="s">
        <v>1364</v>
      </c>
      <c r="G552" s="12" t="n">
        <f aca="false">INDEX(Destination!$F$2:$F$501,MATCH(B552,Destination!$A$2:$A$501,0))</f>
        <v>20.46</v>
      </c>
      <c r="H552" s="12" t="n">
        <f aca="false">INDEX(Destination!$G$2:$G$501,MATCH(B552,Destination!$A$2:$A$501,0))</f>
        <v>85.88</v>
      </c>
      <c r="I552" s="12" t="n">
        <f aca="false">INDEX(Destination!$F$2:$F$501,MATCH(D552,Destination!$A$2:$A$501,0))</f>
        <v>20.19</v>
      </c>
      <c r="J552" s="12" t="n">
        <f aca="false">INDEX(Destination!$G$2:$G$501,MATCH(D552,Destination!$A$2:$A$501,0))</f>
        <v>85.84</v>
      </c>
      <c r="K552" s="17" t="n">
        <f aca="false">Assumptions!$B$2*2*ASIN(SQRT(SIN(RADIANS(I552-G552)/2)^2+COS(RADIANS(G552))*COS(RADIANS(I552))*SIN(RADIANS(J552-H552)/2)^2))</f>
        <v>30.3109617302685</v>
      </c>
      <c r="L552" s="18" t="n">
        <f aca="false">K552*Assumptions!$B$3</f>
        <v>39.4042502493491</v>
      </c>
      <c r="M552" s="19" t="n">
        <f aca="false">L552/Assumptions!$B$4</f>
        <v>0.875650005541091</v>
      </c>
      <c r="N552" s="9" t="s">
        <v>1365</v>
      </c>
    </row>
    <row r="553" customFormat="false" ht="15" hidden="false" customHeight="false" outlineLevel="0" collapsed="false">
      <c r="A553" s="9" t="s">
        <v>1916</v>
      </c>
      <c r="B553" s="9" t="s">
        <v>629</v>
      </c>
      <c r="C553" s="9" t="str">
        <f aca="false">IFERROR(INDEX(Destination!$B$2:$B$501,MATCH(B553,Destination!$A$2:$A$501,0)),"")</f>
        <v>Cuttack</v>
      </c>
      <c r="D553" s="9" t="s">
        <v>644</v>
      </c>
      <c r="E553" s="9" t="str">
        <f aca="false">IFERROR(INDEX(Destination!$B$2:$B$501,MATCH(D553,Destination!$A$2:$A$501,0)),"")</f>
        <v>Raghurajpur</v>
      </c>
      <c r="F553" s="9" t="s">
        <v>1364</v>
      </c>
      <c r="G553" s="12" t="n">
        <f aca="false">INDEX(Destination!$F$2:$F$501,MATCH(B553,Destination!$A$2:$A$501,0))</f>
        <v>20.46</v>
      </c>
      <c r="H553" s="12" t="n">
        <f aca="false">INDEX(Destination!$G$2:$G$501,MATCH(B553,Destination!$A$2:$A$501,0))</f>
        <v>85.88</v>
      </c>
      <c r="I553" s="12" t="n">
        <f aca="false">INDEX(Destination!$F$2:$F$501,MATCH(D553,Destination!$A$2:$A$501,0))</f>
        <v>19.9</v>
      </c>
      <c r="J553" s="12" t="n">
        <f aca="false">INDEX(Destination!$G$2:$G$501,MATCH(D553,Destination!$A$2:$A$501,0))</f>
        <v>85.88</v>
      </c>
      <c r="K553" s="17" t="n">
        <f aca="false">Assumptions!$B$2*2*ASIN(SQRT(SIN(RADIANS(I553-G553)/2)^2+COS(RADIANS(G553))*COS(RADIANS(I553))*SIN(RADIANS(J553-H553)/2)^2))</f>
        <v>62.2691589209532</v>
      </c>
      <c r="L553" s="18" t="n">
        <f aca="false">K553*Assumptions!$B$3</f>
        <v>80.9499065972391</v>
      </c>
      <c r="M553" s="19" t="n">
        <f aca="false">L553/Assumptions!$B$4</f>
        <v>1.79888681327198</v>
      </c>
      <c r="N553" s="9" t="s">
        <v>1365</v>
      </c>
    </row>
    <row r="554" customFormat="false" ht="15" hidden="false" customHeight="false" outlineLevel="0" collapsed="false">
      <c r="A554" s="9" t="s">
        <v>1917</v>
      </c>
      <c r="B554" s="9" t="s">
        <v>629</v>
      </c>
      <c r="C554" s="9" t="str">
        <f aca="false">IFERROR(INDEX(Destination!$B$2:$B$501,MATCH(B554,Destination!$A$2:$A$501,0)),"")</f>
        <v>Cuttack</v>
      </c>
      <c r="D554" s="9" t="s">
        <v>648</v>
      </c>
      <c r="E554" s="9" t="str">
        <f aca="false">IFERROR(INDEX(Destination!$B$2:$B$501,MATCH(D554,Destination!$A$2:$A$501,0)),"")</f>
        <v>Bhitarkanika</v>
      </c>
      <c r="F554" s="9" t="s">
        <v>1364</v>
      </c>
      <c r="G554" s="12" t="n">
        <f aca="false">INDEX(Destination!$F$2:$F$501,MATCH(B554,Destination!$A$2:$A$501,0))</f>
        <v>20.46</v>
      </c>
      <c r="H554" s="12" t="n">
        <f aca="false">INDEX(Destination!$G$2:$G$501,MATCH(B554,Destination!$A$2:$A$501,0))</f>
        <v>85.88</v>
      </c>
      <c r="I554" s="12" t="n">
        <f aca="false">INDEX(Destination!$F$2:$F$501,MATCH(D554,Destination!$A$2:$A$501,0))</f>
        <v>20.72</v>
      </c>
      <c r="J554" s="12" t="n">
        <f aca="false">INDEX(Destination!$G$2:$G$501,MATCH(D554,Destination!$A$2:$A$501,0))</f>
        <v>86.87</v>
      </c>
      <c r="K554" s="17" t="n">
        <f aca="false">Assumptions!$B$2*2*ASIN(SQRT(SIN(RADIANS(I554-G554)/2)^2+COS(RADIANS(G554))*COS(RADIANS(I554))*SIN(RADIANS(J554-H554)/2)^2))</f>
        <v>107.029309762029</v>
      </c>
      <c r="L554" s="18" t="n">
        <f aca="false">K554*Assumptions!$B$3</f>
        <v>139.138102690637</v>
      </c>
      <c r="M554" s="19" t="n">
        <f aca="false">L554/Assumptions!$B$4</f>
        <v>3.09195783756971</v>
      </c>
      <c r="N554" s="9" t="s">
        <v>1365</v>
      </c>
    </row>
    <row r="555" customFormat="false" ht="15" hidden="false" customHeight="false" outlineLevel="0" collapsed="false">
      <c r="A555" s="9" t="s">
        <v>1918</v>
      </c>
      <c r="B555" s="9" t="s">
        <v>631</v>
      </c>
      <c r="C555" s="9" t="str">
        <f aca="false">IFERROR(INDEX(Destination!$B$2:$B$501,MATCH(B555,Destination!$A$2:$A$501,0)),"")</f>
        <v>Sambalpur</v>
      </c>
      <c r="D555" s="9" t="s">
        <v>640</v>
      </c>
      <c r="E555" s="9" t="str">
        <f aca="false">IFERROR(INDEX(Destination!$B$2:$B$501,MATCH(D555,Destination!$A$2:$A$501,0)),"")</f>
        <v>Daringbadi</v>
      </c>
      <c r="F555" s="9" t="s">
        <v>1364</v>
      </c>
      <c r="G555" s="12" t="n">
        <f aca="false">INDEX(Destination!$F$2:$F$501,MATCH(B555,Destination!$A$2:$A$501,0))</f>
        <v>21.47</v>
      </c>
      <c r="H555" s="12" t="n">
        <f aca="false">INDEX(Destination!$G$2:$G$501,MATCH(B555,Destination!$A$2:$A$501,0))</f>
        <v>83.98</v>
      </c>
      <c r="I555" s="12" t="n">
        <f aca="false">INDEX(Destination!$F$2:$F$501,MATCH(D555,Destination!$A$2:$A$501,0))</f>
        <v>19.91</v>
      </c>
      <c r="J555" s="12" t="n">
        <f aca="false">INDEX(Destination!$G$2:$G$501,MATCH(D555,Destination!$A$2:$A$501,0))</f>
        <v>84.12</v>
      </c>
      <c r="K555" s="17" t="n">
        <f aca="false">Assumptions!$B$2*2*ASIN(SQRT(SIN(RADIANS(I555-G555)/2)^2+COS(RADIANS(G555))*COS(RADIANS(I555))*SIN(RADIANS(J555-H555)/2)^2))</f>
        <v>174.074293416961</v>
      </c>
      <c r="L555" s="18" t="n">
        <f aca="false">K555*Assumptions!$B$3</f>
        <v>226.296581442049</v>
      </c>
      <c r="M555" s="19" t="n">
        <f aca="false">L555/Assumptions!$B$4</f>
        <v>5.02881292093443</v>
      </c>
      <c r="N555" s="9" t="s">
        <v>1365</v>
      </c>
    </row>
    <row r="556" customFormat="false" ht="15" hidden="false" customHeight="false" outlineLevel="0" collapsed="false">
      <c r="A556" s="9" t="s">
        <v>1919</v>
      </c>
      <c r="B556" s="9" t="s">
        <v>631</v>
      </c>
      <c r="C556" s="9" t="str">
        <f aca="false">IFERROR(INDEX(Destination!$B$2:$B$501,MATCH(B556,Destination!$A$2:$A$501,0)),"")</f>
        <v>Sambalpur</v>
      </c>
      <c r="D556" s="9" t="s">
        <v>739</v>
      </c>
      <c r="E556" s="9" t="str">
        <f aca="false">IFERROR(INDEX(Destination!$B$2:$B$501,MATCH(D556,Destination!$A$2:$A$501,0)),"")</f>
        <v>Mainpat</v>
      </c>
      <c r="F556" s="9" t="s">
        <v>1364</v>
      </c>
      <c r="G556" s="12" t="n">
        <f aca="false">INDEX(Destination!$F$2:$F$501,MATCH(B556,Destination!$A$2:$A$501,0))</f>
        <v>21.47</v>
      </c>
      <c r="H556" s="12" t="n">
        <f aca="false">INDEX(Destination!$G$2:$G$501,MATCH(B556,Destination!$A$2:$A$501,0))</f>
        <v>83.98</v>
      </c>
      <c r="I556" s="12" t="n">
        <f aca="false">INDEX(Destination!$F$2:$F$501,MATCH(D556,Destination!$A$2:$A$501,0))</f>
        <v>22.83</v>
      </c>
      <c r="J556" s="12" t="n">
        <f aca="false">INDEX(Destination!$G$2:$G$501,MATCH(D556,Destination!$A$2:$A$501,0))</f>
        <v>83.3</v>
      </c>
      <c r="K556" s="17" t="n">
        <f aca="false">Assumptions!$B$2*2*ASIN(SQRT(SIN(RADIANS(I556-G556)/2)^2+COS(RADIANS(G556))*COS(RADIANS(I556))*SIN(RADIANS(J556-H556)/2)^2))</f>
        <v>166.652953087993</v>
      </c>
      <c r="L556" s="18" t="n">
        <f aca="false">K556*Assumptions!$B$3</f>
        <v>216.648839014391</v>
      </c>
      <c r="M556" s="19" t="n">
        <f aca="false">L556/Assumptions!$B$4</f>
        <v>4.81441864476424</v>
      </c>
      <c r="N556" s="9" t="s">
        <v>1365</v>
      </c>
    </row>
    <row r="557" customFormat="false" ht="15" hidden="false" customHeight="false" outlineLevel="0" collapsed="false">
      <c r="A557" s="9" t="s">
        <v>1920</v>
      </c>
      <c r="B557" s="9" t="s">
        <v>631</v>
      </c>
      <c r="C557" s="9" t="str">
        <f aca="false">IFERROR(INDEX(Destination!$B$2:$B$501,MATCH(B557,Destination!$A$2:$A$501,0)),"")</f>
        <v>Sambalpur</v>
      </c>
      <c r="D557" s="9" t="s">
        <v>741</v>
      </c>
      <c r="E557" s="9" t="str">
        <f aca="false">IFERROR(INDEX(Destination!$B$2:$B$501,MATCH(D557,Destination!$A$2:$A$501,0)),"")</f>
        <v>Barnawapara</v>
      </c>
      <c r="F557" s="9" t="s">
        <v>1364</v>
      </c>
      <c r="G557" s="12" t="n">
        <f aca="false">INDEX(Destination!$F$2:$F$501,MATCH(B557,Destination!$A$2:$A$501,0))</f>
        <v>21.47</v>
      </c>
      <c r="H557" s="12" t="n">
        <f aca="false">INDEX(Destination!$G$2:$G$501,MATCH(B557,Destination!$A$2:$A$501,0))</f>
        <v>83.98</v>
      </c>
      <c r="I557" s="12" t="n">
        <f aca="false">INDEX(Destination!$F$2:$F$501,MATCH(D557,Destination!$A$2:$A$501,0))</f>
        <v>21.4</v>
      </c>
      <c r="J557" s="12" t="n">
        <f aca="false">INDEX(Destination!$G$2:$G$501,MATCH(D557,Destination!$A$2:$A$501,0))</f>
        <v>82.3</v>
      </c>
      <c r="K557" s="17" t="n">
        <f aca="false">Assumptions!$B$2*2*ASIN(SQRT(SIN(RADIANS(I557-G557)/2)^2+COS(RADIANS(G557))*COS(RADIANS(I557))*SIN(RADIANS(J557-H557)/2)^2))</f>
        <v>174.059792319599</v>
      </c>
      <c r="L557" s="18" t="n">
        <f aca="false">K557*Assumptions!$B$3</f>
        <v>226.277730015479</v>
      </c>
      <c r="M557" s="19" t="n">
        <f aca="false">L557/Assumptions!$B$4</f>
        <v>5.02839400034398</v>
      </c>
      <c r="N557" s="9" t="s">
        <v>1365</v>
      </c>
    </row>
    <row r="558" customFormat="false" ht="15" hidden="false" customHeight="false" outlineLevel="0" collapsed="false">
      <c r="A558" s="9" t="s">
        <v>1921</v>
      </c>
      <c r="B558" s="9" t="s">
        <v>633</v>
      </c>
      <c r="C558" s="9" t="str">
        <f aca="false">IFERROR(INDEX(Destination!$B$2:$B$501,MATCH(B558,Destination!$A$2:$A$501,0)),"")</f>
        <v>Gopalpur</v>
      </c>
      <c r="D558" s="9" t="s">
        <v>640</v>
      </c>
      <c r="E558" s="9" t="str">
        <f aca="false">IFERROR(INDEX(Destination!$B$2:$B$501,MATCH(D558,Destination!$A$2:$A$501,0)),"")</f>
        <v>Daringbadi</v>
      </c>
      <c r="F558" s="9" t="s">
        <v>1364</v>
      </c>
      <c r="G558" s="12" t="n">
        <f aca="false">INDEX(Destination!$F$2:$F$501,MATCH(B558,Destination!$A$2:$A$501,0))</f>
        <v>19.26</v>
      </c>
      <c r="H558" s="12" t="n">
        <f aca="false">INDEX(Destination!$G$2:$G$501,MATCH(B558,Destination!$A$2:$A$501,0))</f>
        <v>84.91</v>
      </c>
      <c r="I558" s="12" t="n">
        <f aca="false">INDEX(Destination!$F$2:$F$501,MATCH(D558,Destination!$A$2:$A$501,0))</f>
        <v>19.91</v>
      </c>
      <c r="J558" s="12" t="n">
        <f aca="false">INDEX(Destination!$G$2:$G$501,MATCH(D558,Destination!$A$2:$A$501,0))</f>
        <v>84.12</v>
      </c>
      <c r="K558" s="17" t="n">
        <f aca="false">Assumptions!$B$2*2*ASIN(SQRT(SIN(RADIANS(I558-G558)/2)^2+COS(RADIANS(G558))*COS(RADIANS(I558))*SIN(RADIANS(J558-H558)/2)^2))</f>
        <v>109.878676439499</v>
      </c>
      <c r="L558" s="18" t="n">
        <f aca="false">K558*Assumptions!$B$3</f>
        <v>142.842279371349</v>
      </c>
      <c r="M558" s="19" t="n">
        <f aca="false">L558/Assumptions!$B$4</f>
        <v>3.17427287491886</v>
      </c>
      <c r="N558" s="9" t="s">
        <v>1365</v>
      </c>
    </row>
    <row r="559" customFormat="false" ht="15" hidden="false" customHeight="false" outlineLevel="0" collapsed="false">
      <c r="A559" s="9" t="s">
        <v>1922</v>
      </c>
      <c r="B559" s="9" t="s">
        <v>635</v>
      </c>
      <c r="C559" s="9" t="str">
        <f aca="false">IFERROR(INDEX(Destination!$B$2:$B$501,MATCH(B559,Destination!$A$2:$A$501,0)),"")</f>
        <v>Baripada</v>
      </c>
      <c r="D559" s="9" t="s">
        <v>637</v>
      </c>
      <c r="E559" s="9" t="str">
        <f aca="false">IFERROR(INDEX(Destination!$B$2:$B$501,MATCH(D559,Destination!$A$2:$A$501,0)),"")</f>
        <v>Simlipal</v>
      </c>
      <c r="F559" s="9" t="s">
        <v>1364</v>
      </c>
      <c r="G559" s="12" t="n">
        <f aca="false">INDEX(Destination!$F$2:$F$501,MATCH(B559,Destination!$A$2:$A$501,0))</f>
        <v>21.93</v>
      </c>
      <c r="H559" s="12" t="n">
        <f aca="false">INDEX(Destination!$G$2:$G$501,MATCH(B559,Destination!$A$2:$A$501,0))</f>
        <v>86.72</v>
      </c>
      <c r="I559" s="12" t="n">
        <f aca="false">INDEX(Destination!$F$2:$F$501,MATCH(D559,Destination!$A$2:$A$501,0))</f>
        <v>21.8</v>
      </c>
      <c r="J559" s="12" t="n">
        <f aca="false">INDEX(Destination!$G$2:$G$501,MATCH(D559,Destination!$A$2:$A$501,0))</f>
        <v>86.33</v>
      </c>
      <c r="K559" s="17" t="n">
        <f aca="false">Assumptions!$B$2*2*ASIN(SQRT(SIN(RADIANS(I559-G559)/2)^2+COS(RADIANS(G559))*COS(RADIANS(I559))*SIN(RADIANS(J559-H559)/2)^2))</f>
        <v>42.7636634091416</v>
      </c>
      <c r="L559" s="18" t="n">
        <f aca="false">K559*Assumptions!$B$3</f>
        <v>55.5927624318841</v>
      </c>
      <c r="M559" s="19" t="n">
        <f aca="false">L559/Assumptions!$B$4</f>
        <v>1.23539472070854</v>
      </c>
      <c r="N559" s="9" t="s">
        <v>1365</v>
      </c>
    </row>
    <row r="560" customFormat="false" ht="15" hidden="false" customHeight="false" outlineLevel="0" collapsed="false">
      <c r="A560" s="9" t="s">
        <v>1923</v>
      </c>
      <c r="B560" s="9" t="s">
        <v>635</v>
      </c>
      <c r="C560" s="9" t="str">
        <f aca="false">IFERROR(INDEX(Destination!$B$2:$B$501,MATCH(B560,Destination!$A$2:$A$501,0)),"")</f>
        <v>Baripada</v>
      </c>
      <c r="D560" s="9" t="s">
        <v>646</v>
      </c>
      <c r="E560" s="9" t="str">
        <f aca="false">IFERROR(INDEX(Destination!$B$2:$B$501,MATCH(D560,Destination!$A$2:$A$501,0)),"")</f>
        <v>Chandipur</v>
      </c>
      <c r="F560" s="9" t="s">
        <v>1364</v>
      </c>
      <c r="G560" s="12" t="n">
        <f aca="false">INDEX(Destination!$F$2:$F$501,MATCH(B560,Destination!$A$2:$A$501,0))</f>
        <v>21.93</v>
      </c>
      <c r="H560" s="12" t="n">
        <f aca="false">INDEX(Destination!$G$2:$G$501,MATCH(B560,Destination!$A$2:$A$501,0))</f>
        <v>86.72</v>
      </c>
      <c r="I560" s="12" t="n">
        <f aca="false">INDEX(Destination!$F$2:$F$501,MATCH(D560,Destination!$A$2:$A$501,0))</f>
        <v>21.46</v>
      </c>
      <c r="J560" s="12" t="n">
        <f aca="false">INDEX(Destination!$G$2:$G$501,MATCH(D560,Destination!$A$2:$A$501,0))</f>
        <v>87.03</v>
      </c>
      <c r="K560" s="17" t="n">
        <f aca="false">Assumptions!$B$2*2*ASIN(SQRT(SIN(RADIANS(I560-G560)/2)^2+COS(RADIANS(G560))*COS(RADIANS(I560))*SIN(RADIANS(J560-H560)/2)^2))</f>
        <v>61.2952348972107</v>
      </c>
      <c r="L560" s="18" t="n">
        <f aca="false">K560*Assumptions!$B$3</f>
        <v>79.6838053663739</v>
      </c>
      <c r="M560" s="19" t="n">
        <f aca="false">L560/Assumptions!$B$4</f>
        <v>1.77075123036386</v>
      </c>
      <c r="N560" s="9" t="s">
        <v>1365</v>
      </c>
    </row>
    <row r="561" customFormat="false" ht="15" hidden="false" customHeight="false" outlineLevel="0" collapsed="false">
      <c r="A561" s="9" t="s">
        <v>1924</v>
      </c>
      <c r="B561" s="9" t="s">
        <v>635</v>
      </c>
      <c r="C561" s="9" t="str">
        <f aca="false">IFERROR(INDEX(Destination!$B$2:$B$501,MATCH(B561,Destination!$A$2:$A$501,0)),"")</f>
        <v>Baripada</v>
      </c>
      <c r="D561" s="9" t="s">
        <v>664</v>
      </c>
      <c r="E561" s="9" t="str">
        <f aca="false">IFERROR(INDEX(Destination!$B$2:$B$501,MATCH(D561,Destination!$A$2:$A$501,0)),"")</f>
        <v>Digha</v>
      </c>
      <c r="F561" s="9" t="s">
        <v>1364</v>
      </c>
      <c r="G561" s="12" t="n">
        <f aca="false">INDEX(Destination!$F$2:$F$501,MATCH(B561,Destination!$A$2:$A$501,0))</f>
        <v>21.93</v>
      </c>
      <c r="H561" s="12" t="n">
        <f aca="false">INDEX(Destination!$G$2:$G$501,MATCH(B561,Destination!$A$2:$A$501,0))</f>
        <v>86.72</v>
      </c>
      <c r="I561" s="12" t="n">
        <f aca="false">INDEX(Destination!$F$2:$F$501,MATCH(D561,Destination!$A$2:$A$501,0))</f>
        <v>21.63</v>
      </c>
      <c r="J561" s="12" t="n">
        <f aca="false">INDEX(Destination!$G$2:$G$501,MATCH(D561,Destination!$A$2:$A$501,0))</f>
        <v>87.55</v>
      </c>
      <c r="K561" s="17" t="n">
        <f aca="false">Assumptions!$B$2*2*ASIN(SQRT(SIN(RADIANS(I561-G561)/2)^2+COS(RADIANS(G561))*COS(RADIANS(I561))*SIN(RADIANS(J561-H561)/2)^2))</f>
        <v>91.9665626119872</v>
      </c>
      <c r="L561" s="18" t="n">
        <f aca="false">K561*Assumptions!$B$3</f>
        <v>119.556531395583</v>
      </c>
      <c r="M561" s="19" t="n">
        <f aca="false">L561/Assumptions!$B$4</f>
        <v>2.65681180879074</v>
      </c>
      <c r="N561" s="9" t="s">
        <v>1365</v>
      </c>
    </row>
    <row r="562" customFormat="false" ht="15" hidden="false" customHeight="false" outlineLevel="0" collapsed="false">
      <c r="A562" s="9" t="s">
        <v>1925</v>
      </c>
      <c r="B562" s="9" t="s">
        <v>637</v>
      </c>
      <c r="C562" s="9" t="str">
        <f aca="false">IFERROR(INDEX(Destination!$B$2:$B$501,MATCH(B562,Destination!$A$2:$A$501,0)),"")</f>
        <v>Simlipal</v>
      </c>
      <c r="D562" s="9" t="s">
        <v>646</v>
      </c>
      <c r="E562" s="9" t="str">
        <f aca="false">IFERROR(INDEX(Destination!$B$2:$B$501,MATCH(D562,Destination!$A$2:$A$501,0)),"")</f>
        <v>Chandipur</v>
      </c>
      <c r="F562" s="9" t="s">
        <v>1364</v>
      </c>
      <c r="G562" s="12" t="n">
        <f aca="false">INDEX(Destination!$F$2:$F$501,MATCH(B562,Destination!$A$2:$A$501,0))</f>
        <v>21.8</v>
      </c>
      <c r="H562" s="12" t="n">
        <f aca="false">INDEX(Destination!$G$2:$G$501,MATCH(B562,Destination!$A$2:$A$501,0))</f>
        <v>86.33</v>
      </c>
      <c r="I562" s="12" t="n">
        <f aca="false">INDEX(Destination!$F$2:$F$501,MATCH(D562,Destination!$A$2:$A$501,0))</f>
        <v>21.46</v>
      </c>
      <c r="J562" s="12" t="n">
        <f aca="false">INDEX(Destination!$G$2:$G$501,MATCH(D562,Destination!$A$2:$A$501,0))</f>
        <v>87.03</v>
      </c>
      <c r="K562" s="17" t="n">
        <f aca="false">Assumptions!$B$2*2*ASIN(SQRT(SIN(RADIANS(I562-G562)/2)^2+COS(RADIANS(G562))*COS(RADIANS(I562))*SIN(RADIANS(J562-H562)/2)^2))</f>
        <v>81.6369980550236</v>
      </c>
      <c r="L562" s="18" t="n">
        <f aca="false">K562*Assumptions!$B$3</f>
        <v>106.128097471531</v>
      </c>
      <c r="M562" s="19" t="n">
        <f aca="false">L562/Assumptions!$B$4</f>
        <v>2.35840216603401</v>
      </c>
      <c r="N562" s="9" t="s">
        <v>1365</v>
      </c>
    </row>
    <row r="563" customFormat="false" ht="15" hidden="false" customHeight="false" outlineLevel="0" collapsed="false">
      <c r="A563" s="9" t="s">
        <v>1926</v>
      </c>
      <c r="B563" s="9" t="s">
        <v>637</v>
      </c>
      <c r="C563" s="9" t="str">
        <f aca="false">IFERROR(INDEX(Destination!$B$2:$B$501,MATCH(B563,Destination!$A$2:$A$501,0)),"")</f>
        <v>Simlipal</v>
      </c>
      <c r="D563" s="9" t="s">
        <v>712</v>
      </c>
      <c r="E563" s="9" t="str">
        <f aca="false">IFERROR(INDEX(Destination!$B$2:$B$501,MATCH(D563,Destination!$A$2:$A$501,0)),"")</f>
        <v>Jamshedpur</v>
      </c>
      <c r="F563" s="9" t="s">
        <v>1364</v>
      </c>
      <c r="G563" s="12" t="n">
        <f aca="false">INDEX(Destination!$F$2:$F$501,MATCH(B563,Destination!$A$2:$A$501,0))</f>
        <v>21.8</v>
      </c>
      <c r="H563" s="12" t="n">
        <f aca="false">INDEX(Destination!$G$2:$G$501,MATCH(B563,Destination!$A$2:$A$501,0))</f>
        <v>86.33</v>
      </c>
      <c r="I563" s="12" t="n">
        <f aca="false">INDEX(Destination!$F$2:$F$501,MATCH(D563,Destination!$A$2:$A$501,0))</f>
        <v>22.8</v>
      </c>
      <c r="J563" s="12" t="n">
        <f aca="false">INDEX(Destination!$G$2:$G$501,MATCH(D563,Destination!$A$2:$A$501,0))</f>
        <v>86.2</v>
      </c>
      <c r="K563" s="17" t="n">
        <f aca="false">Assumptions!$B$2*2*ASIN(SQRT(SIN(RADIANS(I563-G563)/2)^2+COS(RADIANS(G563))*COS(RADIANS(I563))*SIN(RADIANS(J563-H563)/2)^2))</f>
        <v>111.996315424717</v>
      </c>
      <c r="L563" s="18" t="n">
        <f aca="false">K563*Assumptions!$B$3</f>
        <v>145.595210052132</v>
      </c>
      <c r="M563" s="19" t="n">
        <f aca="false">L563/Assumptions!$B$4</f>
        <v>3.2354491122696</v>
      </c>
      <c r="N563" s="9" t="s">
        <v>1365</v>
      </c>
    </row>
    <row r="564" customFormat="false" ht="15" hidden="false" customHeight="false" outlineLevel="0" collapsed="false">
      <c r="A564" s="9" t="s">
        <v>1927</v>
      </c>
      <c r="B564" s="9" t="s">
        <v>642</v>
      </c>
      <c r="C564" s="9" t="str">
        <f aca="false">IFERROR(INDEX(Destination!$B$2:$B$501,MATCH(B564,Destination!$A$2:$A$501,0)),"")</f>
        <v>Dhauli</v>
      </c>
      <c r="D564" s="9" t="s">
        <v>644</v>
      </c>
      <c r="E564" s="9" t="str">
        <f aca="false">IFERROR(INDEX(Destination!$B$2:$B$501,MATCH(D564,Destination!$A$2:$A$501,0)),"")</f>
        <v>Raghurajpur</v>
      </c>
      <c r="F564" s="9" t="s">
        <v>1364</v>
      </c>
      <c r="G564" s="12" t="n">
        <f aca="false">INDEX(Destination!$F$2:$F$501,MATCH(B564,Destination!$A$2:$A$501,0))</f>
        <v>20.19</v>
      </c>
      <c r="H564" s="12" t="n">
        <f aca="false">INDEX(Destination!$G$2:$G$501,MATCH(B564,Destination!$A$2:$A$501,0))</f>
        <v>85.84</v>
      </c>
      <c r="I564" s="12" t="n">
        <f aca="false">INDEX(Destination!$F$2:$F$501,MATCH(D564,Destination!$A$2:$A$501,0))</f>
        <v>19.9</v>
      </c>
      <c r="J564" s="12" t="n">
        <f aca="false">INDEX(Destination!$G$2:$G$501,MATCH(D564,Destination!$A$2:$A$501,0))</f>
        <v>85.88</v>
      </c>
      <c r="K564" s="17" t="n">
        <f aca="false">Assumptions!$B$2*2*ASIN(SQRT(SIN(RADIANS(I564-G564)/2)^2+COS(RADIANS(G564))*COS(RADIANS(I564))*SIN(RADIANS(J564-H564)/2)^2))</f>
        <v>32.5161083966493</v>
      </c>
      <c r="L564" s="18" t="n">
        <f aca="false">K564*Assumptions!$B$3</f>
        <v>42.2709409156441</v>
      </c>
      <c r="M564" s="19" t="n">
        <f aca="false">L564/Assumptions!$B$4</f>
        <v>0.939354242569869</v>
      </c>
      <c r="N564" s="9" t="s">
        <v>1365</v>
      </c>
    </row>
    <row r="565" customFormat="false" ht="15" hidden="false" customHeight="false" outlineLevel="0" collapsed="false">
      <c r="A565" s="9" t="s">
        <v>1928</v>
      </c>
      <c r="B565" s="9" t="s">
        <v>646</v>
      </c>
      <c r="C565" s="9" t="str">
        <f aca="false">IFERROR(INDEX(Destination!$B$2:$B$501,MATCH(B565,Destination!$A$2:$A$501,0)),"")</f>
        <v>Chandipur</v>
      </c>
      <c r="D565" s="9" t="s">
        <v>648</v>
      </c>
      <c r="E565" s="9" t="str">
        <f aca="false">IFERROR(INDEX(Destination!$B$2:$B$501,MATCH(D565,Destination!$A$2:$A$501,0)),"")</f>
        <v>Bhitarkanika</v>
      </c>
      <c r="F565" s="9" t="s">
        <v>1364</v>
      </c>
      <c r="G565" s="12" t="n">
        <f aca="false">INDEX(Destination!$F$2:$F$501,MATCH(B565,Destination!$A$2:$A$501,0))</f>
        <v>21.46</v>
      </c>
      <c r="H565" s="12" t="n">
        <f aca="false">INDEX(Destination!$G$2:$G$501,MATCH(B565,Destination!$A$2:$A$501,0))</f>
        <v>87.03</v>
      </c>
      <c r="I565" s="12" t="n">
        <f aca="false">INDEX(Destination!$F$2:$F$501,MATCH(D565,Destination!$A$2:$A$501,0))</f>
        <v>20.72</v>
      </c>
      <c r="J565" s="12" t="n">
        <f aca="false">INDEX(Destination!$G$2:$G$501,MATCH(D565,Destination!$A$2:$A$501,0))</f>
        <v>86.87</v>
      </c>
      <c r="K565" s="17" t="n">
        <f aca="false">Assumptions!$B$2*2*ASIN(SQRT(SIN(RADIANS(I565-G565)/2)^2+COS(RADIANS(G565))*COS(RADIANS(I565))*SIN(RADIANS(J565-H565)/2)^2))</f>
        <v>83.9418484465511</v>
      </c>
      <c r="L565" s="18" t="n">
        <f aca="false">K565*Assumptions!$B$3</f>
        <v>109.124402980516</v>
      </c>
      <c r="M565" s="19" t="n">
        <f aca="false">L565/Assumptions!$B$4</f>
        <v>2.42498673290036</v>
      </c>
      <c r="N565" s="9" t="s">
        <v>1365</v>
      </c>
    </row>
    <row r="566" customFormat="false" ht="15" hidden="false" customHeight="false" outlineLevel="0" collapsed="false">
      <c r="A566" s="9" t="s">
        <v>1929</v>
      </c>
      <c r="B566" s="9" t="s">
        <v>646</v>
      </c>
      <c r="C566" s="9" t="str">
        <f aca="false">IFERROR(INDEX(Destination!$B$2:$B$501,MATCH(B566,Destination!$A$2:$A$501,0)),"")</f>
        <v>Chandipur</v>
      </c>
      <c r="D566" s="9" t="s">
        <v>664</v>
      </c>
      <c r="E566" s="9" t="str">
        <f aca="false">IFERROR(INDEX(Destination!$B$2:$B$501,MATCH(D566,Destination!$A$2:$A$501,0)),"")</f>
        <v>Digha</v>
      </c>
      <c r="F566" s="9" t="s">
        <v>1364</v>
      </c>
      <c r="G566" s="12" t="n">
        <f aca="false">INDEX(Destination!$F$2:$F$501,MATCH(B566,Destination!$A$2:$A$501,0))</f>
        <v>21.46</v>
      </c>
      <c r="H566" s="12" t="n">
        <f aca="false">INDEX(Destination!$G$2:$G$501,MATCH(B566,Destination!$A$2:$A$501,0))</f>
        <v>87.03</v>
      </c>
      <c r="I566" s="12" t="n">
        <f aca="false">INDEX(Destination!$F$2:$F$501,MATCH(D566,Destination!$A$2:$A$501,0))</f>
        <v>21.63</v>
      </c>
      <c r="J566" s="12" t="n">
        <f aca="false">INDEX(Destination!$G$2:$G$501,MATCH(D566,Destination!$A$2:$A$501,0))</f>
        <v>87.55</v>
      </c>
      <c r="K566" s="17" t="n">
        <f aca="false">Assumptions!$B$2*2*ASIN(SQRT(SIN(RADIANS(I566-G566)/2)^2+COS(RADIANS(G566))*COS(RADIANS(I566))*SIN(RADIANS(J566-H566)/2)^2))</f>
        <v>57.0066353318144</v>
      </c>
      <c r="L566" s="18" t="n">
        <f aca="false">K566*Assumptions!$B$3</f>
        <v>74.1086259313587</v>
      </c>
      <c r="M566" s="19" t="n">
        <f aca="false">L566/Assumptions!$B$4</f>
        <v>1.64685835403019</v>
      </c>
      <c r="N566" s="9" t="s">
        <v>1365</v>
      </c>
    </row>
    <row r="567" customFormat="false" ht="15" hidden="false" customHeight="false" outlineLevel="0" collapsed="false">
      <c r="A567" s="9" t="s">
        <v>1930</v>
      </c>
      <c r="B567" s="9" t="s">
        <v>650</v>
      </c>
      <c r="C567" s="9" t="str">
        <f aca="false">IFERROR(INDEX(Destination!$B$2:$B$501,MATCH(B567,Destination!$A$2:$A$501,0)),"")</f>
        <v>Jeypore</v>
      </c>
      <c r="D567" s="9" t="s">
        <v>729</v>
      </c>
      <c r="E567" s="9" t="str">
        <f aca="false">IFERROR(INDEX(Destination!$B$2:$B$501,MATCH(D567,Destination!$A$2:$A$501,0)),"")</f>
        <v>Jagdalpur</v>
      </c>
      <c r="F567" s="9" t="s">
        <v>1364</v>
      </c>
      <c r="G567" s="12" t="n">
        <f aca="false">INDEX(Destination!$F$2:$F$501,MATCH(B567,Destination!$A$2:$A$501,0))</f>
        <v>18.86</v>
      </c>
      <c r="H567" s="12" t="n">
        <f aca="false">INDEX(Destination!$G$2:$G$501,MATCH(B567,Destination!$A$2:$A$501,0))</f>
        <v>82.57</v>
      </c>
      <c r="I567" s="12" t="n">
        <f aca="false">INDEX(Destination!$F$2:$F$501,MATCH(D567,Destination!$A$2:$A$501,0))</f>
        <v>19.07</v>
      </c>
      <c r="J567" s="12" t="n">
        <f aca="false">INDEX(Destination!$G$2:$G$501,MATCH(D567,Destination!$A$2:$A$501,0))</f>
        <v>82.02</v>
      </c>
      <c r="K567" s="17" t="n">
        <f aca="false">Assumptions!$B$2*2*ASIN(SQRT(SIN(RADIANS(I567-G567)/2)^2+COS(RADIANS(G567))*COS(RADIANS(I567))*SIN(RADIANS(J567-H567)/2)^2))</f>
        <v>62.373284737624</v>
      </c>
      <c r="L567" s="18" t="n">
        <f aca="false">K567*Assumptions!$B$3</f>
        <v>81.0852701589112</v>
      </c>
      <c r="M567" s="19" t="n">
        <f aca="false">L567/Assumptions!$B$4</f>
        <v>1.80189489242025</v>
      </c>
      <c r="N567" s="9" t="s">
        <v>1365</v>
      </c>
    </row>
    <row r="568" customFormat="false" ht="15" hidden="false" customHeight="false" outlineLevel="0" collapsed="false">
      <c r="A568" s="9" t="s">
        <v>1931</v>
      </c>
      <c r="B568" s="9" t="s">
        <v>650</v>
      </c>
      <c r="C568" s="9" t="str">
        <f aca="false">IFERROR(INDEX(Destination!$B$2:$B$501,MATCH(B568,Destination!$A$2:$A$501,0)),"")</f>
        <v>Jeypore</v>
      </c>
      <c r="D568" s="9" t="s">
        <v>743</v>
      </c>
      <c r="E568" s="9" t="str">
        <f aca="false">IFERROR(INDEX(Destination!$B$2:$B$501,MATCH(D568,Destination!$A$2:$A$501,0)),"")</f>
        <v>Kanger Valley</v>
      </c>
      <c r="F568" s="9" t="s">
        <v>1364</v>
      </c>
      <c r="G568" s="12" t="n">
        <f aca="false">INDEX(Destination!$F$2:$F$501,MATCH(B568,Destination!$A$2:$A$501,0))</f>
        <v>18.86</v>
      </c>
      <c r="H568" s="12" t="n">
        <f aca="false">INDEX(Destination!$G$2:$G$501,MATCH(B568,Destination!$A$2:$A$501,0))</f>
        <v>82.57</v>
      </c>
      <c r="I568" s="12" t="n">
        <f aca="false">INDEX(Destination!$F$2:$F$501,MATCH(D568,Destination!$A$2:$A$501,0))</f>
        <v>18.88</v>
      </c>
      <c r="J568" s="12" t="n">
        <f aca="false">INDEX(Destination!$G$2:$G$501,MATCH(D568,Destination!$A$2:$A$501,0))</f>
        <v>82.03</v>
      </c>
      <c r="K568" s="17" t="n">
        <f aca="false">Assumptions!$B$2*2*ASIN(SQRT(SIN(RADIANS(I568-G568)/2)^2+COS(RADIANS(G568))*COS(RADIANS(I568))*SIN(RADIANS(J568-H568)/2)^2))</f>
        <v>56.8616011754258</v>
      </c>
      <c r="L568" s="18" t="n">
        <f aca="false">K568*Assumptions!$B$3</f>
        <v>73.9200815280535</v>
      </c>
      <c r="M568" s="19" t="n">
        <f aca="false">L568/Assumptions!$B$4</f>
        <v>1.64266847840119</v>
      </c>
      <c r="N568" s="9" t="s">
        <v>1365</v>
      </c>
    </row>
    <row r="569" customFormat="false" ht="15" hidden="false" customHeight="false" outlineLevel="0" collapsed="false">
      <c r="A569" s="9" t="s">
        <v>1932</v>
      </c>
      <c r="B569" s="9" t="s">
        <v>652</v>
      </c>
      <c r="C569" s="9" t="str">
        <f aca="false">IFERROR(INDEX(Destination!$B$2:$B$501,MATCH(B569,Destination!$A$2:$A$501,0)),"")</f>
        <v>Kolkata</v>
      </c>
      <c r="D569" s="9" t="s">
        <v>661</v>
      </c>
      <c r="E569" s="9" t="str">
        <f aca="false">IFERROR(INDEX(Destination!$B$2:$B$501,MATCH(D569,Destination!$A$2:$A$501,0)),"")</f>
        <v>Sundarbans</v>
      </c>
      <c r="F569" s="9" t="s">
        <v>1364</v>
      </c>
      <c r="G569" s="12" t="n">
        <f aca="false">INDEX(Destination!$F$2:$F$501,MATCH(B569,Destination!$A$2:$A$501,0))</f>
        <v>22.57</v>
      </c>
      <c r="H569" s="12" t="n">
        <f aca="false">INDEX(Destination!$G$2:$G$501,MATCH(B569,Destination!$A$2:$A$501,0))</f>
        <v>88.36</v>
      </c>
      <c r="I569" s="12" t="n">
        <f aca="false">INDEX(Destination!$F$2:$F$501,MATCH(D569,Destination!$A$2:$A$501,0))</f>
        <v>21.95</v>
      </c>
      <c r="J569" s="12" t="n">
        <f aca="false">INDEX(Destination!$G$2:$G$501,MATCH(D569,Destination!$A$2:$A$501,0))</f>
        <v>89.18</v>
      </c>
      <c r="K569" s="17" t="n">
        <f aca="false">Assumptions!$B$2*2*ASIN(SQRT(SIN(RADIANS(I569-G569)/2)^2+COS(RADIANS(G569))*COS(RADIANS(I569))*SIN(RADIANS(J569-H569)/2)^2))</f>
        <v>108.965506553208</v>
      </c>
      <c r="L569" s="18" t="n">
        <f aca="false">K569*Assumptions!$B$3</f>
        <v>141.65515851917</v>
      </c>
      <c r="M569" s="19" t="n">
        <f aca="false">L569/Assumptions!$B$4</f>
        <v>3.14789241153712</v>
      </c>
      <c r="N569" s="9" t="s">
        <v>1365</v>
      </c>
    </row>
    <row r="570" customFormat="false" ht="15" hidden="false" customHeight="false" outlineLevel="0" collapsed="false">
      <c r="A570" s="9" t="s">
        <v>1933</v>
      </c>
      <c r="B570" s="9" t="s">
        <v>652</v>
      </c>
      <c r="C570" s="9" t="str">
        <f aca="false">IFERROR(INDEX(Destination!$B$2:$B$501,MATCH(B570,Destination!$A$2:$A$501,0)),"")</f>
        <v>Kolkata</v>
      </c>
      <c r="D570" s="9" t="s">
        <v>680</v>
      </c>
      <c r="E570" s="9" t="str">
        <f aca="false">IFERROR(INDEX(Destination!$B$2:$B$501,MATCH(D570,Destination!$A$2:$A$501,0)),"")</f>
        <v>Mayapur</v>
      </c>
      <c r="F570" s="9" t="s">
        <v>1364</v>
      </c>
      <c r="G570" s="12" t="n">
        <f aca="false">INDEX(Destination!$F$2:$F$501,MATCH(B570,Destination!$A$2:$A$501,0))</f>
        <v>22.57</v>
      </c>
      <c r="H570" s="12" t="n">
        <f aca="false">INDEX(Destination!$G$2:$G$501,MATCH(B570,Destination!$A$2:$A$501,0))</f>
        <v>88.36</v>
      </c>
      <c r="I570" s="12" t="n">
        <f aca="false">INDEX(Destination!$F$2:$F$501,MATCH(D570,Destination!$A$2:$A$501,0))</f>
        <v>23.42</v>
      </c>
      <c r="J570" s="12" t="n">
        <f aca="false">INDEX(Destination!$G$2:$G$501,MATCH(D570,Destination!$A$2:$A$501,0))</f>
        <v>88.39</v>
      </c>
      <c r="K570" s="17" t="n">
        <f aca="false">Assumptions!$B$2*2*ASIN(SQRT(SIN(RADIANS(I570-G570)/2)^2+COS(RADIANS(G570))*COS(RADIANS(I570))*SIN(RADIANS(J570-H570)/2)^2))</f>
        <v>94.5655572688576</v>
      </c>
      <c r="L570" s="18" t="n">
        <f aca="false">K570*Assumptions!$B$3</f>
        <v>122.935224449515</v>
      </c>
      <c r="M570" s="19" t="n">
        <f aca="false">L570/Assumptions!$B$4</f>
        <v>2.73189387665589</v>
      </c>
      <c r="N570" s="9" t="s">
        <v>1365</v>
      </c>
    </row>
    <row r="571" customFormat="false" ht="15" hidden="false" customHeight="false" outlineLevel="0" collapsed="false">
      <c r="A571" s="9" t="s">
        <v>1934</v>
      </c>
      <c r="B571" s="9" t="s">
        <v>652</v>
      </c>
      <c r="C571" s="9" t="str">
        <f aca="false">IFERROR(INDEX(Destination!$B$2:$B$501,MATCH(B571,Destination!$A$2:$A$501,0)),"")</f>
        <v>Kolkata</v>
      </c>
      <c r="D571" s="9" t="s">
        <v>682</v>
      </c>
      <c r="E571" s="9" t="str">
        <f aca="false">IFERROR(INDEX(Destination!$B$2:$B$501,MATCH(D571,Destination!$A$2:$A$501,0)),"")</f>
        <v>Gangasagar</v>
      </c>
      <c r="F571" s="9" t="s">
        <v>1364</v>
      </c>
      <c r="G571" s="12" t="n">
        <f aca="false">INDEX(Destination!$F$2:$F$501,MATCH(B571,Destination!$A$2:$A$501,0))</f>
        <v>22.57</v>
      </c>
      <c r="H571" s="12" t="n">
        <f aca="false">INDEX(Destination!$G$2:$G$501,MATCH(B571,Destination!$A$2:$A$501,0))</f>
        <v>88.36</v>
      </c>
      <c r="I571" s="12" t="n">
        <f aca="false">INDEX(Destination!$F$2:$F$501,MATCH(D571,Destination!$A$2:$A$501,0))</f>
        <v>21.64</v>
      </c>
      <c r="J571" s="12" t="n">
        <f aca="false">INDEX(Destination!$G$2:$G$501,MATCH(D571,Destination!$A$2:$A$501,0))</f>
        <v>88.08</v>
      </c>
      <c r="K571" s="17" t="n">
        <f aca="false">Assumptions!$B$2*2*ASIN(SQRT(SIN(RADIANS(I571-G571)/2)^2+COS(RADIANS(G571))*COS(RADIANS(I571))*SIN(RADIANS(J571-H571)/2)^2))</f>
        <v>107.359026900053</v>
      </c>
      <c r="L571" s="18" t="n">
        <f aca="false">K571*Assumptions!$B$3</f>
        <v>139.566734970069</v>
      </c>
      <c r="M571" s="19" t="n">
        <f aca="false">L571/Assumptions!$B$4</f>
        <v>3.10148299933487</v>
      </c>
      <c r="N571" s="9" t="s">
        <v>1365</v>
      </c>
    </row>
    <row r="572" customFormat="false" ht="15" hidden="false" customHeight="false" outlineLevel="0" collapsed="false">
      <c r="A572" s="9" t="s">
        <v>1935</v>
      </c>
      <c r="B572" s="9" t="s">
        <v>655</v>
      </c>
      <c r="C572" s="9" t="str">
        <f aca="false">IFERROR(INDEX(Destination!$B$2:$B$501,MATCH(B572,Destination!$A$2:$A$501,0)),"")</f>
        <v>Darjeeling</v>
      </c>
      <c r="D572" s="9" t="s">
        <v>657</v>
      </c>
      <c r="E572" s="9" t="str">
        <f aca="false">IFERROR(INDEX(Destination!$B$2:$B$501,MATCH(D572,Destination!$A$2:$A$501,0)),"")</f>
        <v>Kalimpong</v>
      </c>
      <c r="F572" s="9" t="s">
        <v>1364</v>
      </c>
      <c r="G572" s="12" t="n">
        <f aca="false">INDEX(Destination!$F$2:$F$501,MATCH(B572,Destination!$A$2:$A$501,0))</f>
        <v>27.04</v>
      </c>
      <c r="H572" s="12" t="n">
        <f aca="false">INDEX(Destination!$G$2:$G$501,MATCH(B572,Destination!$A$2:$A$501,0))</f>
        <v>88.26</v>
      </c>
      <c r="I572" s="12" t="n">
        <f aca="false">INDEX(Destination!$F$2:$F$501,MATCH(D572,Destination!$A$2:$A$501,0))</f>
        <v>27.06</v>
      </c>
      <c r="J572" s="12" t="n">
        <f aca="false">INDEX(Destination!$G$2:$G$501,MATCH(D572,Destination!$A$2:$A$501,0))</f>
        <v>88.47</v>
      </c>
      <c r="K572" s="17" t="n">
        <f aca="false">Assumptions!$B$2*2*ASIN(SQRT(SIN(RADIANS(I572-G572)/2)^2+COS(RADIANS(G572))*COS(RADIANS(I572))*SIN(RADIANS(J572-H572)/2)^2))</f>
        <v>20.915142544158</v>
      </c>
      <c r="L572" s="18" t="n">
        <f aca="false">K572*Assumptions!$B$3</f>
        <v>27.1896853074054</v>
      </c>
      <c r="M572" s="19" t="n">
        <f aca="false">L572/Assumptions!$B$4</f>
        <v>0.604215229053454</v>
      </c>
      <c r="N572" s="9" t="s">
        <v>1365</v>
      </c>
    </row>
    <row r="573" customFormat="false" ht="15" hidden="false" customHeight="false" outlineLevel="0" collapsed="false">
      <c r="A573" s="9" t="s">
        <v>1936</v>
      </c>
      <c r="B573" s="9" t="s">
        <v>655</v>
      </c>
      <c r="C573" s="9" t="str">
        <f aca="false">IFERROR(INDEX(Destination!$B$2:$B$501,MATCH(B573,Destination!$A$2:$A$501,0)),"")</f>
        <v>Darjeeling</v>
      </c>
      <c r="D573" s="9" t="s">
        <v>676</v>
      </c>
      <c r="E573" s="9" t="str">
        <f aca="false">IFERROR(INDEX(Destination!$B$2:$B$501,MATCH(D573,Destination!$A$2:$A$501,0)),"")</f>
        <v>Mirik</v>
      </c>
      <c r="F573" s="9" t="s">
        <v>1364</v>
      </c>
      <c r="G573" s="12" t="n">
        <f aca="false">INDEX(Destination!$F$2:$F$501,MATCH(B573,Destination!$A$2:$A$501,0))</f>
        <v>27.04</v>
      </c>
      <c r="H573" s="12" t="n">
        <f aca="false">INDEX(Destination!$G$2:$G$501,MATCH(B573,Destination!$A$2:$A$501,0))</f>
        <v>88.26</v>
      </c>
      <c r="I573" s="12" t="n">
        <f aca="false">INDEX(Destination!$F$2:$F$501,MATCH(D573,Destination!$A$2:$A$501,0))</f>
        <v>26.89</v>
      </c>
      <c r="J573" s="12" t="n">
        <f aca="false">INDEX(Destination!$G$2:$G$501,MATCH(D573,Destination!$A$2:$A$501,0))</f>
        <v>88.18</v>
      </c>
      <c r="K573" s="17" t="n">
        <f aca="false">Assumptions!$B$2*2*ASIN(SQRT(SIN(RADIANS(I573-G573)/2)^2+COS(RADIANS(G573))*COS(RADIANS(I573))*SIN(RADIANS(J573-H573)/2)^2))</f>
        <v>18.4677564108708</v>
      </c>
      <c r="L573" s="18" t="n">
        <f aca="false">K573*Assumptions!$B$3</f>
        <v>24.0080833341321</v>
      </c>
      <c r="M573" s="19" t="n">
        <f aca="false">L573/Assumptions!$B$4</f>
        <v>0.533512962980713</v>
      </c>
      <c r="N573" s="9" t="s">
        <v>1365</v>
      </c>
    </row>
    <row r="574" customFormat="false" ht="15" hidden="false" customHeight="false" outlineLevel="0" collapsed="false">
      <c r="A574" s="9" t="s">
        <v>1937</v>
      </c>
      <c r="B574" s="9" t="s">
        <v>655</v>
      </c>
      <c r="C574" s="9" t="str">
        <f aca="false">IFERROR(INDEX(Destination!$B$2:$B$501,MATCH(B574,Destination!$A$2:$A$501,0)),"")</f>
        <v>Darjeeling</v>
      </c>
      <c r="D574" s="9" t="s">
        <v>678</v>
      </c>
      <c r="E574" s="9" t="str">
        <f aca="false">IFERROR(INDEX(Destination!$B$2:$B$501,MATCH(D574,Destination!$A$2:$A$501,0)),"")</f>
        <v>Kurseong</v>
      </c>
      <c r="F574" s="9" t="s">
        <v>1364</v>
      </c>
      <c r="G574" s="12" t="n">
        <f aca="false">INDEX(Destination!$F$2:$F$501,MATCH(B574,Destination!$A$2:$A$501,0))</f>
        <v>27.04</v>
      </c>
      <c r="H574" s="12" t="n">
        <f aca="false">INDEX(Destination!$G$2:$G$501,MATCH(B574,Destination!$A$2:$A$501,0))</f>
        <v>88.26</v>
      </c>
      <c r="I574" s="12" t="n">
        <f aca="false">INDEX(Destination!$F$2:$F$501,MATCH(D574,Destination!$A$2:$A$501,0))</f>
        <v>26.88</v>
      </c>
      <c r="J574" s="12" t="n">
        <f aca="false">INDEX(Destination!$G$2:$G$501,MATCH(D574,Destination!$A$2:$A$501,0))</f>
        <v>88.28</v>
      </c>
      <c r="K574" s="17" t="n">
        <f aca="false">Assumptions!$B$2*2*ASIN(SQRT(SIN(RADIANS(I574-G574)/2)^2+COS(RADIANS(G574))*COS(RADIANS(I574))*SIN(RADIANS(J574-H574)/2)^2))</f>
        <v>17.9012720653682</v>
      </c>
      <c r="L574" s="18" t="n">
        <f aca="false">K574*Assumptions!$B$3</f>
        <v>23.2716536849787</v>
      </c>
      <c r="M574" s="19" t="n">
        <f aca="false">L574/Assumptions!$B$4</f>
        <v>0.517147859666192</v>
      </c>
      <c r="N574" s="9" t="s">
        <v>1365</v>
      </c>
    </row>
    <row r="575" customFormat="false" ht="15" hidden="false" customHeight="false" outlineLevel="0" collapsed="false">
      <c r="A575" s="9" t="s">
        <v>1938</v>
      </c>
      <c r="B575" s="9" t="s">
        <v>655</v>
      </c>
      <c r="C575" s="9" t="str">
        <f aca="false">IFERROR(INDEX(Destination!$B$2:$B$501,MATCH(B575,Destination!$A$2:$A$501,0)),"")</f>
        <v>Darjeeling</v>
      </c>
      <c r="D575" s="9" t="s">
        <v>849</v>
      </c>
      <c r="E575" s="9" t="str">
        <f aca="false">IFERROR(INDEX(Destination!$B$2:$B$501,MATCH(D575,Destination!$A$2:$A$501,0)),"")</f>
        <v>Pelling</v>
      </c>
      <c r="F575" s="9" t="s">
        <v>1364</v>
      </c>
      <c r="G575" s="12" t="n">
        <f aca="false">INDEX(Destination!$F$2:$F$501,MATCH(B575,Destination!$A$2:$A$501,0))</f>
        <v>27.04</v>
      </c>
      <c r="H575" s="12" t="n">
        <f aca="false">INDEX(Destination!$G$2:$G$501,MATCH(B575,Destination!$A$2:$A$501,0))</f>
        <v>88.26</v>
      </c>
      <c r="I575" s="12" t="n">
        <f aca="false">INDEX(Destination!$F$2:$F$501,MATCH(D575,Destination!$A$2:$A$501,0))</f>
        <v>27.3</v>
      </c>
      <c r="J575" s="12" t="n">
        <f aca="false">INDEX(Destination!$G$2:$G$501,MATCH(D575,Destination!$A$2:$A$501,0))</f>
        <v>88.24</v>
      </c>
      <c r="K575" s="17" t="n">
        <f aca="false">Assumptions!$B$2*2*ASIN(SQRT(SIN(RADIANS(I575-G575)/2)^2+COS(RADIANS(G575))*COS(RADIANS(I575))*SIN(RADIANS(J575-H575)/2)^2))</f>
        <v>28.978301136747</v>
      </c>
      <c r="L575" s="18" t="n">
        <f aca="false">K575*Assumptions!$B$3</f>
        <v>37.6717914777711</v>
      </c>
      <c r="M575" s="19" t="n">
        <f aca="false">L575/Assumptions!$B$4</f>
        <v>0.837150921728247</v>
      </c>
      <c r="N575" s="9" t="s">
        <v>1365</v>
      </c>
    </row>
    <row r="576" customFormat="false" ht="15" hidden="false" customHeight="false" outlineLevel="0" collapsed="false">
      <c r="A576" s="9" t="s">
        <v>1939</v>
      </c>
      <c r="B576" s="9" t="s">
        <v>655</v>
      </c>
      <c r="C576" s="9" t="str">
        <f aca="false">IFERROR(INDEX(Destination!$B$2:$B$501,MATCH(B576,Destination!$A$2:$A$501,0)),"")</f>
        <v>Darjeeling</v>
      </c>
      <c r="D576" s="9" t="s">
        <v>859</v>
      </c>
      <c r="E576" s="9" t="str">
        <f aca="false">IFERROR(INDEX(Destination!$B$2:$B$501,MATCH(D576,Destination!$A$2:$A$501,0)),"")</f>
        <v>Namchi</v>
      </c>
      <c r="F576" s="9" t="s">
        <v>1364</v>
      </c>
      <c r="G576" s="12" t="n">
        <f aca="false">INDEX(Destination!$F$2:$F$501,MATCH(B576,Destination!$A$2:$A$501,0))</f>
        <v>27.04</v>
      </c>
      <c r="H576" s="12" t="n">
        <f aca="false">INDEX(Destination!$G$2:$G$501,MATCH(B576,Destination!$A$2:$A$501,0))</f>
        <v>88.26</v>
      </c>
      <c r="I576" s="12" t="n">
        <f aca="false">INDEX(Destination!$F$2:$F$501,MATCH(D576,Destination!$A$2:$A$501,0))</f>
        <v>27.17</v>
      </c>
      <c r="J576" s="12" t="n">
        <f aca="false">INDEX(Destination!$G$2:$G$501,MATCH(D576,Destination!$A$2:$A$501,0))</f>
        <v>88.36</v>
      </c>
      <c r="K576" s="17" t="n">
        <f aca="false">Assumptions!$B$2*2*ASIN(SQRT(SIN(RADIANS(I576-G576)/2)^2+COS(RADIANS(G576))*COS(RADIANS(I576))*SIN(RADIANS(J576-H576)/2)^2))</f>
        <v>17.5194917039359</v>
      </c>
      <c r="L576" s="18" t="n">
        <f aca="false">K576*Assumptions!$B$3</f>
        <v>22.7753392151166</v>
      </c>
      <c r="M576" s="19" t="n">
        <f aca="false">L576/Assumptions!$B$4</f>
        <v>0.506118649224814</v>
      </c>
      <c r="N576" s="9" t="s">
        <v>1365</v>
      </c>
    </row>
    <row r="577" customFormat="false" ht="15" hidden="false" customHeight="false" outlineLevel="0" collapsed="false">
      <c r="A577" s="9" t="s">
        <v>1940</v>
      </c>
      <c r="B577" s="9" t="s">
        <v>657</v>
      </c>
      <c r="C577" s="9" t="str">
        <f aca="false">IFERROR(INDEX(Destination!$B$2:$B$501,MATCH(B577,Destination!$A$2:$A$501,0)),"")</f>
        <v>Kalimpong</v>
      </c>
      <c r="D577" s="9" t="s">
        <v>674</v>
      </c>
      <c r="E577" s="9" t="str">
        <f aca="false">IFERROR(INDEX(Destination!$B$2:$B$501,MATCH(D577,Destination!$A$2:$A$501,0)),"")</f>
        <v>Dooars</v>
      </c>
      <c r="F577" s="9" t="s">
        <v>1364</v>
      </c>
      <c r="G577" s="12" t="n">
        <f aca="false">INDEX(Destination!$F$2:$F$501,MATCH(B577,Destination!$A$2:$A$501,0))</f>
        <v>27.06</v>
      </c>
      <c r="H577" s="12" t="n">
        <f aca="false">INDEX(Destination!$G$2:$G$501,MATCH(B577,Destination!$A$2:$A$501,0))</f>
        <v>88.47</v>
      </c>
      <c r="I577" s="12" t="n">
        <f aca="false">INDEX(Destination!$F$2:$F$501,MATCH(D577,Destination!$A$2:$A$501,0))</f>
        <v>26.75</v>
      </c>
      <c r="J577" s="12" t="n">
        <f aca="false">INDEX(Destination!$G$2:$G$501,MATCH(D577,Destination!$A$2:$A$501,0))</f>
        <v>89</v>
      </c>
      <c r="K577" s="17" t="n">
        <f aca="false">Assumptions!$B$2*2*ASIN(SQRT(SIN(RADIANS(I577-G577)/2)^2+COS(RADIANS(G577))*COS(RADIANS(I577))*SIN(RADIANS(J577-H577)/2)^2))</f>
        <v>62.8501711942915</v>
      </c>
      <c r="L577" s="18" t="n">
        <f aca="false">K577*Assumptions!$B$3</f>
        <v>81.7052225525789</v>
      </c>
      <c r="M577" s="19" t="n">
        <f aca="false">L577/Assumptions!$B$4</f>
        <v>1.81567161227953</v>
      </c>
      <c r="N577" s="9" t="s">
        <v>1365</v>
      </c>
    </row>
    <row r="578" customFormat="false" ht="15" hidden="false" customHeight="false" outlineLevel="0" collapsed="false">
      <c r="A578" s="9" t="s">
        <v>1941</v>
      </c>
      <c r="B578" s="9" t="s">
        <v>657</v>
      </c>
      <c r="C578" s="9" t="str">
        <f aca="false">IFERROR(INDEX(Destination!$B$2:$B$501,MATCH(B578,Destination!$A$2:$A$501,0)),"")</f>
        <v>Kalimpong</v>
      </c>
      <c r="D578" s="9" t="s">
        <v>676</v>
      </c>
      <c r="E578" s="9" t="str">
        <f aca="false">IFERROR(INDEX(Destination!$B$2:$B$501,MATCH(D578,Destination!$A$2:$A$501,0)),"")</f>
        <v>Mirik</v>
      </c>
      <c r="F578" s="9" t="s">
        <v>1364</v>
      </c>
      <c r="G578" s="12" t="n">
        <f aca="false">INDEX(Destination!$F$2:$F$501,MATCH(B578,Destination!$A$2:$A$501,0))</f>
        <v>27.06</v>
      </c>
      <c r="H578" s="12" t="n">
        <f aca="false">INDEX(Destination!$G$2:$G$501,MATCH(B578,Destination!$A$2:$A$501,0))</f>
        <v>88.47</v>
      </c>
      <c r="I578" s="12" t="n">
        <f aca="false">INDEX(Destination!$F$2:$F$501,MATCH(D578,Destination!$A$2:$A$501,0))</f>
        <v>26.89</v>
      </c>
      <c r="J578" s="12" t="n">
        <f aca="false">INDEX(Destination!$G$2:$G$501,MATCH(D578,Destination!$A$2:$A$501,0))</f>
        <v>88.18</v>
      </c>
      <c r="K578" s="17" t="n">
        <f aca="false">Assumptions!$B$2*2*ASIN(SQRT(SIN(RADIANS(I578-G578)/2)^2+COS(RADIANS(G578))*COS(RADIANS(I578))*SIN(RADIANS(J578-H578)/2)^2))</f>
        <v>34.3978825596207</v>
      </c>
      <c r="L578" s="18" t="n">
        <f aca="false">K578*Assumptions!$B$3</f>
        <v>44.7172473275069</v>
      </c>
      <c r="M578" s="19" t="n">
        <f aca="false">L578/Assumptions!$B$4</f>
        <v>0.993716607277931</v>
      </c>
      <c r="N578" s="9" t="s">
        <v>1365</v>
      </c>
    </row>
    <row r="579" customFormat="false" ht="15" hidden="false" customHeight="false" outlineLevel="0" collapsed="false">
      <c r="A579" s="9" t="s">
        <v>1942</v>
      </c>
      <c r="B579" s="9" t="s">
        <v>657</v>
      </c>
      <c r="C579" s="9" t="str">
        <f aca="false">IFERROR(INDEX(Destination!$B$2:$B$501,MATCH(B579,Destination!$A$2:$A$501,0)),"")</f>
        <v>Kalimpong</v>
      </c>
      <c r="D579" s="9" t="s">
        <v>678</v>
      </c>
      <c r="E579" s="9" t="str">
        <f aca="false">IFERROR(INDEX(Destination!$B$2:$B$501,MATCH(D579,Destination!$A$2:$A$501,0)),"")</f>
        <v>Kurseong</v>
      </c>
      <c r="F579" s="9" t="s">
        <v>1364</v>
      </c>
      <c r="G579" s="12" t="n">
        <f aca="false">INDEX(Destination!$F$2:$F$501,MATCH(B579,Destination!$A$2:$A$501,0))</f>
        <v>27.06</v>
      </c>
      <c r="H579" s="12" t="n">
        <f aca="false">INDEX(Destination!$G$2:$G$501,MATCH(B579,Destination!$A$2:$A$501,0))</f>
        <v>88.47</v>
      </c>
      <c r="I579" s="12" t="n">
        <f aca="false">INDEX(Destination!$F$2:$F$501,MATCH(D579,Destination!$A$2:$A$501,0))</f>
        <v>26.88</v>
      </c>
      <c r="J579" s="12" t="n">
        <f aca="false">INDEX(Destination!$G$2:$G$501,MATCH(D579,Destination!$A$2:$A$501,0))</f>
        <v>88.28</v>
      </c>
      <c r="K579" s="17" t="n">
        <f aca="false">Assumptions!$B$2*2*ASIN(SQRT(SIN(RADIANS(I579-G579)/2)^2+COS(RADIANS(G579))*COS(RADIANS(I579))*SIN(RADIANS(J579-H579)/2)^2))</f>
        <v>27.4799454702521</v>
      </c>
      <c r="L579" s="18" t="n">
        <f aca="false">K579*Assumptions!$B$3</f>
        <v>35.7239291113277</v>
      </c>
      <c r="M579" s="19" t="n">
        <f aca="false">L579/Assumptions!$B$4</f>
        <v>0.793865091362838</v>
      </c>
      <c r="N579" s="9" t="s">
        <v>1365</v>
      </c>
    </row>
    <row r="580" customFormat="false" ht="15" hidden="false" customHeight="false" outlineLevel="0" collapsed="false">
      <c r="A580" s="9" t="s">
        <v>1943</v>
      </c>
      <c r="B580" s="9" t="s">
        <v>657</v>
      </c>
      <c r="C580" s="9" t="str">
        <f aca="false">IFERROR(INDEX(Destination!$B$2:$B$501,MATCH(B580,Destination!$A$2:$A$501,0)),"")</f>
        <v>Kalimpong</v>
      </c>
      <c r="D580" s="9" t="s">
        <v>859</v>
      </c>
      <c r="E580" s="9" t="str">
        <f aca="false">IFERROR(INDEX(Destination!$B$2:$B$501,MATCH(D580,Destination!$A$2:$A$501,0)),"")</f>
        <v>Namchi</v>
      </c>
      <c r="F580" s="9" t="s">
        <v>1364</v>
      </c>
      <c r="G580" s="12" t="n">
        <f aca="false">INDEX(Destination!$F$2:$F$501,MATCH(B580,Destination!$A$2:$A$501,0))</f>
        <v>27.06</v>
      </c>
      <c r="H580" s="12" t="n">
        <f aca="false">INDEX(Destination!$G$2:$G$501,MATCH(B580,Destination!$A$2:$A$501,0))</f>
        <v>88.47</v>
      </c>
      <c r="I580" s="12" t="n">
        <f aca="false">INDEX(Destination!$F$2:$F$501,MATCH(D580,Destination!$A$2:$A$501,0))</f>
        <v>27.17</v>
      </c>
      <c r="J580" s="12" t="n">
        <f aca="false">INDEX(Destination!$G$2:$G$501,MATCH(D580,Destination!$A$2:$A$501,0))</f>
        <v>88.36</v>
      </c>
      <c r="K580" s="17" t="n">
        <f aca="false">Assumptions!$B$2*2*ASIN(SQRT(SIN(RADIANS(I580-G580)/2)^2+COS(RADIANS(G580))*COS(RADIANS(I580))*SIN(RADIANS(J580-H580)/2)^2))</f>
        <v>16.3749087294375</v>
      </c>
      <c r="L580" s="18" t="n">
        <f aca="false">K580*Assumptions!$B$3</f>
        <v>21.2873813482688</v>
      </c>
      <c r="M580" s="19" t="n">
        <f aca="false">L580/Assumptions!$B$4</f>
        <v>0.473052918850418</v>
      </c>
      <c r="N580" s="9" t="s">
        <v>1365</v>
      </c>
    </row>
    <row r="581" customFormat="false" ht="15" hidden="false" customHeight="false" outlineLevel="0" collapsed="false">
      <c r="A581" s="9" t="s">
        <v>1944</v>
      </c>
      <c r="B581" s="9" t="s">
        <v>659</v>
      </c>
      <c r="C581" s="9" t="str">
        <f aca="false">IFERROR(INDEX(Destination!$B$2:$B$501,MATCH(B581,Destination!$A$2:$A$501,0)),"")</f>
        <v>Siliguri</v>
      </c>
      <c r="D581" s="9" t="s">
        <v>672</v>
      </c>
      <c r="E581" s="9" t="str">
        <f aca="false">IFERROR(INDEX(Destination!$B$2:$B$501,MATCH(D581,Destination!$A$2:$A$501,0)),"")</f>
        <v>Jalpaiguri</v>
      </c>
      <c r="F581" s="9" t="s">
        <v>1364</v>
      </c>
      <c r="G581" s="12" t="n">
        <f aca="false">INDEX(Destination!$F$2:$F$501,MATCH(B581,Destination!$A$2:$A$501,0))</f>
        <v>26.72</v>
      </c>
      <c r="H581" s="12" t="n">
        <f aca="false">INDEX(Destination!$G$2:$G$501,MATCH(B581,Destination!$A$2:$A$501,0))</f>
        <v>88.43</v>
      </c>
      <c r="I581" s="12" t="n">
        <f aca="false">INDEX(Destination!$F$2:$F$501,MATCH(D581,Destination!$A$2:$A$501,0))</f>
        <v>26.52</v>
      </c>
      <c r="J581" s="12" t="n">
        <f aca="false">INDEX(Destination!$G$2:$G$501,MATCH(D581,Destination!$A$2:$A$501,0))</f>
        <v>88.72</v>
      </c>
      <c r="K581" s="17" t="n">
        <f aca="false">Assumptions!$B$2*2*ASIN(SQRT(SIN(RADIANS(I581-G581)/2)^2+COS(RADIANS(G581))*COS(RADIANS(I581))*SIN(RADIANS(J581-H581)/2)^2))</f>
        <v>36.4093827928037</v>
      </c>
      <c r="L581" s="18" t="n">
        <f aca="false">K581*Assumptions!$B$3</f>
        <v>47.3321976306448</v>
      </c>
      <c r="M581" s="19" t="n">
        <f aca="false">L581/Assumptions!$B$4</f>
        <v>1.05182661401433</v>
      </c>
      <c r="N581" s="9" t="s">
        <v>1365</v>
      </c>
    </row>
    <row r="582" customFormat="false" ht="15" hidden="false" customHeight="false" outlineLevel="0" collapsed="false">
      <c r="A582" s="9" t="s">
        <v>1945</v>
      </c>
      <c r="B582" s="9" t="s">
        <v>659</v>
      </c>
      <c r="C582" s="9" t="str">
        <f aca="false">IFERROR(INDEX(Destination!$B$2:$B$501,MATCH(B582,Destination!$A$2:$A$501,0)),"")</f>
        <v>Siliguri</v>
      </c>
      <c r="D582" s="9" t="s">
        <v>674</v>
      </c>
      <c r="E582" s="9" t="str">
        <f aca="false">IFERROR(INDEX(Destination!$B$2:$B$501,MATCH(D582,Destination!$A$2:$A$501,0)),"")</f>
        <v>Dooars</v>
      </c>
      <c r="F582" s="9" t="s">
        <v>1364</v>
      </c>
      <c r="G582" s="12" t="n">
        <f aca="false">INDEX(Destination!$F$2:$F$501,MATCH(B582,Destination!$A$2:$A$501,0))</f>
        <v>26.72</v>
      </c>
      <c r="H582" s="12" t="n">
        <f aca="false">INDEX(Destination!$G$2:$G$501,MATCH(B582,Destination!$A$2:$A$501,0))</f>
        <v>88.43</v>
      </c>
      <c r="I582" s="12" t="n">
        <f aca="false">INDEX(Destination!$F$2:$F$501,MATCH(D582,Destination!$A$2:$A$501,0))</f>
        <v>26.75</v>
      </c>
      <c r="J582" s="12" t="n">
        <f aca="false">INDEX(Destination!$G$2:$G$501,MATCH(D582,Destination!$A$2:$A$501,0))</f>
        <v>89</v>
      </c>
      <c r="K582" s="17" t="n">
        <f aca="false">Assumptions!$B$2*2*ASIN(SQRT(SIN(RADIANS(I582-G582)/2)^2+COS(RADIANS(G582))*COS(RADIANS(I582))*SIN(RADIANS(J582-H582)/2)^2))</f>
        <v>56.7036214833597</v>
      </c>
      <c r="L582" s="18" t="n">
        <f aca="false">K582*Assumptions!$B$3</f>
        <v>73.7147079283676</v>
      </c>
      <c r="M582" s="19" t="n">
        <f aca="false">L582/Assumptions!$B$4</f>
        <v>1.63810462063039</v>
      </c>
      <c r="N582" s="9" t="s">
        <v>1365</v>
      </c>
    </row>
    <row r="583" customFormat="false" ht="15" hidden="false" customHeight="false" outlineLevel="0" collapsed="false">
      <c r="A583" s="9" t="s">
        <v>1946</v>
      </c>
      <c r="B583" s="9" t="s">
        <v>659</v>
      </c>
      <c r="C583" s="9" t="str">
        <f aca="false">IFERROR(INDEX(Destination!$B$2:$B$501,MATCH(B583,Destination!$A$2:$A$501,0)),"")</f>
        <v>Siliguri</v>
      </c>
      <c r="D583" s="9" t="s">
        <v>676</v>
      </c>
      <c r="E583" s="9" t="str">
        <f aca="false">IFERROR(INDEX(Destination!$B$2:$B$501,MATCH(D583,Destination!$A$2:$A$501,0)),"")</f>
        <v>Mirik</v>
      </c>
      <c r="F583" s="9" t="s">
        <v>1364</v>
      </c>
      <c r="G583" s="12" t="n">
        <f aca="false">INDEX(Destination!$F$2:$F$501,MATCH(B583,Destination!$A$2:$A$501,0))</f>
        <v>26.72</v>
      </c>
      <c r="H583" s="12" t="n">
        <f aca="false">INDEX(Destination!$G$2:$G$501,MATCH(B583,Destination!$A$2:$A$501,0))</f>
        <v>88.43</v>
      </c>
      <c r="I583" s="12" t="n">
        <f aca="false">INDEX(Destination!$F$2:$F$501,MATCH(D583,Destination!$A$2:$A$501,0))</f>
        <v>26.89</v>
      </c>
      <c r="J583" s="12" t="n">
        <f aca="false">INDEX(Destination!$G$2:$G$501,MATCH(D583,Destination!$A$2:$A$501,0))</f>
        <v>88.18</v>
      </c>
      <c r="K583" s="17" t="n">
        <f aca="false">Assumptions!$B$2*2*ASIN(SQRT(SIN(RADIANS(I583-G583)/2)^2+COS(RADIANS(G583))*COS(RADIANS(I583))*SIN(RADIANS(J583-H583)/2)^2))</f>
        <v>31.1920835007372</v>
      </c>
      <c r="L583" s="18" t="n">
        <f aca="false">K583*Assumptions!$B$3</f>
        <v>40.5497085509584</v>
      </c>
      <c r="M583" s="19" t="n">
        <f aca="false">L583/Assumptions!$B$4</f>
        <v>0.901104634465742</v>
      </c>
      <c r="N583" s="9" t="s">
        <v>1365</v>
      </c>
    </row>
    <row r="584" customFormat="false" ht="15" hidden="false" customHeight="false" outlineLevel="0" collapsed="false">
      <c r="A584" s="9" t="s">
        <v>1947</v>
      </c>
      <c r="B584" s="9" t="s">
        <v>659</v>
      </c>
      <c r="C584" s="9" t="str">
        <f aca="false">IFERROR(INDEX(Destination!$B$2:$B$501,MATCH(B584,Destination!$A$2:$A$501,0)),"")</f>
        <v>Siliguri</v>
      </c>
      <c r="D584" s="9" t="s">
        <v>678</v>
      </c>
      <c r="E584" s="9" t="str">
        <f aca="false">IFERROR(INDEX(Destination!$B$2:$B$501,MATCH(D584,Destination!$A$2:$A$501,0)),"")</f>
        <v>Kurseong</v>
      </c>
      <c r="F584" s="9" t="s">
        <v>1364</v>
      </c>
      <c r="G584" s="12" t="n">
        <f aca="false">INDEX(Destination!$F$2:$F$501,MATCH(B584,Destination!$A$2:$A$501,0))</f>
        <v>26.72</v>
      </c>
      <c r="H584" s="12" t="n">
        <f aca="false">INDEX(Destination!$G$2:$G$501,MATCH(B584,Destination!$A$2:$A$501,0))</f>
        <v>88.43</v>
      </c>
      <c r="I584" s="12" t="n">
        <f aca="false">INDEX(Destination!$F$2:$F$501,MATCH(D584,Destination!$A$2:$A$501,0))</f>
        <v>26.88</v>
      </c>
      <c r="J584" s="12" t="n">
        <f aca="false">INDEX(Destination!$G$2:$G$501,MATCH(D584,Destination!$A$2:$A$501,0))</f>
        <v>88.28</v>
      </c>
      <c r="K584" s="17" t="n">
        <f aca="false">Assumptions!$B$2*2*ASIN(SQRT(SIN(RADIANS(I584-G584)/2)^2+COS(RADIANS(G584))*COS(RADIANS(I584))*SIN(RADIANS(J584-H584)/2)^2))</f>
        <v>23.1984544215486</v>
      </c>
      <c r="L584" s="18" t="n">
        <f aca="false">K584*Assumptions!$B$3</f>
        <v>30.1579907480132</v>
      </c>
      <c r="M584" s="19" t="n">
        <f aca="false">L584/Assumptions!$B$4</f>
        <v>0.670177572178072</v>
      </c>
      <c r="N584" s="9" t="s">
        <v>1365</v>
      </c>
    </row>
    <row r="585" customFormat="false" ht="15" hidden="false" customHeight="false" outlineLevel="0" collapsed="false">
      <c r="A585" s="9" t="s">
        <v>1948</v>
      </c>
      <c r="B585" s="9" t="s">
        <v>661</v>
      </c>
      <c r="C585" s="9" t="str">
        <f aca="false">IFERROR(INDEX(Destination!$B$2:$B$501,MATCH(B585,Destination!$A$2:$A$501,0)),"")</f>
        <v>Sundarbans</v>
      </c>
      <c r="D585" s="9" t="s">
        <v>682</v>
      </c>
      <c r="E585" s="9" t="str">
        <f aca="false">IFERROR(INDEX(Destination!$B$2:$B$501,MATCH(D585,Destination!$A$2:$A$501,0)),"")</f>
        <v>Gangasagar</v>
      </c>
      <c r="F585" s="9" t="s">
        <v>1364</v>
      </c>
      <c r="G585" s="12" t="n">
        <f aca="false">INDEX(Destination!$F$2:$F$501,MATCH(B585,Destination!$A$2:$A$501,0))</f>
        <v>21.95</v>
      </c>
      <c r="H585" s="12" t="n">
        <f aca="false">INDEX(Destination!$G$2:$G$501,MATCH(B585,Destination!$A$2:$A$501,0))</f>
        <v>89.18</v>
      </c>
      <c r="I585" s="12" t="n">
        <f aca="false">INDEX(Destination!$F$2:$F$501,MATCH(D585,Destination!$A$2:$A$501,0))</f>
        <v>21.64</v>
      </c>
      <c r="J585" s="12" t="n">
        <f aca="false">INDEX(Destination!$G$2:$G$501,MATCH(D585,Destination!$A$2:$A$501,0))</f>
        <v>88.08</v>
      </c>
      <c r="K585" s="17" t="n">
        <f aca="false">Assumptions!$B$2*2*ASIN(SQRT(SIN(RADIANS(I585-G585)/2)^2+COS(RADIANS(G585))*COS(RADIANS(I585))*SIN(RADIANS(J585-H585)/2)^2))</f>
        <v>118.686643913993</v>
      </c>
      <c r="L585" s="18" t="n">
        <f aca="false">K585*Assumptions!$B$3</f>
        <v>154.292637088191</v>
      </c>
      <c r="M585" s="19" t="n">
        <f aca="false">L585/Assumptions!$B$4</f>
        <v>3.42872526862648</v>
      </c>
      <c r="N585" s="9" t="s">
        <v>1365</v>
      </c>
    </row>
    <row r="586" customFormat="false" ht="15" hidden="false" customHeight="false" outlineLevel="0" collapsed="false">
      <c r="A586" s="9" t="s">
        <v>1949</v>
      </c>
      <c r="B586" s="9" t="s">
        <v>661</v>
      </c>
      <c r="C586" s="9" t="str">
        <f aca="false">IFERROR(INDEX(Destination!$B$2:$B$501,MATCH(B586,Destination!$A$2:$A$501,0)),"")</f>
        <v>Sundarbans</v>
      </c>
      <c r="D586" s="9" t="s">
        <v>1005</v>
      </c>
      <c r="E586" s="9" t="str">
        <f aca="false">IFERROR(INDEX(Destination!$B$2:$B$501,MATCH(D586,Destination!$A$2:$A$501,0)),"")</f>
        <v>Kolkata Heritage</v>
      </c>
      <c r="F586" s="9" t="s">
        <v>1364</v>
      </c>
      <c r="G586" s="12" t="n">
        <f aca="false">INDEX(Destination!$F$2:$F$501,MATCH(B586,Destination!$A$2:$A$501,0))</f>
        <v>21.95</v>
      </c>
      <c r="H586" s="12" t="n">
        <f aca="false">INDEX(Destination!$G$2:$G$501,MATCH(B586,Destination!$A$2:$A$501,0))</f>
        <v>89.18</v>
      </c>
      <c r="I586" s="12" t="n">
        <f aca="false">INDEX(Destination!$F$2:$F$501,MATCH(D586,Destination!$A$2:$A$501,0))</f>
        <v>22.57</v>
      </c>
      <c r="J586" s="12" t="n">
        <f aca="false">INDEX(Destination!$G$2:$G$501,MATCH(D586,Destination!$A$2:$A$501,0))</f>
        <v>88.35</v>
      </c>
      <c r="K586" s="17" t="n">
        <f aca="false">Assumptions!$B$2*2*ASIN(SQRT(SIN(RADIANS(I586-G586)/2)^2+COS(RADIANS(G586))*COS(RADIANS(I586))*SIN(RADIANS(J586-H586)/2)^2))</f>
        <v>109.764358148471</v>
      </c>
      <c r="L586" s="18" t="n">
        <f aca="false">K586*Assumptions!$B$3</f>
        <v>142.693665593012</v>
      </c>
      <c r="M586" s="19" t="n">
        <f aca="false">L586/Assumptions!$B$4</f>
        <v>3.17097034651138</v>
      </c>
      <c r="N586" s="9" t="s">
        <v>1365</v>
      </c>
    </row>
    <row r="587" customFormat="false" ht="15" hidden="false" customHeight="false" outlineLevel="0" collapsed="false">
      <c r="A587" s="9" t="s">
        <v>1950</v>
      </c>
      <c r="B587" s="9" t="s">
        <v>664</v>
      </c>
      <c r="C587" s="9" t="str">
        <f aca="false">IFERROR(INDEX(Destination!$B$2:$B$501,MATCH(B587,Destination!$A$2:$A$501,0)),"")</f>
        <v>Digha</v>
      </c>
      <c r="D587" s="9" t="s">
        <v>682</v>
      </c>
      <c r="E587" s="9" t="str">
        <f aca="false">IFERROR(INDEX(Destination!$B$2:$B$501,MATCH(D587,Destination!$A$2:$A$501,0)),"")</f>
        <v>Gangasagar</v>
      </c>
      <c r="F587" s="9" t="s">
        <v>1364</v>
      </c>
      <c r="G587" s="12" t="n">
        <f aca="false">INDEX(Destination!$F$2:$F$501,MATCH(B587,Destination!$A$2:$A$501,0))</f>
        <v>21.63</v>
      </c>
      <c r="H587" s="12" t="n">
        <f aca="false">INDEX(Destination!$G$2:$G$501,MATCH(B587,Destination!$A$2:$A$501,0))</f>
        <v>87.55</v>
      </c>
      <c r="I587" s="12" t="n">
        <f aca="false">INDEX(Destination!$F$2:$F$501,MATCH(D587,Destination!$A$2:$A$501,0))</f>
        <v>21.64</v>
      </c>
      <c r="J587" s="12" t="n">
        <f aca="false">INDEX(Destination!$G$2:$G$501,MATCH(D587,Destination!$A$2:$A$501,0))</f>
        <v>88.08</v>
      </c>
      <c r="K587" s="17" t="n">
        <f aca="false">Assumptions!$B$2*2*ASIN(SQRT(SIN(RADIANS(I587-G587)/2)^2+COS(RADIANS(G587))*COS(RADIANS(I587))*SIN(RADIANS(J587-H587)/2)^2))</f>
        <v>54.7928013934812</v>
      </c>
      <c r="L587" s="18" t="n">
        <f aca="false">K587*Assumptions!$B$3</f>
        <v>71.2306418115256</v>
      </c>
      <c r="M587" s="19" t="n">
        <f aca="false">L587/Assumptions!$B$4</f>
        <v>1.58290315136724</v>
      </c>
      <c r="N587" s="9" t="s">
        <v>1365</v>
      </c>
    </row>
    <row r="588" customFormat="false" ht="15" hidden="false" customHeight="false" outlineLevel="0" collapsed="false">
      <c r="A588" s="9" t="s">
        <v>1951</v>
      </c>
      <c r="B588" s="9" t="s">
        <v>666</v>
      </c>
      <c r="C588" s="9" t="str">
        <f aca="false">IFERROR(INDEX(Destination!$B$2:$B$501,MATCH(B588,Destination!$A$2:$A$501,0)),"")</f>
        <v>Shantiniketan</v>
      </c>
      <c r="D588" s="9" t="s">
        <v>668</v>
      </c>
      <c r="E588" s="9" t="str">
        <f aca="false">IFERROR(INDEX(Destination!$B$2:$B$501,MATCH(D588,Destination!$A$2:$A$501,0)),"")</f>
        <v>Murshidabad</v>
      </c>
      <c r="F588" s="9" t="s">
        <v>1364</v>
      </c>
      <c r="G588" s="12" t="n">
        <f aca="false">INDEX(Destination!$F$2:$F$501,MATCH(B588,Destination!$A$2:$A$501,0))</f>
        <v>23.68</v>
      </c>
      <c r="H588" s="12" t="n">
        <f aca="false">INDEX(Destination!$G$2:$G$501,MATCH(B588,Destination!$A$2:$A$501,0))</f>
        <v>87.68</v>
      </c>
      <c r="I588" s="12" t="n">
        <f aca="false">INDEX(Destination!$F$2:$F$501,MATCH(D588,Destination!$A$2:$A$501,0))</f>
        <v>24.18</v>
      </c>
      <c r="J588" s="12" t="n">
        <f aca="false">INDEX(Destination!$G$2:$G$501,MATCH(D588,Destination!$A$2:$A$501,0))</f>
        <v>88.27</v>
      </c>
      <c r="K588" s="17" t="n">
        <f aca="false">Assumptions!$B$2*2*ASIN(SQRT(SIN(RADIANS(I588-G588)/2)^2+COS(RADIANS(G588))*COS(RADIANS(I588))*SIN(RADIANS(J588-H588)/2)^2))</f>
        <v>81.7736081169957</v>
      </c>
      <c r="L588" s="18" t="n">
        <f aca="false">K588*Assumptions!$B$3</f>
        <v>106.305690552094</v>
      </c>
      <c r="M588" s="19" t="n">
        <f aca="false">L588/Assumptions!$B$4</f>
        <v>2.36234867893543</v>
      </c>
      <c r="N588" s="9" t="s">
        <v>1365</v>
      </c>
    </row>
    <row r="589" customFormat="false" ht="15" hidden="false" customHeight="false" outlineLevel="0" collapsed="false">
      <c r="A589" s="9" t="s">
        <v>1952</v>
      </c>
      <c r="B589" s="9" t="s">
        <v>666</v>
      </c>
      <c r="C589" s="9" t="str">
        <f aca="false">IFERROR(INDEX(Destination!$B$2:$B$501,MATCH(B589,Destination!$A$2:$A$501,0)),"")</f>
        <v>Shantiniketan</v>
      </c>
      <c r="D589" s="9" t="s">
        <v>670</v>
      </c>
      <c r="E589" s="9" t="str">
        <f aca="false">IFERROR(INDEX(Destination!$B$2:$B$501,MATCH(D589,Destination!$A$2:$A$501,0)),"")</f>
        <v>Bishnupur</v>
      </c>
      <c r="F589" s="9" t="s">
        <v>1364</v>
      </c>
      <c r="G589" s="12" t="n">
        <f aca="false">INDEX(Destination!$F$2:$F$501,MATCH(B589,Destination!$A$2:$A$501,0))</f>
        <v>23.68</v>
      </c>
      <c r="H589" s="12" t="n">
        <f aca="false">INDEX(Destination!$G$2:$G$501,MATCH(B589,Destination!$A$2:$A$501,0))</f>
        <v>87.68</v>
      </c>
      <c r="I589" s="12" t="n">
        <f aca="false">INDEX(Destination!$F$2:$F$501,MATCH(D589,Destination!$A$2:$A$501,0))</f>
        <v>23.07</v>
      </c>
      <c r="J589" s="12" t="n">
        <f aca="false">INDEX(Destination!$G$2:$G$501,MATCH(D589,Destination!$A$2:$A$501,0))</f>
        <v>87.32</v>
      </c>
      <c r="K589" s="17" t="n">
        <f aca="false">Assumptions!$B$2*2*ASIN(SQRT(SIN(RADIANS(I589-G589)/2)^2+COS(RADIANS(G589))*COS(RADIANS(I589))*SIN(RADIANS(J589-H589)/2)^2))</f>
        <v>77.1422119722033</v>
      </c>
      <c r="L589" s="18" t="n">
        <f aca="false">K589*Assumptions!$B$3</f>
        <v>100.284875563864</v>
      </c>
      <c r="M589" s="19" t="n">
        <f aca="false">L589/Assumptions!$B$4</f>
        <v>2.22855279030809</v>
      </c>
      <c r="N589" s="9" t="s">
        <v>1365</v>
      </c>
    </row>
    <row r="590" customFormat="false" ht="15" hidden="false" customHeight="false" outlineLevel="0" collapsed="false">
      <c r="A590" s="9" t="s">
        <v>1953</v>
      </c>
      <c r="B590" s="9" t="s">
        <v>666</v>
      </c>
      <c r="C590" s="9" t="str">
        <f aca="false">IFERROR(INDEX(Destination!$B$2:$B$501,MATCH(B590,Destination!$A$2:$A$501,0)),"")</f>
        <v>Shantiniketan</v>
      </c>
      <c r="D590" s="9" t="s">
        <v>680</v>
      </c>
      <c r="E590" s="9" t="str">
        <f aca="false">IFERROR(INDEX(Destination!$B$2:$B$501,MATCH(D590,Destination!$A$2:$A$501,0)),"")</f>
        <v>Mayapur</v>
      </c>
      <c r="F590" s="9" t="s">
        <v>1364</v>
      </c>
      <c r="G590" s="12" t="n">
        <f aca="false">INDEX(Destination!$F$2:$F$501,MATCH(B590,Destination!$A$2:$A$501,0))</f>
        <v>23.68</v>
      </c>
      <c r="H590" s="12" t="n">
        <f aca="false">INDEX(Destination!$G$2:$G$501,MATCH(B590,Destination!$A$2:$A$501,0))</f>
        <v>87.68</v>
      </c>
      <c r="I590" s="12" t="n">
        <f aca="false">INDEX(Destination!$F$2:$F$501,MATCH(D590,Destination!$A$2:$A$501,0))</f>
        <v>23.42</v>
      </c>
      <c r="J590" s="12" t="n">
        <f aca="false">INDEX(Destination!$G$2:$G$501,MATCH(D590,Destination!$A$2:$A$501,0))</f>
        <v>88.39</v>
      </c>
      <c r="K590" s="17" t="n">
        <f aca="false">Assumptions!$B$2*2*ASIN(SQRT(SIN(RADIANS(I590-G590)/2)^2+COS(RADIANS(G590))*COS(RADIANS(I590))*SIN(RADIANS(J590-H590)/2)^2))</f>
        <v>77.9335794329402</v>
      </c>
      <c r="L590" s="18" t="n">
        <f aca="false">K590*Assumptions!$B$3</f>
        <v>101.313653262822</v>
      </c>
      <c r="M590" s="19" t="n">
        <f aca="false">L590/Assumptions!$B$4</f>
        <v>2.25141451695161</v>
      </c>
      <c r="N590" s="9" t="s">
        <v>1365</v>
      </c>
    </row>
    <row r="591" customFormat="false" ht="15" hidden="false" customHeight="false" outlineLevel="0" collapsed="false">
      <c r="A591" s="9" t="s">
        <v>1954</v>
      </c>
      <c r="B591" s="9" t="s">
        <v>666</v>
      </c>
      <c r="C591" s="9" t="str">
        <f aca="false">IFERROR(INDEX(Destination!$B$2:$B$501,MATCH(B591,Destination!$A$2:$A$501,0)),"")</f>
        <v>Shantiniketan</v>
      </c>
      <c r="D591" s="9" t="s">
        <v>708</v>
      </c>
      <c r="E591" s="9" t="str">
        <f aca="false">IFERROR(INDEX(Destination!$B$2:$B$501,MATCH(D591,Destination!$A$2:$A$501,0)),"")</f>
        <v>Deoghar</v>
      </c>
      <c r="F591" s="9" t="s">
        <v>1364</v>
      </c>
      <c r="G591" s="12" t="n">
        <f aca="false">INDEX(Destination!$F$2:$F$501,MATCH(B591,Destination!$A$2:$A$501,0))</f>
        <v>23.68</v>
      </c>
      <c r="H591" s="12" t="n">
        <f aca="false">INDEX(Destination!$G$2:$G$501,MATCH(B591,Destination!$A$2:$A$501,0))</f>
        <v>87.68</v>
      </c>
      <c r="I591" s="12" t="n">
        <f aca="false">INDEX(Destination!$F$2:$F$501,MATCH(D591,Destination!$A$2:$A$501,0))</f>
        <v>24.49</v>
      </c>
      <c r="J591" s="12" t="n">
        <f aca="false">INDEX(Destination!$G$2:$G$501,MATCH(D591,Destination!$A$2:$A$501,0))</f>
        <v>86.7</v>
      </c>
      <c r="K591" s="17" t="n">
        <f aca="false">Assumptions!$B$2*2*ASIN(SQRT(SIN(RADIANS(I591-G591)/2)^2+COS(RADIANS(G591))*COS(RADIANS(I591))*SIN(RADIANS(J591-H591)/2)^2))</f>
        <v>134.197660554653</v>
      </c>
      <c r="L591" s="18" t="n">
        <f aca="false">K591*Assumptions!$B$3</f>
        <v>174.456958721048</v>
      </c>
      <c r="M591" s="19" t="n">
        <f aca="false">L591/Assumptions!$B$4</f>
        <v>3.87682130491219</v>
      </c>
      <c r="N591" s="9" t="s">
        <v>1365</v>
      </c>
    </row>
    <row r="592" customFormat="false" ht="15" hidden="false" customHeight="false" outlineLevel="0" collapsed="false">
      <c r="A592" s="9" t="s">
        <v>1955</v>
      </c>
      <c r="B592" s="9" t="s">
        <v>668</v>
      </c>
      <c r="C592" s="9" t="str">
        <f aca="false">IFERROR(INDEX(Destination!$B$2:$B$501,MATCH(B592,Destination!$A$2:$A$501,0)),"")</f>
        <v>Murshidabad</v>
      </c>
      <c r="D592" s="9" t="s">
        <v>670</v>
      </c>
      <c r="E592" s="9" t="str">
        <f aca="false">IFERROR(INDEX(Destination!$B$2:$B$501,MATCH(D592,Destination!$A$2:$A$501,0)),"")</f>
        <v>Bishnupur</v>
      </c>
      <c r="F592" s="9" t="s">
        <v>1364</v>
      </c>
      <c r="G592" s="12" t="n">
        <f aca="false">INDEX(Destination!$F$2:$F$501,MATCH(B592,Destination!$A$2:$A$501,0))</f>
        <v>24.18</v>
      </c>
      <c r="H592" s="12" t="n">
        <f aca="false">INDEX(Destination!$G$2:$G$501,MATCH(B592,Destination!$A$2:$A$501,0))</f>
        <v>88.27</v>
      </c>
      <c r="I592" s="12" t="n">
        <f aca="false">INDEX(Destination!$F$2:$F$501,MATCH(D592,Destination!$A$2:$A$501,0))</f>
        <v>23.07</v>
      </c>
      <c r="J592" s="12" t="n">
        <f aca="false">INDEX(Destination!$G$2:$G$501,MATCH(D592,Destination!$A$2:$A$501,0))</f>
        <v>87.32</v>
      </c>
      <c r="K592" s="17" t="n">
        <f aca="false">Assumptions!$B$2*2*ASIN(SQRT(SIN(RADIANS(I592-G592)/2)^2+COS(RADIANS(G592))*COS(RADIANS(I592))*SIN(RADIANS(J592-H592)/2)^2))</f>
        <v>156.844720884232</v>
      </c>
      <c r="L592" s="18" t="n">
        <f aca="false">K592*Assumptions!$B$3</f>
        <v>203.898137149501</v>
      </c>
      <c r="M592" s="19" t="n">
        <f aca="false">L592/Assumptions!$B$4</f>
        <v>4.53106971443336</v>
      </c>
      <c r="N592" s="9" t="s">
        <v>1365</v>
      </c>
    </row>
    <row r="593" customFormat="false" ht="15" hidden="false" customHeight="false" outlineLevel="0" collapsed="false">
      <c r="A593" s="9" t="s">
        <v>1956</v>
      </c>
      <c r="B593" s="9" t="s">
        <v>668</v>
      </c>
      <c r="C593" s="9" t="str">
        <f aca="false">IFERROR(INDEX(Destination!$B$2:$B$501,MATCH(B593,Destination!$A$2:$A$501,0)),"")</f>
        <v>Murshidabad</v>
      </c>
      <c r="D593" s="9" t="s">
        <v>680</v>
      </c>
      <c r="E593" s="9" t="str">
        <f aca="false">IFERROR(INDEX(Destination!$B$2:$B$501,MATCH(D593,Destination!$A$2:$A$501,0)),"")</f>
        <v>Mayapur</v>
      </c>
      <c r="F593" s="9" t="s">
        <v>1364</v>
      </c>
      <c r="G593" s="12" t="n">
        <f aca="false">INDEX(Destination!$F$2:$F$501,MATCH(B593,Destination!$A$2:$A$501,0))</f>
        <v>24.18</v>
      </c>
      <c r="H593" s="12" t="n">
        <f aca="false">INDEX(Destination!$G$2:$G$501,MATCH(B593,Destination!$A$2:$A$501,0))</f>
        <v>88.27</v>
      </c>
      <c r="I593" s="12" t="n">
        <f aca="false">INDEX(Destination!$F$2:$F$501,MATCH(D593,Destination!$A$2:$A$501,0))</f>
        <v>23.42</v>
      </c>
      <c r="J593" s="12" t="n">
        <f aca="false">INDEX(Destination!$G$2:$G$501,MATCH(D593,Destination!$A$2:$A$501,0))</f>
        <v>88.39</v>
      </c>
      <c r="K593" s="17" t="n">
        <f aca="false">Assumptions!$B$2*2*ASIN(SQRT(SIN(RADIANS(I593-G593)/2)^2+COS(RADIANS(G593))*COS(RADIANS(I593))*SIN(RADIANS(J593-H593)/2)^2))</f>
        <v>85.3854464795297</v>
      </c>
      <c r="L593" s="18" t="n">
        <f aca="false">K593*Assumptions!$B$3</f>
        <v>111.001080423389</v>
      </c>
      <c r="M593" s="19" t="n">
        <f aca="false">L593/Assumptions!$B$4</f>
        <v>2.4666906760753</v>
      </c>
      <c r="N593" s="9" t="s">
        <v>1365</v>
      </c>
    </row>
    <row r="594" customFormat="false" ht="15" hidden="false" customHeight="false" outlineLevel="0" collapsed="false">
      <c r="A594" s="9" t="s">
        <v>1957</v>
      </c>
      <c r="B594" s="9" t="s">
        <v>668</v>
      </c>
      <c r="C594" s="9" t="str">
        <f aca="false">IFERROR(INDEX(Destination!$B$2:$B$501,MATCH(B594,Destination!$A$2:$A$501,0)),"")</f>
        <v>Murshidabad</v>
      </c>
      <c r="D594" s="9" t="s">
        <v>701</v>
      </c>
      <c r="E594" s="9" t="str">
        <f aca="false">IFERROR(INDEX(Destination!$B$2:$B$501,MATCH(D594,Destination!$A$2:$A$501,0)),"")</f>
        <v>Vikramshila</v>
      </c>
      <c r="F594" s="9" t="s">
        <v>1364</v>
      </c>
      <c r="G594" s="12" t="n">
        <f aca="false">INDEX(Destination!$F$2:$F$501,MATCH(B594,Destination!$A$2:$A$501,0))</f>
        <v>24.18</v>
      </c>
      <c r="H594" s="12" t="n">
        <f aca="false">INDEX(Destination!$G$2:$G$501,MATCH(B594,Destination!$A$2:$A$501,0))</f>
        <v>88.27</v>
      </c>
      <c r="I594" s="12" t="n">
        <f aca="false">INDEX(Destination!$F$2:$F$501,MATCH(D594,Destination!$A$2:$A$501,0))</f>
        <v>25.33</v>
      </c>
      <c r="J594" s="12" t="n">
        <f aca="false">INDEX(Destination!$G$2:$G$501,MATCH(D594,Destination!$A$2:$A$501,0))</f>
        <v>87.29</v>
      </c>
      <c r="K594" s="17" t="n">
        <f aca="false">Assumptions!$B$2*2*ASIN(SQRT(SIN(RADIANS(I594-G594)/2)^2+COS(RADIANS(G594))*COS(RADIANS(I594))*SIN(RADIANS(J594-H594)/2)^2))</f>
        <v>161.690357932224</v>
      </c>
      <c r="L594" s="18" t="n">
        <f aca="false">K594*Assumptions!$B$3</f>
        <v>210.197465311892</v>
      </c>
      <c r="M594" s="19" t="n">
        <f aca="false">L594/Assumptions!$B$4</f>
        <v>4.67105478470871</v>
      </c>
      <c r="N594" s="9" t="s">
        <v>1365</v>
      </c>
    </row>
    <row r="595" customFormat="false" ht="15" hidden="false" customHeight="false" outlineLevel="0" collapsed="false">
      <c r="A595" s="9" t="s">
        <v>1958</v>
      </c>
      <c r="B595" s="9" t="s">
        <v>670</v>
      </c>
      <c r="C595" s="9" t="str">
        <f aca="false">IFERROR(INDEX(Destination!$B$2:$B$501,MATCH(B595,Destination!$A$2:$A$501,0)),"")</f>
        <v>Bishnupur</v>
      </c>
      <c r="D595" s="9" t="s">
        <v>680</v>
      </c>
      <c r="E595" s="9" t="str">
        <f aca="false">IFERROR(INDEX(Destination!$B$2:$B$501,MATCH(D595,Destination!$A$2:$A$501,0)),"")</f>
        <v>Mayapur</v>
      </c>
      <c r="F595" s="9" t="s">
        <v>1364</v>
      </c>
      <c r="G595" s="12" t="n">
        <f aca="false">INDEX(Destination!$F$2:$F$501,MATCH(B595,Destination!$A$2:$A$501,0))</f>
        <v>23.07</v>
      </c>
      <c r="H595" s="12" t="n">
        <f aca="false">INDEX(Destination!$G$2:$G$501,MATCH(B595,Destination!$A$2:$A$501,0))</f>
        <v>87.32</v>
      </c>
      <c r="I595" s="12" t="n">
        <f aca="false">INDEX(Destination!$F$2:$F$501,MATCH(D595,Destination!$A$2:$A$501,0))</f>
        <v>23.42</v>
      </c>
      <c r="J595" s="12" t="n">
        <f aca="false">INDEX(Destination!$G$2:$G$501,MATCH(D595,Destination!$A$2:$A$501,0))</f>
        <v>88.39</v>
      </c>
      <c r="K595" s="17" t="n">
        <f aca="false">Assumptions!$B$2*2*ASIN(SQRT(SIN(RADIANS(I595-G595)/2)^2+COS(RADIANS(G595))*COS(RADIANS(I595))*SIN(RADIANS(J595-H595)/2)^2))</f>
        <v>116.040949794081</v>
      </c>
      <c r="L595" s="18" t="n">
        <f aca="false">K595*Assumptions!$B$3</f>
        <v>150.853234732305</v>
      </c>
      <c r="M595" s="19" t="n">
        <f aca="false">L595/Assumptions!$B$4</f>
        <v>3.35229410516234</v>
      </c>
      <c r="N595" s="9" t="s">
        <v>1365</v>
      </c>
    </row>
    <row r="596" customFormat="false" ht="15" hidden="false" customHeight="false" outlineLevel="0" collapsed="false">
      <c r="A596" s="9" t="s">
        <v>1959</v>
      </c>
      <c r="B596" s="9" t="s">
        <v>670</v>
      </c>
      <c r="C596" s="9" t="str">
        <f aca="false">IFERROR(INDEX(Destination!$B$2:$B$501,MATCH(B596,Destination!$A$2:$A$501,0)),"")</f>
        <v>Bishnupur</v>
      </c>
      <c r="D596" s="9" t="s">
        <v>712</v>
      </c>
      <c r="E596" s="9" t="str">
        <f aca="false">IFERROR(INDEX(Destination!$B$2:$B$501,MATCH(D596,Destination!$A$2:$A$501,0)),"")</f>
        <v>Jamshedpur</v>
      </c>
      <c r="F596" s="9" t="s">
        <v>1364</v>
      </c>
      <c r="G596" s="12" t="n">
        <f aca="false">INDEX(Destination!$F$2:$F$501,MATCH(B596,Destination!$A$2:$A$501,0))</f>
        <v>23.07</v>
      </c>
      <c r="H596" s="12" t="n">
        <f aca="false">INDEX(Destination!$G$2:$G$501,MATCH(B596,Destination!$A$2:$A$501,0))</f>
        <v>87.32</v>
      </c>
      <c r="I596" s="12" t="n">
        <f aca="false">INDEX(Destination!$F$2:$F$501,MATCH(D596,Destination!$A$2:$A$501,0))</f>
        <v>22.8</v>
      </c>
      <c r="J596" s="12" t="n">
        <f aca="false">INDEX(Destination!$G$2:$G$501,MATCH(D596,Destination!$A$2:$A$501,0))</f>
        <v>86.2</v>
      </c>
      <c r="K596" s="17" t="n">
        <f aca="false">Assumptions!$B$2*2*ASIN(SQRT(SIN(RADIANS(I596-G596)/2)^2+COS(RADIANS(G596))*COS(RADIANS(I596))*SIN(RADIANS(J596-H596)/2)^2))</f>
        <v>118.557160702554</v>
      </c>
      <c r="L596" s="18" t="n">
        <f aca="false">K596*Assumptions!$B$3</f>
        <v>154.12430891332</v>
      </c>
      <c r="M596" s="19" t="n">
        <f aca="false">L596/Assumptions!$B$4</f>
        <v>3.42498464251822</v>
      </c>
      <c r="N596" s="9" t="s">
        <v>1365</v>
      </c>
    </row>
    <row r="597" customFormat="false" ht="15" hidden="false" customHeight="false" outlineLevel="0" collapsed="false">
      <c r="A597" s="9" t="s">
        <v>1960</v>
      </c>
      <c r="B597" s="9" t="s">
        <v>672</v>
      </c>
      <c r="C597" s="9" t="str">
        <f aca="false">IFERROR(INDEX(Destination!$B$2:$B$501,MATCH(B597,Destination!$A$2:$A$501,0)),"")</f>
        <v>Jalpaiguri</v>
      </c>
      <c r="D597" s="9" t="s">
        <v>674</v>
      </c>
      <c r="E597" s="9" t="str">
        <f aca="false">IFERROR(INDEX(Destination!$B$2:$B$501,MATCH(D597,Destination!$A$2:$A$501,0)),"")</f>
        <v>Dooars</v>
      </c>
      <c r="F597" s="9" t="s">
        <v>1364</v>
      </c>
      <c r="G597" s="12" t="n">
        <f aca="false">INDEX(Destination!$F$2:$F$501,MATCH(B597,Destination!$A$2:$A$501,0))</f>
        <v>26.52</v>
      </c>
      <c r="H597" s="12" t="n">
        <f aca="false">INDEX(Destination!$G$2:$G$501,MATCH(B597,Destination!$A$2:$A$501,0))</f>
        <v>88.72</v>
      </c>
      <c r="I597" s="12" t="n">
        <f aca="false">INDEX(Destination!$F$2:$F$501,MATCH(D597,Destination!$A$2:$A$501,0))</f>
        <v>26.75</v>
      </c>
      <c r="J597" s="12" t="n">
        <f aca="false">INDEX(Destination!$G$2:$G$501,MATCH(D597,Destination!$A$2:$A$501,0))</f>
        <v>89</v>
      </c>
      <c r="K597" s="17" t="n">
        <f aca="false">Assumptions!$B$2*2*ASIN(SQRT(SIN(RADIANS(I597-G597)/2)^2+COS(RADIANS(G597))*COS(RADIANS(I597))*SIN(RADIANS(J597-H597)/2)^2))</f>
        <v>37.7969836464214</v>
      </c>
      <c r="L597" s="18" t="n">
        <f aca="false">K597*Assumptions!$B$3</f>
        <v>49.1360787403478</v>
      </c>
      <c r="M597" s="19" t="n">
        <f aca="false">L597/Assumptions!$B$4</f>
        <v>1.09191286089662</v>
      </c>
      <c r="N597" s="9" t="s">
        <v>1365</v>
      </c>
    </row>
    <row r="598" customFormat="false" ht="15" hidden="false" customHeight="false" outlineLevel="0" collapsed="false">
      <c r="A598" s="9" t="s">
        <v>1961</v>
      </c>
      <c r="B598" s="9" t="s">
        <v>672</v>
      </c>
      <c r="C598" s="9" t="str">
        <f aca="false">IFERROR(INDEX(Destination!$B$2:$B$501,MATCH(B598,Destination!$A$2:$A$501,0)),"")</f>
        <v>Jalpaiguri</v>
      </c>
      <c r="D598" s="9" t="s">
        <v>678</v>
      </c>
      <c r="E598" s="9" t="str">
        <f aca="false">IFERROR(INDEX(Destination!$B$2:$B$501,MATCH(D598,Destination!$A$2:$A$501,0)),"")</f>
        <v>Kurseong</v>
      </c>
      <c r="F598" s="9" t="s">
        <v>1364</v>
      </c>
      <c r="G598" s="12" t="n">
        <f aca="false">INDEX(Destination!$F$2:$F$501,MATCH(B598,Destination!$A$2:$A$501,0))</f>
        <v>26.52</v>
      </c>
      <c r="H598" s="12" t="n">
        <f aca="false">INDEX(Destination!$G$2:$G$501,MATCH(B598,Destination!$A$2:$A$501,0))</f>
        <v>88.72</v>
      </c>
      <c r="I598" s="12" t="n">
        <f aca="false">INDEX(Destination!$F$2:$F$501,MATCH(D598,Destination!$A$2:$A$501,0))</f>
        <v>26.88</v>
      </c>
      <c r="J598" s="12" t="n">
        <f aca="false">INDEX(Destination!$G$2:$G$501,MATCH(D598,Destination!$A$2:$A$501,0))</f>
        <v>88.28</v>
      </c>
      <c r="K598" s="17" t="n">
        <f aca="false">Assumptions!$B$2*2*ASIN(SQRT(SIN(RADIANS(I598-G598)/2)^2+COS(RADIANS(G598))*COS(RADIANS(I598))*SIN(RADIANS(J598-H598)/2)^2))</f>
        <v>59.2694535901929</v>
      </c>
      <c r="L598" s="18" t="n">
        <f aca="false">K598*Assumptions!$B$3</f>
        <v>77.0502896672508</v>
      </c>
      <c r="M598" s="19" t="n">
        <f aca="false">L598/Assumptions!$B$4</f>
        <v>1.71222865927224</v>
      </c>
      <c r="N598" s="9" t="s">
        <v>1365</v>
      </c>
    </row>
    <row r="599" customFormat="false" ht="15" hidden="false" customHeight="false" outlineLevel="0" collapsed="false">
      <c r="A599" s="9" t="s">
        <v>1962</v>
      </c>
      <c r="B599" s="9" t="s">
        <v>680</v>
      </c>
      <c r="C599" s="9" t="str">
        <f aca="false">IFERROR(INDEX(Destination!$B$2:$B$501,MATCH(B599,Destination!$A$2:$A$501,0)),"")</f>
        <v>Mayapur</v>
      </c>
      <c r="D599" s="9" t="s">
        <v>1005</v>
      </c>
      <c r="E599" s="9" t="str">
        <f aca="false">IFERROR(INDEX(Destination!$B$2:$B$501,MATCH(D599,Destination!$A$2:$A$501,0)),"")</f>
        <v>Kolkata Heritage</v>
      </c>
      <c r="F599" s="9" t="s">
        <v>1364</v>
      </c>
      <c r="G599" s="12" t="n">
        <f aca="false">INDEX(Destination!$F$2:$F$501,MATCH(B599,Destination!$A$2:$A$501,0))</f>
        <v>23.42</v>
      </c>
      <c r="H599" s="12" t="n">
        <f aca="false">INDEX(Destination!$G$2:$G$501,MATCH(B599,Destination!$A$2:$A$501,0))</f>
        <v>88.39</v>
      </c>
      <c r="I599" s="12" t="n">
        <f aca="false">INDEX(Destination!$F$2:$F$501,MATCH(D599,Destination!$A$2:$A$501,0))</f>
        <v>22.57</v>
      </c>
      <c r="J599" s="12" t="n">
        <f aca="false">INDEX(Destination!$G$2:$G$501,MATCH(D599,Destination!$A$2:$A$501,0))</f>
        <v>88.35</v>
      </c>
      <c r="K599" s="17" t="n">
        <f aca="false">Assumptions!$B$2*2*ASIN(SQRT(SIN(RADIANS(I599-G599)/2)^2+COS(RADIANS(G599))*COS(RADIANS(I599))*SIN(RADIANS(J599-H599)/2)^2))</f>
        <v>94.6043265770355</v>
      </c>
      <c r="L599" s="18" t="n">
        <f aca="false">K599*Assumptions!$B$3</f>
        <v>122.985624550146</v>
      </c>
      <c r="M599" s="19" t="n">
        <f aca="false">L599/Assumptions!$B$4</f>
        <v>2.73301387889214</v>
      </c>
      <c r="N599" s="9" t="s">
        <v>1365</v>
      </c>
    </row>
    <row r="600" customFormat="false" ht="15" hidden="false" customHeight="false" outlineLevel="0" collapsed="false">
      <c r="A600" s="9" t="s">
        <v>1963</v>
      </c>
      <c r="B600" s="9" t="s">
        <v>682</v>
      </c>
      <c r="C600" s="9" t="str">
        <f aca="false">IFERROR(INDEX(Destination!$B$2:$B$501,MATCH(B600,Destination!$A$2:$A$501,0)),"")</f>
        <v>Gangasagar</v>
      </c>
      <c r="D600" s="9" t="s">
        <v>1005</v>
      </c>
      <c r="E600" s="9" t="str">
        <f aca="false">IFERROR(INDEX(Destination!$B$2:$B$501,MATCH(D600,Destination!$A$2:$A$501,0)),"")</f>
        <v>Kolkata Heritage</v>
      </c>
      <c r="F600" s="9" t="s">
        <v>1364</v>
      </c>
      <c r="G600" s="12" t="n">
        <f aca="false">INDEX(Destination!$F$2:$F$501,MATCH(B600,Destination!$A$2:$A$501,0))</f>
        <v>21.64</v>
      </c>
      <c r="H600" s="12" t="n">
        <f aca="false">INDEX(Destination!$G$2:$G$501,MATCH(B600,Destination!$A$2:$A$501,0))</f>
        <v>88.08</v>
      </c>
      <c r="I600" s="12" t="n">
        <f aca="false">INDEX(Destination!$F$2:$F$501,MATCH(D600,Destination!$A$2:$A$501,0))</f>
        <v>22.57</v>
      </c>
      <c r="J600" s="12" t="n">
        <f aca="false">INDEX(Destination!$G$2:$G$501,MATCH(D600,Destination!$A$2:$A$501,0))</f>
        <v>88.35</v>
      </c>
      <c r="K600" s="17" t="n">
        <f aca="false">Assumptions!$B$2*2*ASIN(SQRT(SIN(RADIANS(I600-G600)/2)^2+COS(RADIANS(G600))*COS(RADIANS(I600))*SIN(RADIANS(J600-H600)/2)^2))</f>
        <v>107.086827354834</v>
      </c>
      <c r="L600" s="18" t="n">
        <f aca="false">K600*Assumptions!$B$3</f>
        <v>139.212875561284</v>
      </c>
      <c r="M600" s="19" t="n">
        <f aca="false">L600/Assumptions!$B$4</f>
        <v>3.09361945691742</v>
      </c>
      <c r="N600" s="9" t="s">
        <v>1365</v>
      </c>
    </row>
    <row r="601" customFormat="false" ht="15" hidden="false" customHeight="false" outlineLevel="0" collapsed="false">
      <c r="A601" s="9" t="s">
        <v>1964</v>
      </c>
      <c r="B601" s="9" t="s">
        <v>684</v>
      </c>
      <c r="C601" s="9" t="str">
        <f aca="false">IFERROR(INDEX(Destination!$B$2:$B$501,MATCH(B601,Destination!$A$2:$A$501,0)),"")</f>
        <v>Bodh Gaya</v>
      </c>
      <c r="D601" s="9" t="s">
        <v>689</v>
      </c>
      <c r="E601" s="9" t="str">
        <f aca="false">IFERROR(INDEX(Destination!$B$2:$B$501,MATCH(D601,Destination!$A$2:$A$501,0)),"")</f>
        <v>Nalanda</v>
      </c>
      <c r="F601" s="9" t="s">
        <v>1364</v>
      </c>
      <c r="G601" s="12" t="n">
        <f aca="false">INDEX(Destination!$F$2:$F$501,MATCH(B601,Destination!$A$2:$A$501,0))</f>
        <v>24.7</v>
      </c>
      <c r="H601" s="12" t="n">
        <f aca="false">INDEX(Destination!$G$2:$G$501,MATCH(B601,Destination!$A$2:$A$501,0))</f>
        <v>84.99</v>
      </c>
      <c r="I601" s="12" t="n">
        <f aca="false">INDEX(Destination!$F$2:$F$501,MATCH(D601,Destination!$A$2:$A$501,0))</f>
        <v>25.14</v>
      </c>
      <c r="J601" s="12" t="n">
        <f aca="false">INDEX(Destination!$G$2:$G$501,MATCH(D601,Destination!$A$2:$A$501,0))</f>
        <v>85.44</v>
      </c>
      <c r="K601" s="17" t="n">
        <f aca="false">Assumptions!$B$2*2*ASIN(SQRT(SIN(RADIANS(I601-G601)/2)^2+COS(RADIANS(G601))*COS(RADIANS(I601))*SIN(RADIANS(J601-H601)/2)^2))</f>
        <v>66.7305838356534</v>
      </c>
      <c r="L601" s="18" t="n">
        <f aca="false">K601*Assumptions!$B$3</f>
        <v>86.7497589863494</v>
      </c>
      <c r="M601" s="19" t="n">
        <f aca="false">L601/Assumptions!$B$4</f>
        <v>1.92777242191888</v>
      </c>
      <c r="N601" s="9" t="s">
        <v>1365</v>
      </c>
    </row>
    <row r="602" customFormat="false" ht="15" hidden="false" customHeight="false" outlineLevel="0" collapsed="false">
      <c r="A602" s="9" t="s">
        <v>1965</v>
      </c>
      <c r="B602" s="9" t="s">
        <v>684</v>
      </c>
      <c r="C602" s="9" t="str">
        <f aca="false">IFERROR(INDEX(Destination!$B$2:$B$501,MATCH(B602,Destination!$A$2:$A$501,0)),"")</f>
        <v>Bodh Gaya</v>
      </c>
      <c r="D602" s="9" t="s">
        <v>691</v>
      </c>
      <c r="E602" s="9" t="str">
        <f aca="false">IFERROR(INDEX(Destination!$B$2:$B$501,MATCH(D602,Destination!$A$2:$A$501,0)),"")</f>
        <v>Rajgir</v>
      </c>
      <c r="F602" s="9" t="s">
        <v>1364</v>
      </c>
      <c r="G602" s="12" t="n">
        <f aca="false">INDEX(Destination!$F$2:$F$501,MATCH(B602,Destination!$A$2:$A$501,0))</f>
        <v>24.7</v>
      </c>
      <c r="H602" s="12" t="n">
        <f aca="false">INDEX(Destination!$G$2:$G$501,MATCH(B602,Destination!$A$2:$A$501,0))</f>
        <v>84.99</v>
      </c>
      <c r="I602" s="12" t="n">
        <f aca="false">INDEX(Destination!$F$2:$F$501,MATCH(D602,Destination!$A$2:$A$501,0))</f>
        <v>25.03</v>
      </c>
      <c r="J602" s="12" t="n">
        <f aca="false">INDEX(Destination!$G$2:$G$501,MATCH(D602,Destination!$A$2:$A$501,0))</f>
        <v>85.42</v>
      </c>
      <c r="K602" s="17" t="n">
        <f aca="false">Assumptions!$B$2*2*ASIN(SQRT(SIN(RADIANS(I602-G602)/2)^2+COS(RADIANS(G602))*COS(RADIANS(I602))*SIN(RADIANS(J602-H602)/2)^2))</f>
        <v>56.8191898671269</v>
      </c>
      <c r="L602" s="18" t="n">
        <f aca="false">K602*Assumptions!$B$3</f>
        <v>73.864946827265</v>
      </c>
      <c r="M602" s="19" t="n">
        <f aca="false">L602/Assumptions!$B$4</f>
        <v>1.64144326282811</v>
      </c>
      <c r="N602" s="9" t="s">
        <v>1365</v>
      </c>
    </row>
    <row r="603" customFormat="false" ht="15" hidden="false" customHeight="false" outlineLevel="0" collapsed="false">
      <c r="A603" s="9" t="s">
        <v>1966</v>
      </c>
      <c r="B603" s="9" t="s">
        <v>684</v>
      </c>
      <c r="C603" s="9" t="str">
        <f aca="false">IFERROR(INDEX(Destination!$B$2:$B$501,MATCH(B603,Destination!$A$2:$A$501,0)),"")</f>
        <v>Bodh Gaya</v>
      </c>
      <c r="D603" s="9" t="s">
        <v>697</v>
      </c>
      <c r="E603" s="9" t="str">
        <f aca="false">IFERROR(INDEX(Destination!$B$2:$B$501,MATCH(D603,Destination!$A$2:$A$501,0)),"")</f>
        <v>Gaya</v>
      </c>
      <c r="F603" s="9" t="s">
        <v>1364</v>
      </c>
      <c r="G603" s="12" t="n">
        <f aca="false">INDEX(Destination!$F$2:$F$501,MATCH(B603,Destination!$A$2:$A$501,0))</f>
        <v>24.7</v>
      </c>
      <c r="H603" s="12" t="n">
        <f aca="false">INDEX(Destination!$G$2:$G$501,MATCH(B603,Destination!$A$2:$A$501,0))</f>
        <v>84.99</v>
      </c>
      <c r="I603" s="12" t="n">
        <f aca="false">INDEX(Destination!$F$2:$F$501,MATCH(D603,Destination!$A$2:$A$501,0))</f>
        <v>24.8</v>
      </c>
      <c r="J603" s="12" t="n">
        <f aca="false">INDEX(Destination!$G$2:$G$501,MATCH(D603,Destination!$A$2:$A$501,0))</f>
        <v>85</v>
      </c>
      <c r="K603" s="17" t="n">
        <f aca="false">Assumptions!$B$2*2*ASIN(SQRT(SIN(RADIANS(I603-G603)/2)^2+COS(RADIANS(G603))*COS(RADIANS(I603))*SIN(RADIANS(J603-H603)/2)^2))</f>
        <v>11.1652510577067</v>
      </c>
      <c r="L603" s="18" t="n">
        <f aca="false">K603*Assumptions!$B$3</f>
        <v>14.5148263750187</v>
      </c>
      <c r="M603" s="19" t="n">
        <f aca="false">L603/Assumptions!$B$4</f>
        <v>0.322551697222638</v>
      </c>
      <c r="N603" s="9" t="s">
        <v>1365</v>
      </c>
    </row>
    <row r="604" customFormat="false" ht="15" hidden="false" customHeight="false" outlineLevel="0" collapsed="false">
      <c r="A604" s="9" t="s">
        <v>1967</v>
      </c>
      <c r="B604" s="9" t="s">
        <v>687</v>
      </c>
      <c r="C604" s="9" t="str">
        <f aca="false">IFERROR(INDEX(Destination!$B$2:$B$501,MATCH(B604,Destination!$A$2:$A$501,0)),"")</f>
        <v>Patna</v>
      </c>
      <c r="D604" s="9" t="s">
        <v>689</v>
      </c>
      <c r="E604" s="9" t="str">
        <f aca="false">IFERROR(INDEX(Destination!$B$2:$B$501,MATCH(D604,Destination!$A$2:$A$501,0)),"")</f>
        <v>Nalanda</v>
      </c>
      <c r="F604" s="9" t="s">
        <v>1364</v>
      </c>
      <c r="G604" s="12" t="n">
        <f aca="false">INDEX(Destination!$F$2:$F$501,MATCH(B604,Destination!$A$2:$A$501,0))</f>
        <v>25.59</v>
      </c>
      <c r="H604" s="12" t="n">
        <f aca="false">INDEX(Destination!$G$2:$G$501,MATCH(B604,Destination!$A$2:$A$501,0))</f>
        <v>85.14</v>
      </c>
      <c r="I604" s="12" t="n">
        <f aca="false">INDEX(Destination!$F$2:$F$501,MATCH(D604,Destination!$A$2:$A$501,0))</f>
        <v>25.14</v>
      </c>
      <c r="J604" s="12" t="n">
        <f aca="false">INDEX(Destination!$G$2:$G$501,MATCH(D604,Destination!$A$2:$A$501,0))</f>
        <v>85.44</v>
      </c>
      <c r="K604" s="17" t="n">
        <f aca="false">Assumptions!$B$2*2*ASIN(SQRT(SIN(RADIANS(I604-G604)/2)^2+COS(RADIANS(G604))*COS(RADIANS(I604))*SIN(RADIANS(J604-H604)/2)^2))</f>
        <v>58.415261647316</v>
      </c>
      <c r="L604" s="18" t="n">
        <f aca="false">K604*Assumptions!$B$3</f>
        <v>75.9398401415108</v>
      </c>
      <c r="M604" s="19" t="n">
        <f aca="false">L604/Assumptions!$B$4</f>
        <v>1.68755200314468</v>
      </c>
      <c r="N604" s="9" t="s">
        <v>1365</v>
      </c>
    </row>
    <row r="605" customFormat="false" ht="15" hidden="false" customHeight="false" outlineLevel="0" collapsed="false">
      <c r="A605" s="9" t="s">
        <v>1968</v>
      </c>
      <c r="B605" s="9" t="s">
        <v>687</v>
      </c>
      <c r="C605" s="9" t="str">
        <f aca="false">IFERROR(INDEX(Destination!$B$2:$B$501,MATCH(B605,Destination!$A$2:$A$501,0)),"")</f>
        <v>Patna</v>
      </c>
      <c r="D605" s="9" t="s">
        <v>693</v>
      </c>
      <c r="E605" s="9" t="str">
        <f aca="false">IFERROR(INDEX(Destination!$B$2:$B$501,MATCH(D605,Destination!$A$2:$A$501,0)),"")</f>
        <v>Vaishali</v>
      </c>
      <c r="F605" s="9" t="s">
        <v>1364</v>
      </c>
      <c r="G605" s="12" t="n">
        <f aca="false">INDEX(Destination!$F$2:$F$501,MATCH(B605,Destination!$A$2:$A$501,0))</f>
        <v>25.59</v>
      </c>
      <c r="H605" s="12" t="n">
        <f aca="false">INDEX(Destination!$G$2:$G$501,MATCH(B605,Destination!$A$2:$A$501,0))</f>
        <v>85.14</v>
      </c>
      <c r="I605" s="12" t="n">
        <f aca="false">INDEX(Destination!$F$2:$F$501,MATCH(D605,Destination!$A$2:$A$501,0))</f>
        <v>25.99</v>
      </c>
      <c r="J605" s="12" t="n">
        <f aca="false">INDEX(Destination!$G$2:$G$501,MATCH(D605,Destination!$A$2:$A$501,0))</f>
        <v>85.13</v>
      </c>
      <c r="K605" s="17" t="n">
        <f aca="false">Assumptions!$B$2*2*ASIN(SQRT(SIN(RADIANS(I605-G605)/2)^2+COS(RADIANS(G605))*COS(RADIANS(I605))*SIN(RADIANS(J605-H605)/2)^2))</f>
        <v>44.4892375168986</v>
      </c>
      <c r="L605" s="18" t="n">
        <f aca="false">K605*Assumptions!$B$3</f>
        <v>57.8360087719682</v>
      </c>
      <c r="M605" s="19" t="n">
        <f aca="false">L605/Assumptions!$B$4</f>
        <v>1.28524463937707</v>
      </c>
      <c r="N605" s="9" t="s">
        <v>1365</v>
      </c>
    </row>
    <row r="606" customFormat="false" ht="15" hidden="false" customHeight="false" outlineLevel="0" collapsed="false">
      <c r="A606" s="9" t="s">
        <v>1969</v>
      </c>
      <c r="B606" s="9" t="s">
        <v>687</v>
      </c>
      <c r="C606" s="9" t="str">
        <f aca="false">IFERROR(INDEX(Destination!$B$2:$B$501,MATCH(B606,Destination!$A$2:$A$501,0)),"")</f>
        <v>Patna</v>
      </c>
      <c r="D606" s="9" t="s">
        <v>695</v>
      </c>
      <c r="E606" s="9" t="str">
        <f aca="false">IFERROR(INDEX(Destination!$B$2:$B$501,MATCH(D606,Destination!$A$2:$A$501,0)),"")</f>
        <v>Pawapuri</v>
      </c>
      <c r="F606" s="9" t="s">
        <v>1364</v>
      </c>
      <c r="G606" s="12" t="n">
        <f aca="false">INDEX(Destination!$F$2:$F$501,MATCH(B606,Destination!$A$2:$A$501,0))</f>
        <v>25.59</v>
      </c>
      <c r="H606" s="12" t="n">
        <f aca="false">INDEX(Destination!$G$2:$G$501,MATCH(B606,Destination!$A$2:$A$501,0))</f>
        <v>85.14</v>
      </c>
      <c r="I606" s="12" t="n">
        <f aca="false">INDEX(Destination!$F$2:$F$501,MATCH(D606,Destination!$A$2:$A$501,0))</f>
        <v>25.1</v>
      </c>
      <c r="J606" s="12" t="n">
        <f aca="false">INDEX(Destination!$G$2:$G$501,MATCH(D606,Destination!$A$2:$A$501,0))</f>
        <v>85.53</v>
      </c>
      <c r="K606" s="17" t="n">
        <f aca="false">Assumptions!$B$2*2*ASIN(SQRT(SIN(RADIANS(I606-G606)/2)^2+COS(RADIANS(G606))*COS(RADIANS(I606))*SIN(RADIANS(J606-H606)/2)^2))</f>
        <v>67.1167576858383</v>
      </c>
      <c r="L606" s="18" t="n">
        <f aca="false">K606*Assumptions!$B$3</f>
        <v>87.2517849915898</v>
      </c>
      <c r="M606" s="19" t="n">
        <f aca="false">L606/Assumptions!$B$4</f>
        <v>1.93892855536866</v>
      </c>
      <c r="N606" s="9" t="s">
        <v>1365</v>
      </c>
    </row>
    <row r="607" customFormat="false" ht="15" hidden="false" customHeight="false" outlineLevel="0" collapsed="false">
      <c r="A607" s="9" t="s">
        <v>1970</v>
      </c>
      <c r="B607" s="9" t="s">
        <v>687</v>
      </c>
      <c r="C607" s="9" t="str">
        <f aca="false">IFERROR(INDEX(Destination!$B$2:$B$501,MATCH(B607,Destination!$A$2:$A$501,0)),"")</f>
        <v>Patna</v>
      </c>
      <c r="D607" s="9" t="s">
        <v>703</v>
      </c>
      <c r="E607" s="9" t="str">
        <f aca="false">IFERROR(INDEX(Destination!$B$2:$B$501,MATCH(D607,Destination!$A$2:$A$501,0)),"")</f>
        <v>Kesaria</v>
      </c>
      <c r="F607" s="9" t="s">
        <v>1364</v>
      </c>
      <c r="G607" s="12" t="n">
        <f aca="false">INDEX(Destination!$F$2:$F$501,MATCH(B607,Destination!$A$2:$A$501,0))</f>
        <v>25.59</v>
      </c>
      <c r="H607" s="12" t="n">
        <f aca="false">INDEX(Destination!$G$2:$G$501,MATCH(B607,Destination!$A$2:$A$501,0))</f>
        <v>85.14</v>
      </c>
      <c r="I607" s="12" t="n">
        <f aca="false">INDEX(Destination!$F$2:$F$501,MATCH(D607,Destination!$A$2:$A$501,0))</f>
        <v>26.34</v>
      </c>
      <c r="J607" s="12" t="n">
        <f aca="false">INDEX(Destination!$G$2:$G$501,MATCH(D607,Destination!$A$2:$A$501,0))</f>
        <v>84.85</v>
      </c>
      <c r="K607" s="17" t="n">
        <f aca="false">Assumptions!$B$2*2*ASIN(SQRT(SIN(RADIANS(I607-G607)/2)^2+COS(RADIANS(G607))*COS(RADIANS(I607))*SIN(RADIANS(J607-H607)/2)^2))</f>
        <v>88.2916663975858</v>
      </c>
      <c r="L607" s="18" t="n">
        <f aca="false">K607*Assumptions!$B$3</f>
        <v>114.779166316862</v>
      </c>
      <c r="M607" s="19" t="n">
        <f aca="false">L607/Assumptions!$B$4</f>
        <v>2.5506481403747</v>
      </c>
      <c r="N607" s="9" t="s">
        <v>1365</v>
      </c>
    </row>
    <row r="608" customFormat="false" ht="15" hidden="false" customHeight="false" outlineLevel="0" collapsed="false">
      <c r="A608" s="9" t="s">
        <v>1971</v>
      </c>
      <c r="B608" s="9" t="s">
        <v>689</v>
      </c>
      <c r="C608" s="9" t="str">
        <f aca="false">IFERROR(INDEX(Destination!$B$2:$B$501,MATCH(B608,Destination!$A$2:$A$501,0)),"")</f>
        <v>Nalanda</v>
      </c>
      <c r="D608" s="9" t="s">
        <v>691</v>
      </c>
      <c r="E608" s="9" t="str">
        <f aca="false">IFERROR(INDEX(Destination!$B$2:$B$501,MATCH(D608,Destination!$A$2:$A$501,0)),"")</f>
        <v>Rajgir</v>
      </c>
      <c r="F608" s="9" t="s">
        <v>1364</v>
      </c>
      <c r="G608" s="12" t="n">
        <f aca="false">INDEX(Destination!$F$2:$F$501,MATCH(B608,Destination!$A$2:$A$501,0))</f>
        <v>25.14</v>
      </c>
      <c r="H608" s="12" t="n">
        <f aca="false">INDEX(Destination!$G$2:$G$501,MATCH(B608,Destination!$A$2:$A$501,0))</f>
        <v>85.44</v>
      </c>
      <c r="I608" s="12" t="n">
        <f aca="false">INDEX(Destination!$F$2:$F$501,MATCH(D608,Destination!$A$2:$A$501,0))</f>
        <v>25.03</v>
      </c>
      <c r="J608" s="12" t="n">
        <f aca="false">INDEX(Destination!$G$2:$G$501,MATCH(D608,Destination!$A$2:$A$501,0))</f>
        <v>85.42</v>
      </c>
      <c r="K608" s="17" t="n">
        <f aca="false">Assumptions!$B$2*2*ASIN(SQRT(SIN(RADIANS(I608-G608)/2)^2+COS(RADIANS(G608))*COS(RADIANS(I608))*SIN(RADIANS(J608-H608)/2)^2))</f>
        <v>12.3961659272743</v>
      </c>
      <c r="L608" s="18" t="n">
        <f aca="false">K608*Assumptions!$B$3</f>
        <v>16.1150157054566</v>
      </c>
      <c r="M608" s="19" t="n">
        <f aca="false">L608/Assumptions!$B$4</f>
        <v>0.358111460121258</v>
      </c>
      <c r="N608" s="9" t="s">
        <v>1365</v>
      </c>
    </row>
    <row r="609" customFormat="false" ht="15" hidden="false" customHeight="false" outlineLevel="0" collapsed="false">
      <c r="A609" s="9" t="s">
        <v>1972</v>
      </c>
      <c r="B609" s="9" t="s">
        <v>689</v>
      </c>
      <c r="C609" s="9" t="str">
        <f aca="false">IFERROR(INDEX(Destination!$B$2:$B$501,MATCH(B609,Destination!$A$2:$A$501,0)),"")</f>
        <v>Nalanda</v>
      </c>
      <c r="D609" s="9" t="s">
        <v>693</v>
      </c>
      <c r="E609" s="9" t="str">
        <f aca="false">IFERROR(INDEX(Destination!$B$2:$B$501,MATCH(D609,Destination!$A$2:$A$501,0)),"")</f>
        <v>Vaishali</v>
      </c>
      <c r="F609" s="9" t="s">
        <v>1364</v>
      </c>
      <c r="G609" s="12" t="n">
        <f aca="false">INDEX(Destination!$F$2:$F$501,MATCH(B609,Destination!$A$2:$A$501,0))</f>
        <v>25.14</v>
      </c>
      <c r="H609" s="12" t="n">
        <f aca="false">INDEX(Destination!$G$2:$G$501,MATCH(B609,Destination!$A$2:$A$501,0))</f>
        <v>85.44</v>
      </c>
      <c r="I609" s="12" t="n">
        <f aca="false">INDEX(Destination!$F$2:$F$501,MATCH(D609,Destination!$A$2:$A$501,0))</f>
        <v>25.99</v>
      </c>
      <c r="J609" s="12" t="n">
        <f aca="false">INDEX(Destination!$G$2:$G$501,MATCH(D609,Destination!$A$2:$A$501,0))</f>
        <v>85.13</v>
      </c>
      <c r="K609" s="17" t="n">
        <f aca="false">Assumptions!$B$2*2*ASIN(SQRT(SIN(RADIANS(I609-G609)/2)^2+COS(RADIANS(G609))*COS(RADIANS(I609))*SIN(RADIANS(J609-H609)/2)^2))</f>
        <v>99.4993668497333</v>
      </c>
      <c r="L609" s="18" t="n">
        <f aca="false">K609*Assumptions!$B$3</f>
        <v>129.349176904653</v>
      </c>
      <c r="M609" s="19" t="n">
        <f aca="false">L609/Assumptions!$B$4</f>
        <v>2.87442615343674</v>
      </c>
      <c r="N609" s="9" t="s">
        <v>1365</v>
      </c>
    </row>
    <row r="610" customFormat="false" ht="15" hidden="false" customHeight="false" outlineLevel="0" collapsed="false">
      <c r="A610" s="9" t="s">
        <v>1973</v>
      </c>
      <c r="B610" s="9" t="s">
        <v>689</v>
      </c>
      <c r="C610" s="9" t="str">
        <f aca="false">IFERROR(INDEX(Destination!$B$2:$B$501,MATCH(B610,Destination!$A$2:$A$501,0)),"")</f>
        <v>Nalanda</v>
      </c>
      <c r="D610" s="9" t="s">
        <v>695</v>
      </c>
      <c r="E610" s="9" t="str">
        <f aca="false">IFERROR(INDEX(Destination!$B$2:$B$501,MATCH(D610,Destination!$A$2:$A$501,0)),"")</f>
        <v>Pawapuri</v>
      </c>
      <c r="F610" s="9" t="s">
        <v>1364</v>
      </c>
      <c r="G610" s="12" t="n">
        <f aca="false">INDEX(Destination!$F$2:$F$501,MATCH(B610,Destination!$A$2:$A$501,0))</f>
        <v>25.14</v>
      </c>
      <c r="H610" s="12" t="n">
        <f aca="false">INDEX(Destination!$G$2:$G$501,MATCH(B610,Destination!$A$2:$A$501,0))</f>
        <v>85.44</v>
      </c>
      <c r="I610" s="12" t="n">
        <f aca="false">INDEX(Destination!$F$2:$F$501,MATCH(D610,Destination!$A$2:$A$501,0))</f>
        <v>25.1</v>
      </c>
      <c r="J610" s="12" t="n">
        <f aca="false">INDEX(Destination!$G$2:$G$501,MATCH(D610,Destination!$A$2:$A$501,0))</f>
        <v>85.53</v>
      </c>
      <c r="K610" s="17" t="n">
        <f aca="false">Assumptions!$B$2*2*ASIN(SQRT(SIN(RADIANS(I610-G610)/2)^2+COS(RADIANS(G610))*COS(RADIANS(I610))*SIN(RADIANS(J610-H610)/2)^2))</f>
        <v>10.0938236245681</v>
      </c>
      <c r="L610" s="18" t="n">
        <f aca="false">K610*Assumptions!$B$3</f>
        <v>13.1219707119386</v>
      </c>
      <c r="M610" s="19" t="n">
        <f aca="false">L610/Assumptions!$B$4</f>
        <v>0.291599349154191</v>
      </c>
      <c r="N610" s="9" t="s">
        <v>1365</v>
      </c>
    </row>
    <row r="611" customFormat="false" ht="15" hidden="false" customHeight="false" outlineLevel="0" collapsed="false">
      <c r="A611" s="9" t="s">
        <v>1974</v>
      </c>
      <c r="B611" s="9" t="s">
        <v>689</v>
      </c>
      <c r="C611" s="9" t="str">
        <f aca="false">IFERROR(INDEX(Destination!$B$2:$B$501,MATCH(B611,Destination!$A$2:$A$501,0)),"")</f>
        <v>Nalanda</v>
      </c>
      <c r="D611" s="9" t="s">
        <v>697</v>
      </c>
      <c r="E611" s="9" t="str">
        <f aca="false">IFERROR(INDEX(Destination!$B$2:$B$501,MATCH(D611,Destination!$A$2:$A$501,0)),"")</f>
        <v>Gaya</v>
      </c>
      <c r="F611" s="9" t="s">
        <v>1364</v>
      </c>
      <c r="G611" s="12" t="n">
        <f aca="false">INDEX(Destination!$F$2:$F$501,MATCH(B611,Destination!$A$2:$A$501,0))</f>
        <v>25.14</v>
      </c>
      <c r="H611" s="12" t="n">
        <f aca="false">INDEX(Destination!$G$2:$G$501,MATCH(B611,Destination!$A$2:$A$501,0))</f>
        <v>85.44</v>
      </c>
      <c r="I611" s="12" t="n">
        <f aca="false">INDEX(Destination!$F$2:$F$501,MATCH(D611,Destination!$A$2:$A$501,0))</f>
        <v>24.8</v>
      </c>
      <c r="J611" s="12" t="n">
        <f aca="false">INDEX(Destination!$G$2:$G$501,MATCH(D611,Destination!$A$2:$A$501,0))</f>
        <v>85</v>
      </c>
      <c r="K611" s="17" t="n">
        <f aca="false">Assumptions!$B$2*2*ASIN(SQRT(SIN(RADIANS(I611-G611)/2)^2+COS(RADIANS(G611))*COS(RADIANS(I611))*SIN(RADIANS(J611-H611)/2)^2))</f>
        <v>58.2791428613489</v>
      </c>
      <c r="L611" s="18" t="n">
        <f aca="false">K611*Assumptions!$B$3</f>
        <v>75.7628857197536</v>
      </c>
      <c r="M611" s="19" t="n">
        <f aca="false">L611/Assumptions!$B$4</f>
        <v>1.68361968266119</v>
      </c>
      <c r="N611" s="9" t="s">
        <v>1365</v>
      </c>
    </row>
    <row r="612" customFormat="false" ht="15" hidden="false" customHeight="false" outlineLevel="0" collapsed="false">
      <c r="A612" s="9" t="s">
        <v>1975</v>
      </c>
      <c r="B612" s="9" t="s">
        <v>691</v>
      </c>
      <c r="C612" s="9" t="str">
        <f aca="false">IFERROR(INDEX(Destination!$B$2:$B$501,MATCH(B612,Destination!$A$2:$A$501,0)),"")</f>
        <v>Rajgir</v>
      </c>
      <c r="D612" s="9" t="s">
        <v>695</v>
      </c>
      <c r="E612" s="9" t="str">
        <f aca="false">IFERROR(INDEX(Destination!$B$2:$B$501,MATCH(D612,Destination!$A$2:$A$501,0)),"")</f>
        <v>Pawapuri</v>
      </c>
      <c r="F612" s="9" t="s">
        <v>1364</v>
      </c>
      <c r="G612" s="12" t="n">
        <f aca="false">INDEX(Destination!$F$2:$F$501,MATCH(B612,Destination!$A$2:$A$501,0))</f>
        <v>25.03</v>
      </c>
      <c r="H612" s="12" t="n">
        <f aca="false">INDEX(Destination!$G$2:$G$501,MATCH(B612,Destination!$A$2:$A$501,0))</f>
        <v>85.42</v>
      </c>
      <c r="I612" s="12" t="n">
        <f aca="false">INDEX(Destination!$F$2:$F$501,MATCH(D612,Destination!$A$2:$A$501,0))</f>
        <v>25.1</v>
      </c>
      <c r="J612" s="12" t="n">
        <f aca="false">INDEX(Destination!$G$2:$G$501,MATCH(D612,Destination!$A$2:$A$501,0))</f>
        <v>85.53</v>
      </c>
      <c r="K612" s="17" t="n">
        <f aca="false">Assumptions!$B$2*2*ASIN(SQRT(SIN(RADIANS(I612-G612)/2)^2+COS(RADIANS(G612))*COS(RADIANS(I612))*SIN(RADIANS(J612-H612)/2)^2))</f>
        <v>13.5403906926999</v>
      </c>
      <c r="L612" s="18" t="n">
        <f aca="false">K612*Assumptions!$B$3</f>
        <v>17.6025079005098</v>
      </c>
      <c r="M612" s="19" t="n">
        <f aca="false">L612/Assumptions!$B$4</f>
        <v>0.391166842233552</v>
      </c>
      <c r="N612" s="9" t="s">
        <v>1365</v>
      </c>
    </row>
    <row r="613" customFormat="false" ht="15" hidden="false" customHeight="false" outlineLevel="0" collapsed="false">
      <c r="A613" s="9" t="s">
        <v>1976</v>
      </c>
      <c r="B613" s="9" t="s">
        <v>691</v>
      </c>
      <c r="C613" s="9" t="str">
        <f aca="false">IFERROR(INDEX(Destination!$B$2:$B$501,MATCH(B613,Destination!$A$2:$A$501,0)),"")</f>
        <v>Rajgir</v>
      </c>
      <c r="D613" s="9" t="s">
        <v>697</v>
      </c>
      <c r="E613" s="9" t="str">
        <f aca="false">IFERROR(INDEX(Destination!$B$2:$B$501,MATCH(D613,Destination!$A$2:$A$501,0)),"")</f>
        <v>Gaya</v>
      </c>
      <c r="F613" s="9" t="s">
        <v>1364</v>
      </c>
      <c r="G613" s="12" t="n">
        <f aca="false">INDEX(Destination!$F$2:$F$501,MATCH(B613,Destination!$A$2:$A$501,0))</f>
        <v>25.03</v>
      </c>
      <c r="H613" s="12" t="n">
        <f aca="false">INDEX(Destination!$G$2:$G$501,MATCH(B613,Destination!$A$2:$A$501,0))</f>
        <v>85.42</v>
      </c>
      <c r="I613" s="12" t="n">
        <f aca="false">INDEX(Destination!$F$2:$F$501,MATCH(D613,Destination!$A$2:$A$501,0))</f>
        <v>24.8</v>
      </c>
      <c r="J613" s="12" t="n">
        <f aca="false">INDEX(Destination!$G$2:$G$501,MATCH(D613,Destination!$A$2:$A$501,0))</f>
        <v>85</v>
      </c>
      <c r="K613" s="17" t="n">
        <f aca="false">Assumptions!$B$2*2*ASIN(SQRT(SIN(RADIANS(I613-G613)/2)^2+COS(RADIANS(G613))*COS(RADIANS(I613))*SIN(RADIANS(J613-H613)/2)^2))</f>
        <v>49.4778254931141</v>
      </c>
      <c r="L613" s="18" t="n">
        <f aca="false">K613*Assumptions!$B$3</f>
        <v>64.3211731410484</v>
      </c>
      <c r="M613" s="19" t="n">
        <f aca="false">L613/Assumptions!$B$4</f>
        <v>1.42935940313441</v>
      </c>
      <c r="N613" s="9" t="s">
        <v>1365</v>
      </c>
    </row>
    <row r="614" customFormat="false" ht="15" hidden="false" customHeight="false" outlineLevel="0" collapsed="false">
      <c r="A614" s="9" t="s">
        <v>1977</v>
      </c>
      <c r="B614" s="9" t="s">
        <v>693</v>
      </c>
      <c r="C614" s="9" t="str">
        <f aca="false">IFERROR(INDEX(Destination!$B$2:$B$501,MATCH(B614,Destination!$A$2:$A$501,0)),"")</f>
        <v>Vaishali</v>
      </c>
      <c r="D614" s="9" t="s">
        <v>699</v>
      </c>
      <c r="E614" s="9" t="str">
        <f aca="false">IFERROR(INDEX(Destination!$B$2:$B$501,MATCH(D614,Destination!$A$2:$A$501,0)),"")</f>
        <v>Valmiki Nagar</v>
      </c>
      <c r="F614" s="9" t="s">
        <v>1364</v>
      </c>
      <c r="G614" s="12" t="n">
        <f aca="false">INDEX(Destination!$F$2:$F$501,MATCH(B614,Destination!$A$2:$A$501,0))</f>
        <v>25.99</v>
      </c>
      <c r="H614" s="12" t="n">
        <f aca="false">INDEX(Destination!$G$2:$G$501,MATCH(B614,Destination!$A$2:$A$501,0))</f>
        <v>85.13</v>
      </c>
      <c r="I614" s="12" t="n">
        <f aca="false">INDEX(Destination!$F$2:$F$501,MATCH(D614,Destination!$A$2:$A$501,0))</f>
        <v>27.43</v>
      </c>
      <c r="J614" s="12" t="n">
        <f aca="false">INDEX(Destination!$G$2:$G$501,MATCH(D614,Destination!$A$2:$A$501,0))</f>
        <v>84.05</v>
      </c>
      <c r="K614" s="17" t="n">
        <f aca="false">Assumptions!$B$2*2*ASIN(SQRT(SIN(RADIANS(I614-G614)/2)^2+COS(RADIANS(G614))*COS(RADIANS(I614))*SIN(RADIANS(J614-H614)/2)^2))</f>
        <v>192.732056595466</v>
      </c>
      <c r="L614" s="18" t="n">
        <f aca="false">K614*Assumptions!$B$3</f>
        <v>250.551673574105</v>
      </c>
      <c r="M614" s="19" t="n">
        <f aca="false">L614/Assumptions!$B$4</f>
        <v>5.56781496831345</v>
      </c>
      <c r="N614" s="9" t="s">
        <v>1365</v>
      </c>
    </row>
    <row r="615" customFormat="false" ht="15" hidden="false" customHeight="false" outlineLevel="0" collapsed="false">
      <c r="A615" s="9" t="s">
        <v>1978</v>
      </c>
      <c r="B615" s="9" t="s">
        <v>693</v>
      </c>
      <c r="C615" s="9" t="str">
        <f aca="false">IFERROR(INDEX(Destination!$B$2:$B$501,MATCH(B615,Destination!$A$2:$A$501,0)),"")</f>
        <v>Vaishali</v>
      </c>
      <c r="D615" s="9" t="s">
        <v>703</v>
      </c>
      <c r="E615" s="9" t="str">
        <f aca="false">IFERROR(INDEX(Destination!$B$2:$B$501,MATCH(D615,Destination!$A$2:$A$501,0)),"")</f>
        <v>Kesaria</v>
      </c>
      <c r="F615" s="9" t="s">
        <v>1364</v>
      </c>
      <c r="G615" s="12" t="n">
        <f aca="false">INDEX(Destination!$F$2:$F$501,MATCH(B615,Destination!$A$2:$A$501,0))</f>
        <v>25.99</v>
      </c>
      <c r="H615" s="12" t="n">
        <f aca="false">INDEX(Destination!$G$2:$G$501,MATCH(B615,Destination!$A$2:$A$501,0))</f>
        <v>85.13</v>
      </c>
      <c r="I615" s="12" t="n">
        <f aca="false">INDEX(Destination!$F$2:$F$501,MATCH(D615,Destination!$A$2:$A$501,0))</f>
        <v>26.34</v>
      </c>
      <c r="J615" s="12" t="n">
        <f aca="false">INDEX(Destination!$G$2:$G$501,MATCH(D615,Destination!$A$2:$A$501,0))</f>
        <v>84.85</v>
      </c>
      <c r="K615" s="17" t="n">
        <f aca="false">Assumptions!$B$2*2*ASIN(SQRT(SIN(RADIANS(I615-G615)/2)^2+COS(RADIANS(G615))*COS(RADIANS(I615))*SIN(RADIANS(J615-H615)/2)^2))</f>
        <v>47.9113705495188</v>
      </c>
      <c r="L615" s="18" t="n">
        <f aca="false">K615*Assumptions!$B$3</f>
        <v>62.2847817143744</v>
      </c>
      <c r="M615" s="19" t="n">
        <f aca="false">L615/Assumptions!$B$4</f>
        <v>1.38410626031943</v>
      </c>
      <c r="N615" s="9" t="s">
        <v>1365</v>
      </c>
    </row>
    <row r="616" customFormat="false" ht="15" hidden="false" customHeight="false" outlineLevel="0" collapsed="false">
      <c r="A616" s="9" t="s">
        <v>1979</v>
      </c>
      <c r="B616" s="9" t="s">
        <v>695</v>
      </c>
      <c r="C616" s="9" t="str">
        <f aca="false">IFERROR(INDEX(Destination!$B$2:$B$501,MATCH(B616,Destination!$A$2:$A$501,0)),"")</f>
        <v>Pawapuri</v>
      </c>
      <c r="D616" s="9" t="s">
        <v>697</v>
      </c>
      <c r="E616" s="9" t="str">
        <f aca="false">IFERROR(INDEX(Destination!$B$2:$B$501,MATCH(D616,Destination!$A$2:$A$501,0)),"")</f>
        <v>Gaya</v>
      </c>
      <c r="F616" s="9" t="s">
        <v>1364</v>
      </c>
      <c r="G616" s="12" t="n">
        <f aca="false">INDEX(Destination!$F$2:$F$501,MATCH(B616,Destination!$A$2:$A$501,0))</f>
        <v>25.1</v>
      </c>
      <c r="H616" s="12" t="n">
        <f aca="false">INDEX(Destination!$G$2:$G$501,MATCH(B616,Destination!$A$2:$A$501,0))</f>
        <v>85.53</v>
      </c>
      <c r="I616" s="12" t="n">
        <f aca="false">INDEX(Destination!$F$2:$F$501,MATCH(D616,Destination!$A$2:$A$501,0))</f>
        <v>24.8</v>
      </c>
      <c r="J616" s="12" t="n">
        <f aca="false">INDEX(Destination!$G$2:$G$501,MATCH(D616,Destination!$A$2:$A$501,0))</f>
        <v>85</v>
      </c>
      <c r="K616" s="17" t="n">
        <f aca="false">Assumptions!$B$2*2*ASIN(SQRT(SIN(RADIANS(I616-G616)/2)^2+COS(RADIANS(G616))*COS(RADIANS(I616))*SIN(RADIANS(J616-H616)/2)^2))</f>
        <v>62.9913126191508</v>
      </c>
      <c r="L616" s="18" t="n">
        <f aca="false">K616*Assumptions!$B$3</f>
        <v>81.888706404896</v>
      </c>
      <c r="M616" s="19" t="n">
        <f aca="false">L616/Assumptions!$B$4</f>
        <v>1.81974903121991</v>
      </c>
      <c r="N616" s="9" t="s">
        <v>1365</v>
      </c>
    </row>
    <row r="617" customFormat="false" ht="15" hidden="false" customHeight="false" outlineLevel="0" collapsed="false">
      <c r="A617" s="9" t="s">
        <v>1980</v>
      </c>
      <c r="B617" s="9" t="s">
        <v>695</v>
      </c>
      <c r="C617" s="9" t="str">
        <f aca="false">IFERROR(INDEX(Destination!$B$2:$B$501,MATCH(B617,Destination!$A$2:$A$501,0)),"")</f>
        <v>Pawapuri</v>
      </c>
      <c r="D617" s="9" t="s">
        <v>701</v>
      </c>
      <c r="E617" s="9" t="str">
        <f aca="false">IFERROR(INDEX(Destination!$B$2:$B$501,MATCH(D617,Destination!$A$2:$A$501,0)),"")</f>
        <v>Vikramshila</v>
      </c>
      <c r="F617" s="9" t="s">
        <v>1364</v>
      </c>
      <c r="G617" s="12" t="n">
        <f aca="false">INDEX(Destination!$F$2:$F$501,MATCH(B617,Destination!$A$2:$A$501,0))</f>
        <v>25.1</v>
      </c>
      <c r="H617" s="12" t="n">
        <f aca="false">INDEX(Destination!$G$2:$G$501,MATCH(B617,Destination!$A$2:$A$501,0))</f>
        <v>85.53</v>
      </c>
      <c r="I617" s="12" t="n">
        <f aca="false">INDEX(Destination!$F$2:$F$501,MATCH(D617,Destination!$A$2:$A$501,0))</f>
        <v>25.33</v>
      </c>
      <c r="J617" s="12" t="n">
        <f aca="false">INDEX(Destination!$G$2:$G$501,MATCH(D617,Destination!$A$2:$A$501,0))</f>
        <v>87.29</v>
      </c>
      <c r="K617" s="17" t="n">
        <f aca="false">Assumptions!$B$2*2*ASIN(SQRT(SIN(RADIANS(I617-G617)/2)^2+COS(RADIANS(G617))*COS(RADIANS(I617))*SIN(RADIANS(J617-H617)/2)^2))</f>
        <v>178.891711116174</v>
      </c>
      <c r="L617" s="18" t="n">
        <f aca="false">K617*Assumptions!$B$3</f>
        <v>232.559224451027</v>
      </c>
      <c r="M617" s="19" t="n">
        <f aca="false">L617/Assumptions!$B$4</f>
        <v>5.16798276557837</v>
      </c>
      <c r="N617" s="9" t="s">
        <v>1365</v>
      </c>
    </row>
    <row r="618" customFormat="false" ht="15" hidden="false" customHeight="false" outlineLevel="0" collapsed="false">
      <c r="A618" s="9" t="s">
        <v>1981</v>
      </c>
      <c r="B618" s="9" t="s">
        <v>699</v>
      </c>
      <c r="C618" s="9" t="str">
        <f aca="false">IFERROR(INDEX(Destination!$B$2:$B$501,MATCH(B618,Destination!$A$2:$A$501,0)),"")</f>
        <v>Valmiki Nagar</v>
      </c>
      <c r="D618" s="9" t="s">
        <v>703</v>
      </c>
      <c r="E618" s="9" t="str">
        <f aca="false">IFERROR(INDEX(Destination!$B$2:$B$501,MATCH(D618,Destination!$A$2:$A$501,0)),"")</f>
        <v>Kesaria</v>
      </c>
      <c r="F618" s="9" t="s">
        <v>1364</v>
      </c>
      <c r="G618" s="12" t="n">
        <f aca="false">INDEX(Destination!$F$2:$F$501,MATCH(B618,Destination!$A$2:$A$501,0))</f>
        <v>27.43</v>
      </c>
      <c r="H618" s="12" t="n">
        <f aca="false">INDEX(Destination!$G$2:$G$501,MATCH(B618,Destination!$A$2:$A$501,0))</f>
        <v>84.05</v>
      </c>
      <c r="I618" s="12" t="n">
        <f aca="false">INDEX(Destination!$F$2:$F$501,MATCH(D618,Destination!$A$2:$A$501,0))</f>
        <v>26.34</v>
      </c>
      <c r="J618" s="12" t="n">
        <f aca="false">INDEX(Destination!$G$2:$G$501,MATCH(D618,Destination!$A$2:$A$501,0))</f>
        <v>84.85</v>
      </c>
      <c r="K618" s="17" t="n">
        <f aca="false">Assumptions!$B$2*2*ASIN(SQRT(SIN(RADIANS(I618-G618)/2)^2+COS(RADIANS(G618))*COS(RADIANS(I618))*SIN(RADIANS(J618-H618)/2)^2))</f>
        <v>144.861006347276</v>
      </c>
      <c r="L618" s="18" t="n">
        <f aca="false">K618*Assumptions!$B$3</f>
        <v>188.319308251458</v>
      </c>
      <c r="M618" s="19" t="n">
        <f aca="false">L618/Assumptions!$B$4</f>
        <v>4.18487351669907</v>
      </c>
      <c r="N618" s="9" t="s">
        <v>1365</v>
      </c>
    </row>
    <row r="619" customFormat="false" ht="15" hidden="false" customHeight="false" outlineLevel="0" collapsed="false">
      <c r="A619" s="9" t="s">
        <v>1982</v>
      </c>
      <c r="B619" s="9" t="s">
        <v>699</v>
      </c>
      <c r="C619" s="9" t="str">
        <f aca="false">IFERROR(INDEX(Destination!$B$2:$B$501,MATCH(B619,Destination!$A$2:$A$501,0)),"")</f>
        <v>Valmiki Nagar</v>
      </c>
      <c r="D619" s="9" t="s">
        <v>992</v>
      </c>
      <c r="E619" s="9" t="str">
        <f aca="false">IFERROR(INDEX(Destination!$B$2:$B$501,MATCH(D619,Destination!$A$2:$A$501,0)),"")</f>
        <v>Ayodhya</v>
      </c>
      <c r="F619" s="9" t="s">
        <v>1364</v>
      </c>
      <c r="G619" s="12" t="n">
        <f aca="false">INDEX(Destination!$F$2:$F$501,MATCH(B619,Destination!$A$2:$A$501,0))</f>
        <v>27.43</v>
      </c>
      <c r="H619" s="12" t="n">
        <f aca="false">INDEX(Destination!$G$2:$G$501,MATCH(B619,Destination!$A$2:$A$501,0))</f>
        <v>84.05</v>
      </c>
      <c r="I619" s="12" t="n">
        <f aca="false">INDEX(Destination!$F$2:$F$501,MATCH(D619,Destination!$A$2:$A$501,0))</f>
        <v>26.8</v>
      </c>
      <c r="J619" s="12" t="n">
        <f aca="false">INDEX(Destination!$G$2:$G$501,MATCH(D619,Destination!$A$2:$A$501,0))</f>
        <v>82.2</v>
      </c>
      <c r="K619" s="17" t="n">
        <f aca="false">Assumptions!$B$2*2*ASIN(SQRT(SIN(RADIANS(I619-G619)/2)^2+COS(RADIANS(G619))*COS(RADIANS(I619))*SIN(RADIANS(J619-H619)/2)^2))</f>
        <v>196.04186572551</v>
      </c>
      <c r="L619" s="18" t="n">
        <f aca="false">K619*Assumptions!$B$3</f>
        <v>254.854425443163</v>
      </c>
      <c r="M619" s="19" t="n">
        <f aca="false">L619/Assumptions!$B$4</f>
        <v>5.66343167651474</v>
      </c>
      <c r="N619" s="9" t="s">
        <v>1365</v>
      </c>
    </row>
    <row r="620" customFormat="false" ht="15" hidden="false" customHeight="false" outlineLevel="0" collapsed="false">
      <c r="A620" s="9" t="s">
        <v>1983</v>
      </c>
      <c r="B620" s="9" t="s">
        <v>701</v>
      </c>
      <c r="C620" s="9" t="str">
        <f aca="false">IFERROR(INDEX(Destination!$B$2:$B$501,MATCH(B620,Destination!$A$2:$A$501,0)),"")</f>
        <v>Vikramshila</v>
      </c>
      <c r="D620" s="9" t="s">
        <v>708</v>
      </c>
      <c r="E620" s="9" t="str">
        <f aca="false">IFERROR(INDEX(Destination!$B$2:$B$501,MATCH(D620,Destination!$A$2:$A$501,0)),"")</f>
        <v>Deoghar</v>
      </c>
      <c r="F620" s="9" t="s">
        <v>1364</v>
      </c>
      <c r="G620" s="12" t="n">
        <f aca="false">INDEX(Destination!$F$2:$F$501,MATCH(B620,Destination!$A$2:$A$501,0))</f>
        <v>25.33</v>
      </c>
      <c r="H620" s="12" t="n">
        <f aca="false">INDEX(Destination!$G$2:$G$501,MATCH(B620,Destination!$A$2:$A$501,0))</f>
        <v>87.29</v>
      </c>
      <c r="I620" s="12" t="n">
        <f aca="false">INDEX(Destination!$F$2:$F$501,MATCH(D620,Destination!$A$2:$A$501,0))</f>
        <v>24.49</v>
      </c>
      <c r="J620" s="12" t="n">
        <f aca="false">INDEX(Destination!$G$2:$G$501,MATCH(D620,Destination!$A$2:$A$501,0))</f>
        <v>86.7</v>
      </c>
      <c r="K620" s="17" t="n">
        <f aca="false">Assumptions!$B$2*2*ASIN(SQRT(SIN(RADIANS(I620-G620)/2)^2+COS(RADIANS(G620))*COS(RADIANS(I620))*SIN(RADIANS(J620-H620)/2)^2))</f>
        <v>110.745714857116</v>
      </c>
      <c r="L620" s="18" t="n">
        <f aca="false">K620*Assumptions!$B$3</f>
        <v>143.969429314251</v>
      </c>
      <c r="M620" s="19" t="n">
        <f aca="false">L620/Assumptions!$B$4</f>
        <v>3.1993206514278</v>
      </c>
      <c r="N620" s="9" t="s">
        <v>1365</v>
      </c>
    </row>
    <row r="621" customFormat="false" ht="15" hidden="false" customHeight="false" outlineLevel="0" collapsed="false">
      <c r="A621" s="9" t="s">
        <v>1984</v>
      </c>
      <c r="B621" s="9" t="s">
        <v>705</v>
      </c>
      <c r="C621" s="9" t="str">
        <f aca="false">IFERROR(INDEX(Destination!$B$2:$B$501,MATCH(B621,Destination!$A$2:$A$501,0)),"")</f>
        <v>Ranchi</v>
      </c>
      <c r="D621" s="9" t="s">
        <v>710</v>
      </c>
      <c r="E621" s="9" t="str">
        <f aca="false">IFERROR(INDEX(Destination!$B$2:$B$501,MATCH(D621,Destination!$A$2:$A$501,0)),"")</f>
        <v>Netarhat</v>
      </c>
      <c r="F621" s="9" t="s">
        <v>1364</v>
      </c>
      <c r="G621" s="12" t="n">
        <f aca="false">INDEX(Destination!$F$2:$F$501,MATCH(B621,Destination!$A$2:$A$501,0))</f>
        <v>23.34</v>
      </c>
      <c r="H621" s="12" t="n">
        <f aca="false">INDEX(Destination!$G$2:$G$501,MATCH(B621,Destination!$A$2:$A$501,0))</f>
        <v>85.31</v>
      </c>
      <c r="I621" s="12" t="n">
        <f aca="false">INDEX(Destination!$F$2:$F$501,MATCH(D621,Destination!$A$2:$A$501,0))</f>
        <v>23.48</v>
      </c>
      <c r="J621" s="12" t="n">
        <f aca="false">INDEX(Destination!$G$2:$G$501,MATCH(D621,Destination!$A$2:$A$501,0))</f>
        <v>84.27</v>
      </c>
      <c r="K621" s="17" t="n">
        <f aca="false">Assumptions!$B$2*2*ASIN(SQRT(SIN(RADIANS(I621-G621)/2)^2+COS(RADIANS(G621))*COS(RADIANS(I621))*SIN(RADIANS(J621-H621)/2)^2))</f>
        <v>107.25906575953</v>
      </c>
      <c r="L621" s="18" t="n">
        <f aca="false">K621*Assumptions!$B$3</f>
        <v>139.436785487389</v>
      </c>
      <c r="M621" s="19" t="n">
        <f aca="false">L621/Assumptions!$B$4</f>
        <v>3.09859523305308</v>
      </c>
      <c r="N621" s="9" t="s">
        <v>1365</v>
      </c>
    </row>
    <row r="622" customFormat="false" ht="15" hidden="false" customHeight="false" outlineLevel="0" collapsed="false">
      <c r="A622" s="9" t="s">
        <v>1985</v>
      </c>
      <c r="B622" s="9" t="s">
        <v>705</v>
      </c>
      <c r="C622" s="9" t="str">
        <f aca="false">IFERROR(INDEX(Destination!$B$2:$B$501,MATCH(B622,Destination!$A$2:$A$501,0)),"")</f>
        <v>Ranchi</v>
      </c>
      <c r="D622" s="9" t="s">
        <v>712</v>
      </c>
      <c r="E622" s="9" t="str">
        <f aca="false">IFERROR(INDEX(Destination!$B$2:$B$501,MATCH(D622,Destination!$A$2:$A$501,0)),"")</f>
        <v>Jamshedpur</v>
      </c>
      <c r="F622" s="9" t="s">
        <v>1364</v>
      </c>
      <c r="G622" s="12" t="n">
        <f aca="false">INDEX(Destination!$F$2:$F$501,MATCH(B622,Destination!$A$2:$A$501,0))</f>
        <v>23.34</v>
      </c>
      <c r="H622" s="12" t="n">
        <f aca="false">INDEX(Destination!$G$2:$G$501,MATCH(B622,Destination!$A$2:$A$501,0))</f>
        <v>85.31</v>
      </c>
      <c r="I622" s="12" t="n">
        <f aca="false">INDEX(Destination!$F$2:$F$501,MATCH(D622,Destination!$A$2:$A$501,0))</f>
        <v>22.8</v>
      </c>
      <c r="J622" s="12" t="n">
        <f aca="false">INDEX(Destination!$G$2:$G$501,MATCH(D622,Destination!$A$2:$A$501,0))</f>
        <v>86.2</v>
      </c>
      <c r="K622" s="17" t="n">
        <f aca="false">Assumptions!$B$2*2*ASIN(SQRT(SIN(RADIANS(I622-G622)/2)^2+COS(RADIANS(G622))*COS(RADIANS(I622))*SIN(RADIANS(J622-H622)/2)^2))</f>
        <v>109.065319434849</v>
      </c>
      <c r="L622" s="18" t="n">
        <f aca="false">K622*Assumptions!$B$3</f>
        <v>141.784915265304</v>
      </c>
      <c r="M622" s="19" t="n">
        <f aca="false">L622/Assumptions!$B$4</f>
        <v>3.15077589478453</v>
      </c>
      <c r="N622" s="9" t="s">
        <v>1365</v>
      </c>
    </row>
    <row r="623" customFormat="false" ht="15" hidden="false" customHeight="false" outlineLevel="0" collapsed="false">
      <c r="A623" s="9" t="s">
        <v>1986</v>
      </c>
      <c r="B623" s="9" t="s">
        <v>705</v>
      </c>
      <c r="C623" s="9" t="str">
        <f aca="false">IFERROR(INDEX(Destination!$B$2:$B$501,MATCH(B623,Destination!$A$2:$A$501,0)),"")</f>
        <v>Ranchi</v>
      </c>
      <c r="D623" s="9" t="s">
        <v>714</v>
      </c>
      <c r="E623" s="9" t="str">
        <f aca="false">IFERROR(INDEX(Destination!$B$2:$B$501,MATCH(D623,Destination!$A$2:$A$501,0)),"")</f>
        <v>Hazaribagh</v>
      </c>
      <c r="F623" s="9" t="s">
        <v>1364</v>
      </c>
      <c r="G623" s="12" t="n">
        <f aca="false">INDEX(Destination!$F$2:$F$501,MATCH(B623,Destination!$A$2:$A$501,0))</f>
        <v>23.34</v>
      </c>
      <c r="H623" s="12" t="n">
        <f aca="false">INDEX(Destination!$G$2:$G$501,MATCH(B623,Destination!$A$2:$A$501,0))</f>
        <v>85.31</v>
      </c>
      <c r="I623" s="12" t="n">
        <f aca="false">INDEX(Destination!$F$2:$F$501,MATCH(D623,Destination!$A$2:$A$501,0))</f>
        <v>23.99</v>
      </c>
      <c r="J623" s="12" t="n">
        <f aca="false">INDEX(Destination!$G$2:$G$501,MATCH(D623,Destination!$A$2:$A$501,0))</f>
        <v>85.36</v>
      </c>
      <c r="K623" s="17" t="n">
        <f aca="false">Assumptions!$B$2*2*ASIN(SQRT(SIN(RADIANS(I623-G623)/2)^2+COS(RADIANS(G623))*COS(RADIANS(I623))*SIN(RADIANS(J623-H623)/2)^2))</f>
        <v>72.4558618911581</v>
      </c>
      <c r="L623" s="18" t="n">
        <f aca="false">K623*Assumptions!$B$3</f>
        <v>94.1926204585055</v>
      </c>
      <c r="M623" s="19" t="n">
        <f aca="false">L623/Assumptions!$B$4</f>
        <v>2.09316934352234</v>
      </c>
      <c r="N623" s="9" t="s">
        <v>1365</v>
      </c>
    </row>
    <row r="624" customFormat="false" ht="15" hidden="false" customHeight="false" outlineLevel="0" collapsed="false">
      <c r="A624" s="9" t="s">
        <v>1987</v>
      </c>
      <c r="B624" s="9" t="s">
        <v>705</v>
      </c>
      <c r="C624" s="9" t="str">
        <f aca="false">IFERROR(INDEX(Destination!$B$2:$B$501,MATCH(B624,Destination!$A$2:$A$501,0)),"")</f>
        <v>Ranchi</v>
      </c>
      <c r="D624" s="9" t="s">
        <v>718</v>
      </c>
      <c r="E624" s="9" t="str">
        <f aca="false">IFERROR(INDEX(Destination!$B$2:$B$501,MATCH(D624,Destination!$A$2:$A$501,0)),"")</f>
        <v>Dassam Falls</v>
      </c>
      <c r="F624" s="9" t="s">
        <v>1364</v>
      </c>
      <c r="G624" s="12" t="n">
        <f aca="false">INDEX(Destination!$F$2:$F$501,MATCH(B624,Destination!$A$2:$A$501,0))</f>
        <v>23.34</v>
      </c>
      <c r="H624" s="12" t="n">
        <f aca="false">INDEX(Destination!$G$2:$G$501,MATCH(B624,Destination!$A$2:$A$501,0))</f>
        <v>85.31</v>
      </c>
      <c r="I624" s="12" t="n">
        <f aca="false">INDEX(Destination!$F$2:$F$501,MATCH(D624,Destination!$A$2:$A$501,0))</f>
        <v>23.03</v>
      </c>
      <c r="J624" s="12" t="n">
        <f aca="false">INDEX(Destination!$G$2:$G$501,MATCH(D624,Destination!$A$2:$A$501,0))</f>
        <v>85.6</v>
      </c>
      <c r="K624" s="17" t="n">
        <f aca="false">Assumptions!$B$2*2*ASIN(SQRT(SIN(RADIANS(I624-G624)/2)^2+COS(RADIANS(G624))*COS(RADIANS(I624))*SIN(RADIANS(J624-H624)/2)^2))</f>
        <v>45.4628381895668</v>
      </c>
      <c r="L624" s="18" t="n">
        <f aca="false">K624*Assumptions!$B$3</f>
        <v>59.1016896464368</v>
      </c>
      <c r="M624" s="19" t="n">
        <f aca="false">L624/Assumptions!$B$4</f>
        <v>1.31337088103193</v>
      </c>
      <c r="N624" s="9" t="s">
        <v>1365</v>
      </c>
    </row>
    <row r="625" customFormat="false" ht="15" hidden="false" customHeight="false" outlineLevel="0" collapsed="false">
      <c r="A625" s="9" t="s">
        <v>1988</v>
      </c>
      <c r="B625" s="9" t="s">
        <v>705</v>
      </c>
      <c r="C625" s="9" t="str">
        <f aca="false">IFERROR(INDEX(Destination!$B$2:$B$501,MATCH(B625,Destination!$A$2:$A$501,0)),"")</f>
        <v>Ranchi</v>
      </c>
      <c r="D625" s="9" t="s">
        <v>720</v>
      </c>
      <c r="E625" s="9" t="str">
        <f aca="false">IFERROR(INDEX(Destination!$B$2:$B$501,MATCH(D625,Destination!$A$2:$A$501,0)),"")</f>
        <v>Hundru Falls</v>
      </c>
      <c r="F625" s="9" t="s">
        <v>1364</v>
      </c>
      <c r="G625" s="12" t="n">
        <f aca="false">INDEX(Destination!$F$2:$F$501,MATCH(B625,Destination!$A$2:$A$501,0))</f>
        <v>23.34</v>
      </c>
      <c r="H625" s="12" t="n">
        <f aca="false">INDEX(Destination!$G$2:$G$501,MATCH(B625,Destination!$A$2:$A$501,0))</f>
        <v>85.31</v>
      </c>
      <c r="I625" s="12" t="n">
        <f aca="false">INDEX(Destination!$F$2:$F$501,MATCH(D625,Destination!$A$2:$A$501,0))</f>
        <v>23.45</v>
      </c>
      <c r="J625" s="12" t="n">
        <f aca="false">INDEX(Destination!$G$2:$G$501,MATCH(D625,Destination!$A$2:$A$501,0))</f>
        <v>85.6</v>
      </c>
      <c r="K625" s="17" t="n">
        <f aca="false">Assumptions!$B$2*2*ASIN(SQRT(SIN(RADIANS(I625-G625)/2)^2+COS(RADIANS(G625))*COS(RADIANS(I625))*SIN(RADIANS(J625-H625)/2)^2))</f>
        <v>32.0234627250915</v>
      </c>
      <c r="L625" s="18" t="n">
        <f aca="false">K625*Assumptions!$B$3</f>
        <v>41.6305015426189</v>
      </c>
      <c r="M625" s="19" t="n">
        <f aca="false">L625/Assumptions!$B$4</f>
        <v>0.925122256502643</v>
      </c>
      <c r="N625" s="9" t="s">
        <v>1365</v>
      </c>
    </row>
    <row r="626" customFormat="false" ht="15" hidden="false" customHeight="false" outlineLevel="0" collapsed="false">
      <c r="A626" s="9" t="s">
        <v>1989</v>
      </c>
      <c r="B626" s="9" t="s">
        <v>705</v>
      </c>
      <c r="C626" s="9" t="str">
        <f aca="false">IFERROR(INDEX(Destination!$B$2:$B$501,MATCH(B626,Destination!$A$2:$A$501,0)),"")</f>
        <v>Ranchi</v>
      </c>
      <c r="D626" s="9" t="s">
        <v>722</v>
      </c>
      <c r="E626" s="9" t="str">
        <f aca="false">IFERROR(INDEX(Destination!$B$2:$B$501,MATCH(D626,Destination!$A$2:$A$501,0)),"")</f>
        <v>Patratu</v>
      </c>
      <c r="F626" s="9" t="s">
        <v>1364</v>
      </c>
      <c r="G626" s="12" t="n">
        <f aca="false">INDEX(Destination!$F$2:$F$501,MATCH(B626,Destination!$A$2:$A$501,0))</f>
        <v>23.34</v>
      </c>
      <c r="H626" s="12" t="n">
        <f aca="false">INDEX(Destination!$G$2:$G$501,MATCH(B626,Destination!$A$2:$A$501,0))</f>
        <v>85.31</v>
      </c>
      <c r="I626" s="12" t="n">
        <f aca="false">INDEX(Destination!$F$2:$F$501,MATCH(D626,Destination!$A$2:$A$501,0))</f>
        <v>23.65</v>
      </c>
      <c r="J626" s="12" t="n">
        <f aca="false">INDEX(Destination!$G$2:$G$501,MATCH(D626,Destination!$A$2:$A$501,0))</f>
        <v>85.28</v>
      </c>
      <c r="K626" s="17" t="n">
        <f aca="false">Assumptions!$B$2*2*ASIN(SQRT(SIN(RADIANS(I626-G626)/2)^2+COS(RADIANS(G626))*COS(RADIANS(I626))*SIN(RADIANS(J626-H626)/2)^2))</f>
        <v>34.6059181098795</v>
      </c>
      <c r="L626" s="18" t="n">
        <f aca="false">K626*Assumptions!$B$3</f>
        <v>44.9876935428433</v>
      </c>
      <c r="M626" s="19" t="n">
        <f aca="false">L626/Assumptions!$B$4</f>
        <v>0.999726523174296</v>
      </c>
      <c r="N626" s="9" t="s">
        <v>1365</v>
      </c>
    </row>
    <row r="627" customFormat="false" ht="15" hidden="false" customHeight="false" outlineLevel="0" collapsed="false">
      <c r="A627" s="9" t="s">
        <v>1990</v>
      </c>
      <c r="B627" s="9" t="s">
        <v>708</v>
      </c>
      <c r="C627" s="9" t="str">
        <f aca="false">IFERROR(INDEX(Destination!$B$2:$B$501,MATCH(B627,Destination!$A$2:$A$501,0)),"")</f>
        <v>Deoghar</v>
      </c>
      <c r="D627" s="9" t="s">
        <v>724</v>
      </c>
      <c r="E627" s="9" t="str">
        <f aca="false">IFERROR(INDEX(Destination!$B$2:$B$501,MATCH(D627,Destination!$A$2:$A$501,0)),"")</f>
        <v>Parasnath</v>
      </c>
      <c r="F627" s="9" t="s">
        <v>1364</v>
      </c>
      <c r="G627" s="12" t="n">
        <f aca="false">INDEX(Destination!$F$2:$F$501,MATCH(B627,Destination!$A$2:$A$501,0))</f>
        <v>24.49</v>
      </c>
      <c r="H627" s="12" t="n">
        <f aca="false">INDEX(Destination!$G$2:$G$501,MATCH(B627,Destination!$A$2:$A$501,0))</f>
        <v>86.7</v>
      </c>
      <c r="I627" s="12" t="n">
        <f aca="false">INDEX(Destination!$F$2:$F$501,MATCH(D627,Destination!$A$2:$A$501,0))</f>
        <v>23.96</v>
      </c>
      <c r="J627" s="12" t="n">
        <f aca="false">INDEX(Destination!$G$2:$G$501,MATCH(D627,Destination!$A$2:$A$501,0))</f>
        <v>86.13</v>
      </c>
      <c r="K627" s="17" t="n">
        <f aca="false">Assumptions!$B$2*2*ASIN(SQRT(SIN(RADIANS(I627-G627)/2)^2+COS(RADIANS(G627))*COS(RADIANS(I627))*SIN(RADIANS(J627-H627)/2)^2))</f>
        <v>82.5464350302933</v>
      </c>
      <c r="L627" s="18" t="n">
        <f aca="false">K627*Assumptions!$B$3</f>
        <v>107.310365539381</v>
      </c>
      <c r="M627" s="19" t="n">
        <f aca="false">L627/Assumptions!$B$4</f>
        <v>2.38467478976403</v>
      </c>
      <c r="N627" s="9" t="s">
        <v>1365</v>
      </c>
    </row>
    <row r="628" customFormat="false" ht="15" hidden="false" customHeight="false" outlineLevel="0" collapsed="false">
      <c r="A628" s="9" t="s">
        <v>1991</v>
      </c>
      <c r="B628" s="9" t="s">
        <v>710</v>
      </c>
      <c r="C628" s="9" t="str">
        <f aca="false">IFERROR(INDEX(Destination!$B$2:$B$501,MATCH(B628,Destination!$A$2:$A$501,0)),"")</f>
        <v>Netarhat</v>
      </c>
      <c r="D628" s="9" t="s">
        <v>716</v>
      </c>
      <c r="E628" s="9" t="str">
        <f aca="false">IFERROR(INDEX(Destination!$B$2:$B$501,MATCH(D628,Destination!$A$2:$A$501,0)),"")</f>
        <v>Betla</v>
      </c>
      <c r="F628" s="9" t="s">
        <v>1364</v>
      </c>
      <c r="G628" s="12" t="n">
        <f aca="false">INDEX(Destination!$F$2:$F$501,MATCH(B628,Destination!$A$2:$A$501,0))</f>
        <v>23.48</v>
      </c>
      <c r="H628" s="12" t="n">
        <f aca="false">INDEX(Destination!$G$2:$G$501,MATCH(B628,Destination!$A$2:$A$501,0))</f>
        <v>84.27</v>
      </c>
      <c r="I628" s="12" t="n">
        <f aca="false">INDEX(Destination!$F$2:$F$501,MATCH(D628,Destination!$A$2:$A$501,0))</f>
        <v>23.89</v>
      </c>
      <c r="J628" s="12" t="n">
        <f aca="false">INDEX(Destination!$G$2:$G$501,MATCH(D628,Destination!$A$2:$A$501,0))</f>
        <v>84.19</v>
      </c>
      <c r="K628" s="17" t="n">
        <f aca="false">Assumptions!$B$2*2*ASIN(SQRT(SIN(RADIANS(I628-G628)/2)^2+COS(RADIANS(G628))*COS(RADIANS(I628))*SIN(RADIANS(J628-H628)/2)^2))</f>
        <v>46.3120128161395</v>
      </c>
      <c r="L628" s="18" t="n">
        <f aca="false">K628*Assumptions!$B$3</f>
        <v>60.2056166609813</v>
      </c>
      <c r="M628" s="19" t="n">
        <f aca="false">L628/Assumptions!$B$4</f>
        <v>1.33790259246625</v>
      </c>
      <c r="N628" s="9" t="s">
        <v>1365</v>
      </c>
    </row>
    <row r="629" customFormat="false" ht="15" hidden="false" customHeight="false" outlineLevel="0" collapsed="false">
      <c r="A629" s="9" t="s">
        <v>1992</v>
      </c>
      <c r="B629" s="9" t="s">
        <v>710</v>
      </c>
      <c r="C629" s="9" t="str">
        <f aca="false">IFERROR(INDEX(Destination!$B$2:$B$501,MATCH(B629,Destination!$A$2:$A$501,0)),"")</f>
        <v>Netarhat</v>
      </c>
      <c r="D629" s="9" t="s">
        <v>722</v>
      </c>
      <c r="E629" s="9" t="str">
        <f aca="false">IFERROR(INDEX(Destination!$B$2:$B$501,MATCH(D629,Destination!$A$2:$A$501,0)),"")</f>
        <v>Patratu</v>
      </c>
      <c r="F629" s="9" t="s">
        <v>1364</v>
      </c>
      <c r="G629" s="12" t="n">
        <f aca="false">INDEX(Destination!$F$2:$F$501,MATCH(B629,Destination!$A$2:$A$501,0))</f>
        <v>23.48</v>
      </c>
      <c r="H629" s="12" t="n">
        <f aca="false">INDEX(Destination!$G$2:$G$501,MATCH(B629,Destination!$A$2:$A$501,0))</f>
        <v>84.27</v>
      </c>
      <c r="I629" s="12" t="n">
        <f aca="false">INDEX(Destination!$F$2:$F$501,MATCH(D629,Destination!$A$2:$A$501,0))</f>
        <v>23.65</v>
      </c>
      <c r="J629" s="12" t="n">
        <f aca="false">INDEX(Destination!$G$2:$G$501,MATCH(D629,Destination!$A$2:$A$501,0))</f>
        <v>85.28</v>
      </c>
      <c r="K629" s="17" t="n">
        <f aca="false">Assumptions!$B$2*2*ASIN(SQRT(SIN(RADIANS(I629-G629)/2)^2+COS(RADIANS(G629))*COS(RADIANS(I629))*SIN(RADIANS(J629-H629)/2)^2))</f>
        <v>104.662218808194</v>
      </c>
      <c r="L629" s="18" t="n">
        <f aca="false">K629*Assumptions!$B$3</f>
        <v>136.060884450652</v>
      </c>
      <c r="M629" s="19" t="n">
        <f aca="false">L629/Assumptions!$B$4</f>
        <v>3.02357521001449</v>
      </c>
      <c r="N629" s="9" t="s">
        <v>1365</v>
      </c>
    </row>
    <row r="630" customFormat="false" ht="15" hidden="false" customHeight="false" outlineLevel="0" collapsed="false">
      <c r="A630" s="9" t="s">
        <v>1993</v>
      </c>
      <c r="B630" s="9" t="s">
        <v>710</v>
      </c>
      <c r="C630" s="9" t="str">
        <f aca="false">IFERROR(INDEX(Destination!$B$2:$B$501,MATCH(B630,Destination!$A$2:$A$501,0)),"")</f>
        <v>Netarhat</v>
      </c>
      <c r="D630" s="9" t="s">
        <v>739</v>
      </c>
      <c r="E630" s="9" t="str">
        <f aca="false">IFERROR(INDEX(Destination!$B$2:$B$501,MATCH(D630,Destination!$A$2:$A$501,0)),"")</f>
        <v>Mainpat</v>
      </c>
      <c r="F630" s="9" t="s">
        <v>1364</v>
      </c>
      <c r="G630" s="12" t="n">
        <f aca="false">INDEX(Destination!$F$2:$F$501,MATCH(B630,Destination!$A$2:$A$501,0))</f>
        <v>23.48</v>
      </c>
      <c r="H630" s="12" t="n">
        <f aca="false">INDEX(Destination!$G$2:$G$501,MATCH(B630,Destination!$A$2:$A$501,0))</f>
        <v>84.27</v>
      </c>
      <c r="I630" s="12" t="n">
        <f aca="false">INDEX(Destination!$F$2:$F$501,MATCH(D630,Destination!$A$2:$A$501,0))</f>
        <v>22.83</v>
      </c>
      <c r="J630" s="12" t="n">
        <f aca="false">INDEX(Destination!$G$2:$G$501,MATCH(D630,Destination!$A$2:$A$501,0))</f>
        <v>83.3</v>
      </c>
      <c r="K630" s="17" t="n">
        <f aca="false">Assumptions!$B$2*2*ASIN(SQRT(SIN(RADIANS(I630-G630)/2)^2+COS(RADIANS(G630))*COS(RADIANS(I630))*SIN(RADIANS(J630-H630)/2)^2))</f>
        <v>122.713066289235</v>
      </c>
      <c r="L630" s="18" t="n">
        <f aca="false">K630*Assumptions!$B$3</f>
        <v>159.526986176006</v>
      </c>
      <c r="M630" s="19" t="n">
        <f aca="false">L630/Assumptions!$B$4</f>
        <v>3.54504413724457</v>
      </c>
      <c r="N630" s="9" t="s">
        <v>1365</v>
      </c>
    </row>
    <row r="631" customFormat="false" ht="15" hidden="false" customHeight="false" outlineLevel="0" collapsed="false">
      <c r="A631" s="9" t="s">
        <v>1994</v>
      </c>
      <c r="B631" s="9" t="s">
        <v>712</v>
      </c>
      <c r="C631" s="9" t="str">
        <f aca="false">IFERROR(INDEX(Destination!$B$2:$B$501,MATCH(B631,Destination!$A$2:$A$501,0)),"")</f>
        <v>Jamshedpur</v>
      </c>
      <c r="D631" s="9" t="s">
        <v>718</v>
      </c>
      <c r="E631" s="9" t="str">
        <f aca="false">IFERROR(INDEX(Destination!$B$2:$B$501,MATCH(D631,Destination!$A$2:$A$501,0)),"")</f>
        <v>Dassam Falls</v>
      </c>
      <c r="F631" s="9" t="s">
        <v>1364</v>
      </c>
      <c r="G631" s="12" t="n">
        <f aca="false">INDEX(Destination!$F$2:$F$501,MATCH(B631,Destination!$A$2:$A$501,0))</f>
        <v>22.8</v>
      </c>
      <c r="H631" s="12" t="n">
        <f aca="false">INDEX(Destination!$G$2:$G$501,MATCH(B631,Destination!$A$2:$A$501,0))</f>
        <v>86.2</v>
      </c>
      <c r="I631" s="12" t="n">
        <f aca="false">INDEX(Destination!$F$2:$F$501,MATCH(D631,Destination!$A$2:$A$501,0))</f>
        <v>23.03</v>
      </c>
      <c r="J631" s="12" t="n">
        <f aca="false">INDEX(Destination!$G$2:$G$501,MATCH(D631,Destination!$A$2:$A$501,0))</f>
        <v>85.6</v>
      </c>
      <c r="K631" s="17" t="n">
        <f aca="false">Assumptions!$B$2*2*ASIN(SQRT(SIN(RADIANS(I631-G631)/2)^2+COS(RADIANS(G631))*COS(RADIANS(I631))*SIN(RADIANS(J631-H631)/2)^2))</f>
        <v>66.5612014413646</v>
      </c>
      <c r="L631" s="18" t="n">
        <f aca="false">K631*Assumptions!$B$3</f>
        <v>86.5295618737739</v>
      </c>
      <c r="M631" s="19" t="n">
        <f aca="false">L631/Assumptions!$B$4</f>
        <v>1.92287915275053</v>
      </c>
      <c r="N631" s="9" t="s">
        <v>1365</v>
      </c>
    </row>
    <row r="632" customFormat="false" ht="15" hidden="false" customHeight="false" outlineLevel="0" collapsed="false">
      <c r="A632" s="9" t="s">
        <v>1995</v>
      </c>
      <c r="B632" s="9" t="s">
        <v>712</v>
      </c>
      <c r="C632" s="9" t="str">
        <f aca="false">IFERROR(INDEX(Destination!$B$2:$B$501,MATCH(B632,Destination!$A$2:$A$501,0)),"")</f>
        <v>Jamshedpur</v>
      </c>
      <c r="D632" s="9" t="s">
        <v>720</v>
      </c>
      <c r="E632" s="9" t="str">
        <f aca="false">IFERROR(INDEX(Destination!$B$2:$B$501,MATCH(D632,Destination!$A$2:$A$501,0)),"")</f>
        <v>Hundru Falls</v>
      </c>
      <c r="F632" s="9" t="s">
        <v>1364</v>
      </c>
      <c r="G632" s="12" t="n">
        <f aca="false">INDEX(Destination!$F$2:$F$501,MATCH(B632,Destination!$A$2:$A$501,0))</f>
        <v>22.8</v>
      </c>
      <c r="H632" s="12" t="n">
        <f aca="false">INDEX(Destination!$G$2:$G$501,MATCH(B632,Destination!$A$2:$A$501,0))</f>
        <v>86.2</v>
      </c>
      <c r="I632" s="12" t="n">
        <f aca="false">INDEX(Destination!$F$2:$F$501,MATCH(D632,Destination!$A$2:$A$501,0))</f>
        <v>23.45</v>
      </c>
      <c r="J632" s="12" t="n">
        <f aca="false">INDEX(Destination!$G$2:$G$501,MATCH(D632,Destination!$A$2:$A$501,0))</f>
        <v>85.6</v>
      </c>
      <c r="K632" s="17" t="n">
        <f aca="false">Assumptions!$B$2*2*ASIN(SQRT(SIN(RADIANS(I632-G632)/2)^2+COS(RADIANS(G632))*COS(RADIANS(I632))*SIN(RADIANS(J632-H632)/2)^2))</f>
        <v>94.8074098836898</v>
      </c>
      <c r="L632" s="18" t="n">
        <f aca="false">K632*Assumptions!$B$3</f>
        <v>123.249632848797</v>
      </c>
      <c r="M632" s="19" t="n">
        <f aca="false">L632/Assumptions!$B$4</f>
        <v>2.73888072997326</v>
      </c>
      <c r="N632" s="9" t="s">
        <v>1365</v>
      </c>
    </row>
    <row r="633" customFormat="false" ht="15" hidden="false" customHeight="false" outlineLevel="0" collapsed="false">
      <c r="A633" s="9" t="s">
        <v>1996</v>
      </c>
      <c r="B633" s="9" t="s">
        <v>714</v>
      </c>
      <c r="C633" s="9" t="str">
        <f aca="false">IFERROR(INDEX(Destination!$B$2:$B$501,MATCH(B633,Destination!$A$2:$A$501,0)),"")</f>
        <v>Hazaribagh</v>
      </c>
      <c r="D633" s="9" t="s">
        <v>716</v>
      </c>
      <c r="E633" s="9" t="str">
        <f aca="false">IFERROR(INDEX(Destination!$B$2:$B$501,MATCH(D633,Destination!$A$2:$A$501,0)),"")</f>
        <v>Betla</v>
      </c>
      <c r="F633" s="9" t="s">
        <v>1364</v>
      </c>
      <c r="G633" s="12" t="n">
        <f aca="false">INDEX(Destination!$F$2:$F$501,MATCH(B633,Destination!$A$2:$A$501,0))</f>
        <v>23.99</v>
      </c>
      <c r="H633" s="12" t="n">
        <f aca="false">INDEX(Destination!$G$2:$G$501,MATCH(B633,Destination!$A$2:$A$501,0))</f>
        <v>85.36</v>
      </c>
      <c r="I633" s="12" t="n">
        <f aca="false">INDEX(Destination!$F$2:$F$501,MATCH(D633,Destination!$A$2:$A$501,0))</f>
        <v>23.89</v>
      </c>
      <c r="J633" s="12" t="n">
        <f aca="false">INDEX(Destination!$G$2:$G$501,MATCH(D633,Destination!$A$2:$A$501,0))</f>
        <v>84.19</v>
      </c>
      <c r="K633" s="17" t="n">
        <f aca="false">Assumptions!$B$2*2*ASIN(SQRT(SIN(RADIANS(I633-G633)/2)^2+COS(RADIANS(G633))*COS(RADIANS(I633))*SIN(RADIANS(J633-H633)/2)^2))</f>
        <v>119.424269447563</v>
      </c>
      <c r="L633" s="18" t="n">
        <f aca="false">K633*Assumptions!$B$3</f>
        <v>155.251550281831</v>
      </c>
      <c r="M633" s="19" t="n">
        <f aca="false">L633/Assumptions!$B$4</f>
        <v>3.45003445070737</v>
      </c>
      <c r="N633" s="9" t="s">
        <v>1365</v>
      </c>
    </row>
    <row r="634" customFormat="false" ht="15" hidden="false" customHeight="false" outlineLevel="0" collapsed="false">
      <c r="A634" s="9" t="s">
        <v>1997</v>
      </c>
      <c r="B634" s="9" t="s">
        <v>714</v>
      </c>
      <c r="C634" s="9" t="str">
        <f aca="false">IFERROR(INDEX(Destination!$B$2:$B$501,MATCH(B634,Destination!$A$2:$A$501,0)),"")</f>
        <v>Hazaribagh</v>
      </c>
      <c r="D634" s="9" t="s">
        <v>720</v>
      </c>
      <c r="E634" s="9" t="str">
        <f aca="false">IFERROR(INDEX(Destination!$B$2:$B$501,MATCH(D634,Destination!$A$2:$A$501,0)),"")</f>
        <v>Hundru Falls</v>
      </c>
      <c r="F634" s="9" t="s">
        <v>1364</v>
      </c>
      <c r="G634" s="12" t="n">
        <f aca="false">INDEX(Destination!$F$2:$F$501,MATCH(B634,Destination!$A$2:$A$501,0))</f>
        <v>23.99</v>
      </c>
      <c r="H634" s="12" t="n">
        <f aca="false">INDEX(Destination!$G$2:$G$501,MATCH(B634,Destination!$A$2:$A$501,0))</f>
        <v>85.36</v>
      </c>
      <c r="I634" s="12" t="n">
        <f aca="false">INDEX(Destination!$F$2:$F$501,MATCH(D634,Destination!$A$2:$A$501,0))</f>
        <v>23.45</v>
      </c>
      <c r="J634" s="12" t="n">
        <f aca="false">INDEX(Destination!$G$2:$G$501,MATCH(D634,Destination!$A$2:$A$501,0))</f>
        <v>85.6</v>
      </c>
      <c r="K634" s="17" t="n">
        <f aca="false">Assumptions!$B$2*2*ASIN(SQRT(SIN(RADIANS(I634-G634)/2)^2+COS(RADIANS(G634))*COS(RADIANS(I634))*SIN(RADIANS(J634-H634)/2)^2))</f>
        <v>64.8256549456247</v>
      </c>
      <c r="L634" s="18" t="n">
        <f aca="false">K634*Assumptions!$B$3</f>
        <v>84.273351429312</v>
      </c>
      <c r="M634" s="19" t="n">
        <f aca="false">L634/Assumptions!$B$4</f>
        <v>1.8727411428736</v>
      </c>
      <c r="N634" s="9" t="s">
        <v>1365</v>
      </c>
    </row>
    <row r="635" customFormat="false" ht="15" hidden="false" customHeight="false" outlineLevel="0" collapsed="false">
      <c r="A635" s="9" t="s">
        <v>1998</v>
      </c>
      <c r="B635" s="9" t="s">
        <v>714</v>
      </c>
      <c r="C635" s="9" t="str">
        <f aca="false">IFERROR(INDEX(Destination!$B$2:$B$501,MATCH(B635,Destination!$A$2:$A$501,0)),"")</f>
        <v>Hazaribagh</v>
      </c>
      <c r="D635" s="9" t="s">
        <v>722</v>
      </c>
      <c r="E635" s="9" t="str">
        <f aca="false">IFERROR(INDEX(Destination!$B$2:$B$501,MATCH(D635,Destination!$A$2:$A$501,0)),"")</f>
        <v>Patratu</v>
      </c>
      <c r="F635" s="9" t="s">
        <v>1364</v>
      </c>
      <c r="G635" s="12" t="n">
        <f aca="false">INDEX(Destination!$F$2:$F$501,MATCH(B635,Destination!$A$2:$A$501,0))</f>
        <v>23.99</v>
      </c>
      <c r="H635" s="12" t="n">
        <f aca="false">INDEX(Destination!$G$2:$G$501,MATCH(B635,Destination!$A$2:$A$501,0))</f>
        <v>85.36</v>
      </c>
      <c r="I635" s="12" t="n">
        <f aca="false">INDEX(Destination!$F$2:$F$501,MATCH(D635,Destination!$A$2:$A$501,0))</f>
        <v>23.65</v>
      </c>
      <c r="J635" s="12" t="n">
        <f aca="false">INDEX(Destination!$G$2:$G$501,MATCH(D635,Destination!$A$2:$A$501,0))</f>
        <v>85.28</v>
      </c>
      <c r="K635" s="17" t="n">
        <f aca="false">Assumptions!$B$2*2*ASIN(SQRT(SIN(RADIANS(I635-G635)/2)^2+COS(RADIANS(G635))*COS(RADIANS(I635))*SIN(RADIANS(J635-H635)/2)^2))</f>
        <v>38.6721971072199</v>
      </c>
      <c r="L635" s="18" t="n">
        <f aca="false">K635*Assumptions!$B$3</f>
        <v>50.2738562393859</v>
      </c>
      <c r="M635" s="19" t="n">
        <f aca="false">L635/Assumptions!$B$4</f>
        <v>1.11719680531969</v>
      </c>
      <c r="N635" s="9" t="s">
        <v>1365</v>
      </c>
    </row>
    <row r="636" customFormat="false" ht="15" hidden="false" customHeight="false" outlineLevel="0" collapsed="false">
      <c r="A636" s="9" t="s">
        <v>1999</v>
      </c>
      <c r="B636" s="9" t="s">
        <v>714</v>
      </c>
      <c r="C636" s="9" t="str">
        <f aca="false">IFERROR(INDEX(Destination!$B$2:$B$501,MATCH(B636,Destination!$A$2:$A$501,0)),"")</f>
        <v>Hazaribagh</v>
      </c>
      <c r="D636" s="9" t="s">
        <v>724</v>
      </c>
      <c r="E636" s="9" t="str">
        <f aca="false">IFERROR(INDEX(Destination!$B$2:$B$501,MATCH(D636,Destination!$A$2:$A$501,0)),"")</f>
        <v>Parasnath</v>
      </c>
      <c r="F636" s="9" t="s">
        <v>1364</v>
      </c>
      <c r="G636" s="12" t="n">
        <f aca="false">INDEX(Destination!$F$2:$F$501,MATCH(B636,Destination!$A$2:$A$501,0))</f>
        <v>23.99</v>
      </c>
      <c r="H636" s="12" t="n">
        <f aca="false">INDEX(Destination!$G$2:$G$501,MATCH(B636,Destination!$A$2:$A$501,0))</f>
        <v>85.36</v>
      </c>
      <c r="I636" s="12" t="n">
        <f aca="false">INDEX(Destination!$F$2:$F$501,MATCH(D636,Destination!$A$2:$A$501,0))</f>
        <v>23.96</v>
      </c>
      <c r="J636" s="12" t="n">
        <f aca="false">INDEX(Destination!$G$2:$G$501,MATCH(D636,Destination!$A$2:$A$501,0))</f>
        <v>86.13</v>
      </c>
      <c r="K636" s="17" t="n">
        <f aca="false">Assumptions!$B$2*2*ASIN(SQRT(SIN(RADIANS(I636-G636)/2)^2+COS(RADIANS(G636))*COS(RADIANS(I636))*SIN(RADIANS(J636-H636)/2)^2))</f>
        <v>78.304024515157</v>
      </c>
      <c r="L636" s="18" t="n">
        <f aca="false">K636*Assumptions!$B$3</f>
        <v>101.795231869704</v>
      </c>
      <c r="M636" s="19" t="n">
        <f aca="false">L636/Assumptions!$B$4</f>
        <v>2.2621162637712</v>
      </c>
      <c r="N636" s="9" t="s">
        <v>1365</v>
      </c>
    </row>
    <row r="637" customFormat="false" ht="15" hidden="false" customHeight="false" outlineLevel="0" collapsed="false">
      <c r="A637" s="9" t="s">
        <v>2000</v>
      </c>
      <c r="B637" s="9" t="s">
        <v>716</v>
      </c>
      <c r="C637" s="9" t="str">
        <f aca="false">IFERROR(INDEX(Destination!$B$2:$B$501,MATCH(B637,Destination!$A$2:$A$501,0)),"")</f>
        <v>Betla</v>
      </c>
      <c r="D637" s="9" t="s">
        <v>722</v>
      </c>
      <c r="E637" s="9" t="str">
        <f aca="false">IFERROR(INDEX(Destination!$B$2:$B$501,MATCH(D637,Destination!$A$2:$A$501,0)),"")</f>
        <v>Patratu</v>
      </c>
      <c r="F637" s="9" t="s">
        <v>1364</v>
      </c>
      <c r="G637" s="12" t="n">
        <f aca="false">INDEX(Destination!$F$2:$F$501,MATCH(B637,Destination!$A$2:$A$501,0))</f>
        <v>23.89</v>
      </c>
      <c r="H637" s="12" t="n">
        <f aca="false">INDEX(Destination!$G$2:$G$501,MATCH(B637,Destination!$A$2:$A$501,0))</f>
        <v>84.19</v>
      </c>
      <c r="I637" s="12" t="n">
        <f aca="false">INDEX(Destination!$F$2:$F$501,MATCH(D637,Destination!$A$2:$A$501,0))</f>
        <v>23.65</v>
      </c>
      <c r="J637" s="12" t="n">
        <f aca="false">INDEX(Destination!$G$2:$G$501,MATCH(D637,Destination!$A$2:$A$501,0))</f>
        <v>85.28</v>
      </c>
      <c r="K637" s="17" t="n">
        <f aca="false">Assumptions!$B$2*2*ASIN(SQRT(SIN(RADIANS(I637-G637)/2)^2+COS(RADIANS(G637))*COS(RADIANS(I637))*SIN(RADIANS(J637-H637)/2)^2))</f>
        <v>114.085741140254</v>
      </c>
      <c r="L637" s="18" t="n">
        <f aca="false">K637*Assumptions!$B$3</f>
        <v>148.31146348233</v>
      </c>
      <c r="M637" s="19" t="n">
        <f aca="false">L637/Assumptions!$B$4</f>
        <v>3.29581029960733</v>
      </c>
      <c r="N637" s="9" t="s">
        <v>1365</v>
      </c>
    </row>
    <row r="638" customFormat="false" ht="15" hidden="false" customHeight="false" outlineLevel="0" collapsed="false">
      <c r="A638" s="9" t="s">
        <v>2001</v>
      </c>
      <c r="B638" s="9" t="s">
        <v>716</v>
      </c>
      <c r="C638" s="9" t="str">
        <f aca="false">IFERROR(INDEX(Destination!$B$2:$B$501,MATCH(B638,Destination!$A$2:$A$501,0)),"")</f>
        <v>Betla</v>
      </c>
      <c r="D638" s="9" t="s">
        <v>739</v>
      </c>
      <c r="E638" s="9" t="str">
        <f aca="false">IFERROR(INDEX(Destination!$B$2:$B$501,MATCH(D638,Destination!$A$2:$A$501,0)),"")</f>
        <v>Mainpat</v>
      </c>
      <c r="F638" s="9" t="s">
        <v>1364</v>
      </c>
      <c r="G638" s="12" t="n">
        <f aca="false">INDEX(Destination!$F$2:$F$501,MATCH(B638,Destination!$A$2:$A$501,0))</f>
        <v>23.89</v>
      </c>
      <c r="H638" s="12" t="n">
        <f aca="false">INDEX(Destination!$G$2:$G$501,MATCH(B638,Destination!$A$2:$A$501,0))</f>
        <v>84.19</v>
      </c>
      <c r="I638" s="12" t="n">
        <f aca="false">INDEX(Destination!$F$2:$F$501,MATCH(D638,Destination!$A$2:$A$501,0))</f>
        <v>22.83</v>
      </c>
      <c r="J638" s="12" t="n">
        <f aca="false">INDEX(Destination!$G$2:$G$501,MATCH(D638,Destination!$A$2:$A$501,0))</f>
        <v>83.3</v>
      </c>
      <c r="K638" s="17" t="n">
        <f aca="false">Assumptions!$B$2*2*ASIN(SQRT(SIN(RADIANS(I638-G638)/2)^2+COS(RADIANS(G638))*COS(RADIANS(I638))*SIN(RADIANS(J638-H638)/2)^2))</f>
        <v>148.815868968002</v>
      </c>
      <c r="L638" s="18" t="n">
        <f aca="false">K638*Assumptions!$B$3</f>
        <v>193.460629658403</v>
      </c>
      <c r="M638" s="19" t="n">
        <f aca="false">L638/Assumptions!$B$4</f>
        <v>4.29912510352007</v>
      </c>
      <c r="N638" s="9" t="s">
        <v>1365</v>
      </c>
    </row>
    <row r="639" customFormat="false" ht="15" hidden="false" customHeight="false" outlineLevel="0" collapsed="false">
      <c r="A639" s="9" t="s">
        <v>2002</v>
      </c>
      <c r="B639" s="9" t="s">
        <v>716</v>
      </c>
      <c r="C639" s="9" t="str">
        <f aca="false">IFERROR(INDEX(Destination!$B$2:$B$501,MATCH(B639,Destination!$A$2:$A$501,0)),"")</f>
        <v>Betla</v>
      </c>
      <c r="D639" s="9" t="s">
        <v>994</v>
      </c>
      <c r="E639" s="9" t="str">
        <f aca="false">IFERROR(INDEX(Destination!$B$2:$B$501,MATCH(D639,Destination!$A$2:$A$501,0)),"")</f>
        <v>Kashi</v>
      </c>
      <c r="F639" s="9" t="s">
        <v>1364</v>
      </c>
      <c r="G639" s="12" t="n">
        <f aca="false">INDEX(Destination!$F$2:$F$501,MATCH(B639,Destination!$A$2:$A$501,0))</f>
        <v>23.89</v>
      </c>
      <c r="H639" s="12" t="n">
        <f aca="false">INDEX(Destination!$G$2:$G$501,MATCH(B639,Destination!$A$2:$A$501,0))</f>
        <v>84.19</v>
      </c>
      <c r="I639" s="12" t="n">
        <f aca="false">INDEX(Destination!$F$2:$F$501,MATCH(D639,Destination!$A$2:$A$501,0))</f>
        <v>25.31</v>
      </c>
      <c r="J639" s="12" t="n">
        <f aca="false">INDEX(Destination!$G$2:$G$501,MATCH(D639,Destination!$A$2:$A$501,0))</f>
        <v>83.01</v>
      </c>
      <c r="K639" s="17" t="n">
        <f aca="false">Assumptions!$B$2*2*ASIN(SQRT(SIN(RADIANS(I639-G639)/2)^2+COS(RADIANS(G639))*COS(RADIANS(I639))*SIN(RADIANS(J639-H639)/2)^2))</f>
        <v>197.895994779614</v>
      </c>
      <c r="L639" s="18" t="n">
        <f aca="false">K639*Assumptions!$B$3</f>
        <v>257.264793213498</v>
      </c>
      <c r="M639" s="19" t="n">
        <f aca="false">L639/Assumptions!$B$4</f>
        <v>5.71699540474441</v>
      </c>
      <c r="N639" s="9" t="s">
        <v>1365</v>
      </c>
    </row>
    <row r="640" customFormat="false" ht="15" hidden="false" customHeight="false" outlineLevel="0" collapsed="false">
      <c r="A640" s="9" t="s">
        <v>2003</v>
      </c>
      <c r="B640" s="9" t="s">
        <v>718</v>
      </c>
      <c r="C640" s="9" t="str">
        <f aca="false">IFERROR(INDEX(Destination!$B$2:$B$501,MATCH(B640,Destination!$A$2:$A$501,0)),"")</f>
        <v>Dassam Falls</v>
      </c>
      <c r="D640" s="9" t="s">
        <v>720</v>
      </c>
      <c r="E640" s="9" t="str">
        <f aca="false">IFERROR(INDEX(Destination!$B$2:$B$501,MATCH(D640,Destination!$A$2:$A$501,0)),"")</f>
        <v>Hundru Falls</v>
      </c>
      <c r="F640" s="9" t="s">
        <v>1364</v>
      </c>
      <c r="G640" s="12" t="n">
        <f aca="false">INDEX(Destination!$F$2:$F$501,MATCH(B640,Destination!$A$2:$A$501,0))</f>
        <v>23.03</v>
      </c>
      <c r="H640" s="12" t="n">
        <f aca="false">INDEX(Destination!$G$2:$G$501,MATCH(B640,Destination!$A$2:$A$501,0))</f>
        <v>85.6</v>
      </c>
      <c r="I640" s="12" t="n">
        <f aca="false">INDEX(Destination!$F$2:$F$501,MATCH(D640,Destination!$A$2:$A$501,0))</f>
        <v>23.45</v>
      </c>
      <c r="J640" s="12" t="n">
        <f aca="false">INDEX(Destination!$G$2:$G$501,MATCH(D640,Destination!$A$2:$A$501,0))</f>
        <v>85.6</v>
      </c>
      <c r="K640" s="17" t="n">
        <f aca="false">Assumptions!$B$2*2*ASIN(SQRT(SIN(RADIANS(I640-G640)/2)^2+COS(RADIANS(G640))*COS(RADIANS(I640))*SIN(RADIANS(J640-H640)/2)^2))</f>
        <v>46.7018691907145</v>
      </c>
      <c r="L640" s="18" t="n">
        <f aca="false">K640*Assumptions!$B$3</f>
        <v>60.7124299479288</v>
      </c>
      <c r="M640" s="19" t="n">
        <f aca="false">L640/Assumptions!$B$4</f>
        <v>1.34916510995397</v>
      </c>
      <c r="N640" s="9" t="s">
        <v>1365</v>
      </c>
    </row>
    <row r="641" customFormat="false" ht="15" hidden="false" customHeight="false" outlineLevel="0" collapsed="false">
      <c r="A641" s="9" t="s">
        <v>2004</v>
      </c>
      <c r="B641" s="9" t="s">
        <v>720</v>
      </c>
      <c r="C641" s="9" t="str">
        <f aca="false">IFERROR(INDEX(Destination!$B$2:$B$501,MATCH(B641,Destination!$A$2:$A$501,0)),"")</f>
        <v>Hundru Falls</v>
      </c>
      <c r="D641" s="9" t="s">
        <v>722</v>
      </c>
      <c r="E641" s="9" t="str">
        <f aca="false">IFERROR(INDEX(Destination!$B$2:$B$501,MATCH(D641,Destination!$A$2:$A$501,0)),"")</f>
        <v>Patratu</v>
      </c>
      <c r="F641" s="9" t="s">
        <v>1364</v>
      </c>
      <c r="G641" s="12" t="n">
        <f aca="false">INDEX(Destination!$F$2:$F$501,MATCH(B641,Destination!$A$2:$A$501,0))</f>
        <v>23.45</v>
      </c>
      <c r="H641" s="12" t="n">
        <f aca="false">INDEX(Destination!$G$2:$G$501,MATCH(B641,Destination!$A$2:$A$501,0))</f>
        <v>85.6</v>
      </c>
      <c r="I641" s="12" t="n">
        <f aca="false">INDEX(Destination!$F$2:$F$501,MATCH(D641,Destination!$A$2:$A$501,0))</f>
        <v>23.65</v>
      </c>
      <c r="J641" s="12" t="n">
        <f aca="false">INDEX(Destination!$G$2:$G$501,MATCH(D641,Destination!$A$2:$A$501,0))</f>
        <v>85.28</v>
      </c>
      <c r="K641" s="17" t="n">
        <f aca="false">Assumptions!$B$2*2*ASIN(SQRT(SIN(RADIANS(I641-G641)/2)^2+COS(RADIANS(G641))*COS(RADIANS(I641))*SIN(RADIANS(J641-H641)/2)^2))</f>
        <v>39.4785424647492</v>
      </c>
      <c r="L641" s="18" t="n">
        <f aca="false">K641*Assumptions!$B$3</f>
        <v>51.322105204174</v>
      </c>
      <c r="M641" s="19" t="n">
        <f aca="false">L641/Assumptions!$B$4</f>
        <v>1.14049122675942</v>
      </c>
      <c r="N641" s="9" t="s">
        <v>1365</v>
      </c>
    </row>
    <row r="642" customFormat="false" ht="15" hidden="false" customHeight="false" outlineLevel="0" collapsed="false">
      <c r="A642" s="9" t="s">
        <v>2005</v>
      </c>
      <c r="B642" s="9" t="s">
        <v>720</v>
      </c>
      <c r="C642" s="9" t="str">
        <f aca="false">IFERROR(INDEX(Destination!$B$2:$B$501,MATCH(B642,Destination!$A$2:$A$501,0)),"")</f>
        <v>Hundru Falls</v>
      </c>
      <c r="D642" s="9" t="s">
        <v>724</v>
      </c>
      <c r="E642" s="9" t="str">
        <f aca="false">IFERROR(INDEX(Destination!$B$2:$B$501,MATCH(D642,Destination!$A$2:$A$501,0)),"")</f>
        <v>Parasnath</v>
      </c>
      <c r="F642" s="9" t="s">
        <v>1364</v>
      </c>
      <c r="G642" s="12" t="n">
        <f aca="false">INDEX(Destination!$F$2:$F$501,MATCH(B642,Destination!$A$2:$A$501,0))</f>
        <v>23.45</v>
      </c>
      <c r="H642" s="12" t="n">
        <f aca="false">INDEX(Destination!$G$2:$G$501,MATCH(B642,Destination!$A$2:$A$501,0))</f>
        <v>85.6</v>
      </c>
      <c r="I642" s="12" t="n">
        <f aca="false">INDEX(Destination!$F$2:$F$501,MATCH(D642,Destination!$A$2:$A$501,0))</f>
        <v>23.96</v>
      </c>
      <c r="J642" s="12" t="n">
        <f aca="false">INDEX(Destination!$G$2:$G$501,MATCH(D642,Destination!$A$2:$A$501,0))</f>
        <v>86.13</v>
      </c>
      <c r="K642" s="17" t="n">
        <f aca="false">Assumptions!$B$2*2*ASIN(SQRT(SIN(RADIANS(I642-G642)/2)^2+COS(RADIANS(G642))*COS(RADIANS(I642))*SIN(RADIANS(J642-H642)/2)^2))</f>
        <v>78.2796851039349</v>
      </c>
      <c r="L642" s="18" t="n">
        <f aca="false">K642*Assumptions!$B$3</f>
        <v>101.763590635115</v>
      </c>
      <c r="M642" s="19" t="n">
        <f aca="false">L642/Assumptions!$B$4</f>
        <v>2.26141312522479</v>
      </c>
      <c r="N642" s="9" t="s">
        <v>1365</v>
      </c>
    </row>
    <row r="643" customFormat="false" ht="15" hidden="false" customHeight="false" outlineLevel="0" collapsed="false">
      <c r="A643" s="9" t="s">
        <v>2006</v>
      </c>
      <c r="B643" s="9" t="s">
        <v>726</v>
      </c>
      <c r="C643" s="9" t="str">
        <f aca="false">IFERROR(INDEX(Destination!$B$2:$B$501,MATCH(B643,Destination!$A$2:$A$501,0)),"")</f>
        <v>Raipur</v>
      </c>
      <c r="D643" s="9" t="s">
        <v>737</v>
      </c>
      <c r="E643" s="9" t="str">
        <f aca="false">IFERROR(INDEX(Destination!$B$2:$B$501,MATCH(D643,Destination!$A$2:$A$501,0)),"")</f>
        <v>Sirpur</v>
      </c>
      <c r="F643" s="9" t="s">
        <v>1364</v>
      </c>
      <c r="G643" s="12" t="n">
        <f aca="false">INDEX(Destination!$F$2:$F$501,MATCH(B643,Destination!$A$2:$A$501,0))</f>
        <v>21.25</v>
      </c>
      <c r="H643" s="12" t="n">
        <f aca="false">INDEX(Destination!$G$2:$G$501,MATCH(B643,Destination!$A$2:$A$501,0))</f>
        <v>81.63</v>
      </c>
      <c r="I643" s="12" t="n">
        <f aca="false">INDEX(Destination!$F$2:$F$501,MATCH(D643,Destination!$A$2:$A$501,0))</f>
        <v>21.36</v>
      </c>
      <c r="J643" s="12" t="n">
        <f aca="false">INDEX(Destination!$G$2:$G$501,MATCH(D643,Destination!$A$2:$A$501,0))</f>
        <v>82.18</v>
      </c>
      <c r="K643" s="17" t="n">
        <f aca="false">Assumptions!$B$2*2*ASIN(SQRT(SIN(RADIANS(I643-G643)/2)^2+COS(RADIANS(G643))*COS(RADIANS(I643))*SIN(RADIANS(J643-H643)/2)^2))</f>
        <v>58.2757356714475</v>
      </c>
      <c r="L643" s="18" t="n">
        <f aca="false">K643*Assumptions!$B$3</f>
        <v>75.7584563728817</v>
      </c>
      <c r="M643" s="19" t="n">
        <f aca="false">L643/Assumptions!$B$4</f>
        <v>1.6835212527307</v>
      </c>
      <c r="N643" s="9" t="s">
        <v>1365</v>
      </c>
    </row>
    <row r="644" customFormat="false" ht="15" hidden="false" customHeight="false" outlineLevel="0" collapsed="false">
      <c r="A644" s="9" t="s">
        <v>2007</v>
      </c>
      <c r="B644" s="9" t="s">
        <v>726</v>
      </c>
      <c r="C644" s="9" t="str">
        <f aca="false">IFERROR(INDEX(Destination!$B$2:$B$501,MATCH(B644,Destination!$A$2:$A$501,0)),"")</f>
        <v>Raipur</v>
      </c>
      <c r="D644" s="9" t="s">
        <v>741</v>
      </c>
      <c r="E644" s="9" t="str">
        <f aca="false">IFERROR(INDEX(Destination!$B$2:$B$501,MATCH(D644,Destination!$A$2:$A$501,0)),"")</f>
        <v>Barnawapara</v>
      </c>
      <c r="F644" s="9" t="s">
        <v>1364</v>
      </c>
      <c r="G644" s="12" t="n">
        <f aca="false">INDEX(Destination!$F$2:$F$501,MATCH(B644,Destination!$A$2:$A$501,0))</f>
        <v>21.25</v>
      </c>
      <c r="H644" s="12" t="n">
        <f aca="false">INDEX(Destination!$G$2:$G$501,MATCH(B644,Destination!$A$2:$A$501,0))</f>
        <v>81.63</v>
      </c>
      <c r="I644" s="12" t="n">
        <f aca="false">INDEX(Destination!$F$2:$F$501,MATCH(D644,Destination!$A$2:$A$501,0))</f>
        <v>21.4</v>
      </c>
      <c r="J644" s="12" t="n">
        <f aca="false">INDEX(Destination!$G$2:$G$501,MATCH(D644,Destination!$A$2:$A$501,0))</f>
        <v>82.3</v>
      </c>
      <c r="K644" s="17" t="n">
        <f aca="false">Assumptions!$B$2*2*ASIN(SQRT(SIN(RADIANS(I644-G644)/2)^2+COS(RADIANS(G644))*COS(RADIANS(I644))*SIN(RADIANS(J644-H644)/2)^2))</f>
        <v>71.3758352585203</v>
      </c>
      <c r="L644" s="18" t="n">
        <f aca="false">K644*Assumptions!$B$3</f>
        <v>92.7885858360764</v>
      </c>
      <c r="M644" s="19" t="n">
        <f aca="false">L644/Assumptions!$B$4</f>
        <v>2.06196857413503</v>
      </c>
      <c r="N644" s="9" t="s">
        <v>1365</v>
      </c>
    </row>
    <row r="645" customFormat="false" ht="15" hidden="false" customHeight="false" outlineLevel="0" collapsed="false">
      <c r="A645" s="9" t="s">
        <v>2008</v>
      </c>
      <c r="B645" s="9" t="s">
        <v>726</v>
      </c>
      <c r="C645" s="9" t="str">
        <f aca="false">IFERROR(INDEX(Destination!$B$2:$B$501,MATCH(B645,Destination!$A$2:$A$501,0)),"")</f>
        <v>Raipur</v>
      </c>
      <c r="D645" s="9" t="s">
        <v>745</v>
      </c>
      <c r="E645" s="9" t="str">
        <f aca="false">IFERROR(INDEX(Destination!$B$2:$B$501,MATCH(D645,Destination!$A$2:$A$501,0)),"")</f>
        <v>Bhoramdeo</v>
      </c>
      <c r="F645" s="9" t="s">
        <v>1364</v>
      </c>
      <c r="G645" s="12" t="n">
        <f aca="false">INDEX(Destination!$F$2:$F$501,MATCH(B645,Destination!$A$2:$A$501,0))</f>
        <v>21.25</v>
      </c>
      <c r="H645" s="12" t="n">
        <f aca="false">INDEX(Destination!$G$2:$G$501,MATCH(B645,Destination!$A$2:$A$501,0))</f>
        <v>81.63</v>
      </c>
      <c r="I645" s="12" t="n">
        <f aca="false">INDEX(Destination!$F$2:$F$501,MATCH(D645,Destination!$A$2:$A$501,0))</f>
        <v>22.1</v>
      </c>
      <c r="J645" s="12" t="n">
        <f aca="false">INDEX(Destination!$G$2:$G$501,MATCH(D645,Destination!$A$2:$A$501,0))</f>
        <v>81.13</v>
      </c>
      <c r="K645" s="17" t="n">
        <f aca="false">Assumptions!$B$2*2*ASIN(SQRT(SIN(RADIANS(I645-G645)/2)^2+COS(RADIANS(G645))*COS(RADIANS(I645))*SIN(RADIANS(J645-H645)/2)^2))</f>
        <v>107.715158830212</v>
      </c>
      <c r="L645" s="18" t="n">
        <f aca="false">K645*Assumptions!$B$3</f>
        <v>140.029706479275</v>
      </c>
      <c r="M645" s="19" t="n">
        <f aca="false">L645/Assumptions!$B$4</f>
        <v>3.11177125509501</v>
      </c>
      <c r="N645" s="9" t="s">
        <v>1365</v>
      </c>
    </row>
    <row r="646" customFormat="false" ht="15" hidden="false" customHeight="false" outlineLevel="0" collapsed="false">
      <c r="A646" s="9" t="s">
        <v>2009</v>
      </c>
      <c r="B646" s="9" t="s">
        <v>729</v>
      </c>
      <c r="C646" s="9" t="str">
        <f aca="false">IFERROR(INDEX(Destination!$B$2:$B$501,MATCH(B646,Destination!$A$2:$A$501,0)),"")</f>
        <v>Jagdalpur</v>
      </c>
      <c r="D646" s="9" t="s">
        <v>731</v>
      </c>
      <c r="E646" s="9" t="str">
        <f aca="false">IFERROR(INDEX(Destination!$B$2:$B$501,MATCH(D646,Destination!$A$2:$A$501,0)),"")</f>
        <v>Chitrakote Falls</v>
      </c>
      <c r="F646" s="9" t="s">
        <v>1364</v>
      </c>
      <c r="G646" s="12" t="n">
        <f aca="false">INDEX(Destination!$F$2:$F$501,MATCH(B646,Destination!$A$2:$A$501,0))</f>
        <v>19.07</v>
      </c>
      <c r="H646" s="12" t="n">
        <f aca="false">INDEX(Destination!$G$2:$G$501,MATCH(B646,Destination!$A$2:$A$501,0))</f>
        <v>82.02</v>
      </c>
      <c r="I646" s="12" t="n">
        <f aca="false">INDEX(Destination!$F$2:$F$501,MATCH(D646,Destination!$A$2:$A$501,0))</f>
        <v>19.21</v>
      </c>
      <c r="J646" s="12" t="n">
        <f aca="false">INDEX(Destination!$G$2:$G$501,MATCH(D646,Destination!$A$2:$A$501,0))</f>
        <v>81.7</v>
      </c>
      <c r="K646" s="17" t="n">
        <f aca="false">Assumptions!$B$2*2*ASIN(SQRT(SIN(RADIANS(I646-G646)/2)^2+COS(RADIANS(G646))*COS(RADIANS(I646))*SIN(RADIANS(J646-H646)/2)^2))</f>
        <v>37.0450261408759</v>
      </c>
      <c r="L646" s="18" t="n">
        <f aca="false">K646*Assumptions!$B$3</f>
        <v>48.1585339831387</v>
      </c>
      <c r="M646" s="19" t="n">
        <f aca="false">L646/Assumptions!$B$4</f>
        <v>1.07018964406975</v>
      </c>
      <c r="N646" s="9" t="s">
        <v>1365</v>
      </c>
    </row>
    <row r="647" customFormat="false" ht="15" hidden="false" customHeight="false" outlineLevel="0" collapsed="false">
      <c r="A647" s="9" t="s">
        <v>2010</v>
      </c>
      <c r="B647" s="9" t="s">
        <v>729</v>
      </c>
      <c r="C647" s="9" t="str">
        <f aca="false">IFERROR(INDEX(Destination!$B$2:$B$501,MATCH(B647,Destination!$A$2:$A$501,0)),"")</f>
        <v>Jagdalpur</v>
      </c>
      <c r="D647" s="9" t="s">
        <v>733</v>
      </c>
      <c r="E647" s="9" t="str">
        <f aca="false">IFERROR(INDEX(Destination!$B$2:$B$501,MATCH(D647,Destination!$A$2:$A$501,0)),"")</f>
        <v>Tirathgarh Falls</v>
      </c>
      <c r="F647" s="9" t="s">
        <v>1364</v>
      </c>
      <c r="G647" s="12" t="n">
        <f aca="false">INDEX(Destination!$F$2:$F$501,MATCH(B647,Destination!$A$2:$A$501,0))</f>
        <v>19.07</v>
      </c>
      <c r="H647" s="12" t="n">
        <f aca="false">INDEX(Destination!$G$2:$G$501,MATCH(B647,Destination!$A$2:$A$501,0))</f>
        <v>82.02</v>
      </c>
      <c r="I647" s="12" t="n">
        <f aca="false">INDEX(Destination!$F$2:$F$501,MATCH(D647,Destination!$A$2:$A$501,0))</f>
        <v>19</v>
      </c>
      <c r="J647" s="12" t="n">
        <f aca="false">INDEX(Destination!$G$2:$G$501,MATCH(D647,Destination!$A$2:$A$501,0))</f>
        <v>81.93</v>
      </c>
      <c r="K647" s="17" t="n">
        <f aca="false">Assumptions!$B$2*2*ASIN(SQRT(SIN(RADIANS(I647-G647)/2)^2+COS(RADIANS(G647))*COS(RADIANS(I647))*SIN(RADIANS(J647-H647)/2)^2))</f>
        <v>12.2508318419786</v>
      </c>
      <c r="L647" s="18" t="n">
        <f aca="false">K647*Assumptions!$B$3</f>
        <v>15.9260813945722</v>
      </c>
      <c r="M647" s="19" t="n">
        <f aca="false">L647/Assumptions!$B$4</f>
        <v>0.353912919879383</v>
      </c>
      <c r="N647" s="9" t="s">
        <v>1365</v>
      </c>
    </row>
    <row r="648" customFormat="false" ht="15" hidden="false" customHeight="false" outlineLevel="0" collapsed="false">
      <c r="A648" s="9" t="s">
        <v>2011</v>
      </c>
      <c r="B648" s="9" t="s">
        <v>729</v>
      </c>
      <c r="C648" s="9" t="str">
        <f aca="false">IFERROR(INDEX(Destination!$B$2:$B$501,MATCH(B648,Destination!$A$2:$A$501,0)),"")</f>
        <v>Jagdalpur</v>
      </c>
      <c r="D648" s="9" t="s">
        <v>743</v>
      </c>
      <c r="E648" s="9" t="str">
        <f aca="false">IFERROR(INDEX(Destination!$B$2:$B$501,MATCH(D648,Destination!$A$2:$A$501,0)),"")</f>
        <v>Kanger Valley</v>
      </c>
      <c r="F648" s="9" t="s">
        <v>1364</v>
      </c>
      <c r="G648" s="12" t="n">
        <f aca="false">INDEX(Destination!$F$2:$F$501,MATCH(B648,Destination!$A$2:$A$501,0))</f>
        <v>19.07</v>
      </c>
      <c r="H648" s="12" t="n">
        <f aca="false">INDEX(Destination!$G$2:$G$501,MATCH(B648,Destination!$A$2:$A$501,0))</f>
        <v>82.02</v>
      </c>
      <c r="I648" s="12" t="n">
        <f aca="false">INDEX(Destination!$F$2:$F$501,MATCH(D648,Destination!$A$2:$A$501,0))</f>
        <v>18.88</v>
      </c>
      <c r="J648" s="12" t="n">
        <f aca="false">INDEX(Destination!$G$2:$G$501,MATCH(D648,Destination!$A$2:$A$501,0))</f>
        <v>82.03</v>
      </c>
      <c r="K648" s="17" t="n">
        <f aca="false">Assumptions!$B$2*2*ASIN(SQRT(SIN(RADIANS(I648-G648)/2)^2+COS(RADIANS(G648))*COS(RADIANS(I648))*SIN(RADIANS(J648-H648)/2)^2))</f>
        <v>21.1531879272969</v>
      </c>
      <c r="L648" s="18" t="n">
        <f aca="false">K648*Assumptions!$B$3</f>
        <v>27.499144305486</v>
      </c>
      <c r="M648" s="19" t="n">
        <f aca="false">L648/Assumptions!$B$4</f>
        <v>0.611092095677466</v>
      </c>
      <c r="N648" s="9" t="s">
        <v>1365</v>
      </c>
    </row>
    <row r="649" customFormat="false" ht="15" hidden="false" customHeight="false" outlineLevel="0" collapsed="false">
      <c r="A649" s="9" t="s">
        <v>2012</v>
      </c>
      <c r="B649" s="9" t="s">
        <v>731</v>
      </c>
      <c r="C649" s="9" t="str">
        <f aca="false">IFERROR(INDEX(Destination!$B$2:$B$501,MATCH(B649,Destination!$A$2:$A$501,0)),"")</f>
        <v>Chitrakote Falls</v>
      </c>
      <c r="D649" s="9" t="s">
        <v>733</v>
      </c>
      <c r="E649" s="9" t="str">
        <f aca="false">IFERROR(INDEX(Destination!$B$2:$B$501,MATCH(D649,Destination!$A$2:$A$501,0)),"")</f>
        <v>Tirathgarh Falls</v>
      </c>
      <c r="F649" s="9" t="s">
        <v>1364</v>
      </c>
      <c r="G649" s="12" t="n">
        <f aca="false">INDEX(Destination!$F$2:$F$501,MATCH(B649,Destination!$A$2:$A$501,0))</f>
        <v>19.21</v>
      </c>
      <c r="H649" s="12" t="n">
        <f aca="false">INDEX(Destination!$G$2:$G$501,MATCH(B649,Destination!$A$2:$A$501,0))</f>
        <v>81.7</v>
      </c>
      <c r="I649" s="12" t="n">
        <f aca="false">INDEX(Destination!$F$2:$F$501,MATCH(D649,Destination!$A$2:$A$501,0))</f>
        <v>19</v>
      </c>
      <c r="J649" s="12" t="n">
        <f aca="false">INDEX(Destination!$G$2:$G$501,MATCH(D649,Destination!$A$2:$A$501,0))</f>
        <v>81.93</v>
      </c>
      <c r="K649" s="17" t="n">
        <f aca="false">Assumptions!$B$2*2*ASIN(SQRT(SIN(RADIANS(I649-G649)/2)^2+COS(RADIANS(G649))*COS(RADIANS(I649))*SIN(RADIANS(J649-H649)/2)^2))</f>
        <v>33.6046045426435</v>
      </c>
      <c r="L649" s="18" t="n">
        <f aca="false">K649*Assumptions!$B$3</f>
        <v>43.6859859054365</v>
      </c>
      <c r="M649" s="19" t="n">
        <f aca="false">L649/Assumptions!$B$4</f>
        <v>0.970799686787478</v>
      </c>
      <c r="N649" s="9" t="s">
        <v>1365</v>
      </c>
    </row>
    <row r="650" customFormat="false" ht="15" hidden="false" customHeight="false" outlineLevel="0" collapsed="false">
      <c r="A650" s="9" t="s">
        <v>2013</v>
      </c>
      <c r="B650" s="9" t="s">
        <v>731</v>
      </c>
      <c r="C650" s="9" t="str">
        <f aca="false">IFERROR(INDEX(Destination!$B$2:$B$501,MATCH(B650,Destination!$A$2:$A$501,0)),"")</f>
        <v>Chitrakote Falls</v>
      </c>
      <c r="D650" s="9" t="s">
        <v>735</v>
      </c>
      <c r="E650" s="9" t="str">
        <f aca="false">IFERROR(INDEX(Destination!$B$2:$B$501,MATCH(D650,Destination!$A$2:$A$501,0)),"")</f>
        <v>Bastar</v>
      </c>
      <c r="F650" s="9" t="s">
        <v>1364</v>
      </c>
      <c r="G650" s="12" t="n">
        <f aca="false">INDEX(Destination!$F$2:$F$501,MATCH(B650,Destination!$A$2:$A$501,0))</f>
        <v>19.21</v>
      </c>
      <c r="H650" s="12" t="n">
        <f aca="false">INDEX(Destination!$G$2:$G$501,MATCH(B650,Destination!$A$2:$A$501,0))</f>
        <v>81.7</v>
      </c>
      <c r="I650" s="12" t="n">
        <f aca="false">INDEX(Destination!$F$2:$F$501,MATCH(D650,Destination!$A$2:$A$501,0))</f>
        <v>19.1</v>
      </c>
      <c r="J650" s="12" t="n">
        <f aca="false">INDEX(Destination!$G$2:$G$501,MATCH(D650,Destination!$A$2:$A$501,0))</f>
        <v>81.95</v>
      </c>
      <c r="K650" s="17" t="n">
        <f aca="false">Assumptions!$B$2*2*ASIN(SQRT(SIN(RADIANS(I650-G650)/2)^2+COS(RADIANS(G650))*COS(RADIANS(I650))*SIN(RADIANS(J650-H650)/2)^2))</f>
        <v>28.9685401862066</v>
      </c>
      <c r="L650" s="18" t="n">
        <f aca="false">K650*Assumptions!$B$3</f>
        <v>37.6591022420686</v>
      </c>
      <c r="M650" s="19" t="n">
        <f aca="false">L650/Assumptions!$B$4</f>
        <v>0.836868938712636</v>
      </c>
      <c r="N650" s="9" t="s">
        <v>1365</v>
      </c>
    </row>
    <row r="651" customFormat="false" ht="15" hidden="false" customHeight="false" outlineLevel="0" collapsed="false">
      <c r="A651" s="9" t="s">
        <v>2014</v>
      </c>
      <c r="B651" s="9" t="s">
        <v>733</v>
      </c>
      <c r="C651" s="9" t="str">
        <f aca="false">IFERROR(INDEX(Destination!$B$2:$B$501,MATCH(B651,Destination!$A$2:$A$501,0)),"")</f>
        <v>Tirathgarh Falls</v>
      </c>
      <c r="D651" s="9" t="s">
        <v>735</v>
      </c>
      <c r="E651" s="9" t="str">
        <f aca="false">IFERROR(INDEX(Destination!$B$2:$B$501,MATCH(D651,Destination!$A$2:$A$501,0)),"")</f>
        <v>Bastar</v>
      </c>
      <c r="F651" s="9" t="s">
        <v>1364</v>
      </c>
      <c r="G651" s="12" t="n">
        <f aca="false">INDEX(Destination!$F$2:$F$501,MATCH(B651,Destination!$A$2:$A$501,0))</f>
        <v>19</v>
      </c>
      <c r="H651" s="12" t="n">
        <f aca="false">INDEX(Destination!$G$2:$G$501,MATCH(B651,Destination!$A$2:$A$501,0))</f>
        <v>81.93</v>
      </c>
      <c r="I651" s="12" t="n">
        <f aca="false">INDEX(Destination!$F$2:$F$501,MATCH(D651,Destination!$A$2:$A$501,0))</f>
        <v>19.1</v>
      </c>
      <c r="J651" s="12" t="n">
        <f aca="false">INDEX(Destination!$G$2:$G$501,MATCH(D651,Destination!$A$2:$A$501,0))</f>
        <v>81.95</v>
      </c>
      <c r="K651" s="17" t="n">
        <f aca="false">Assumptions!$B$2*2*ASIN(SQRT(SIN(RADIANS(I651-G651)/2)^2+COS(RADIANS(G651))*COS(RADIANS(I651))*SIN(RADIANS(J651-H651)/2)^2))</f>
        <v>11.3164464347733</v>
      </c>
      <c r="L651" s="18" t="n">
        <f aca="false">K651*Assumptions!$B$3</f>
        <v>14.7113803652053</v>
      </c>
      <c r="M651" s="19" t="n">
        <f aca="false">L651/Assumptions!$B$4</f>
        <v>0.32691956367123</v>
      </c>
      <c r="N651" s="9" t="s">
        <v>1365</v>
      </c>
    </row>
    <row r="652" customFormat="false" ht="15" hidden="false" customHeight="false" outlineLevel="0" collapsed="false">
      <c r="A652" s="9" t="s">
        <v>2015</v>
      </c>
      <c r="B652" s="9" t="s">
        <v>733</v>
      </c>
      <c r="C652" s="9" t="str">
        <f aca="false">IFERROR(INDEX(Destination!$B$2:$B$501,MATCH(B652,Destination!$A$2:$A$501,0)),"")</f>
        <v>Tirathgarh Falls</v>
      </c>
      <c r="D652" s="9" t="s">
        <v>743</v>
      </c>
      <c r="E652" s="9" t="str">
        <f aca="false">IFERROR(INDEX(Destination!$B$2:$B$501,MATCH(D652,Destination!$A$2:$A$501,0)),"")</f>
        <v>Kanger Valley</v>
      </c>
      <c r="F652" s="9" t="s">
        <v>1364</v>
      </c>
      <c r="G652" s="12" t="n">
        <f aca="false">INDEX(Destination!$F$2:$F$501,MATCH(B652,Destination!$A$2:$A$501,0))</f>
        <v>19</v>
      </c>
      <c r="H652" s="12" t="n">
        <f aca="false">INDEX(Destination!$G$2:$G$501,MATCH(B652,Destination!$A$2:$A$501,0))</f>
        <v>81.93</v>
      </c>
      <c r="I652" s="12" t="n">
        <f aca="false">INDEX(Destination!$F$2:$F$501,MATCH(D652,Destination!$A$2:$A$501,0))</f>
        <v>18.88</v>
      </c>
      <c r="J652" s="12" t="n">
        <f aca="false">INDEX(Destination!$G$2:$G$501,MATCH(D652,Destination!$A$2:$A$501,0))</f>
        <v>82.03</v>
      </c>
      <c r="K652" s="17" t="n">
        <f aca="false">Assumptions!$B$2*2*ASIN(SQRT(SIN(RADIANS(I652-G652)/2)^2+COS(RADIANS(G652))*COS(RADIANS(I652))*SIN(RADIANS(J652-H652)/2)^2))</f>
        <v>16.990092720722</v>
      </c>
      <c r="L652" s="18" t="n">
        <f aca="false">K652*Assumptions!$B$3</f>
        <v>22.0871205369386</v>
      </c>
      <c r="M652" s="19" t="n">
        <f aca="false">L652/Assumptions!$B$4</f>
        <v>0.490824900820857</v>
      </c>
      <c r="N652" s="9" t="s">
        <v>1365</v>
      </c>
    </row>
    <row r="653" customFormat="false" ht="15" hidden="false" customHeight="false" outlineLevel="0" collapsed="false">
      <c r="A653" s="9" t="s">
        <v>2016</v>
      </c>
      <c r="B653" s="9" t="s">
        <v>735</v>
      </c>
      <c r="C653" s="9" t="str">
        <f aca="false">IFERROR(INDEX(Destination!$B$2:$B$501,MATCH(B653,Destination!$A$2:$A$501,0)),"")</f>
        <v>Bastar</v>
      </c>
      <c r="D653" s="9" t="s">
        <v>743</v>
      </c>
      <c r="E653" s="9" t="str">
        <f aca="false">IFERROR(INDEX(Destination!$B$2:$B$501,MATCH(D653,Destination!$A$2:$A$501,0)),"")</f>
        <v>Kanger Valley</v>
      </c>
      <c r="F653" s="9" t="s">
        <v>1364</v>
      </c>
      <c r="G653" s="12" t="n">
        <f aca="false">INDEX(Destination!$F$2:$F$501,MATCH(B653,Destination!$A$2:$A$501,0))</f>
        <v>19.1</v>
      </c>
      <c r="H653" s="12" t="n">
        <f aca="false">INDEX(Destination!$G$2:$G$501,MATCH(B653,Destination!$A$2:$A$501,0))</f>
        <v>81.95</v>
      </c>
      <c r="I653" s="12" t="n">
        <f aca="false">INDEX(Destination!$F$2:$F$501,MATCH(D653,Destination!$A$2:$A$501,0))</f>
        <v>18.88</v>
      </c>
      <c r="J653" s="12" t="n">
        <f aca="false">INDEX(Destination!$G$2:$G$501,MATCH(D653,Destination!$A$2:$A$501,0))</f>
        <v>82.03</v>
      </c>
      <c r="K653" s="17" t="n">
        <f aca="false">Assumptions!$B$2*2*ASIN(SQRT(SIN(RADIANS(I653-G653)/2)^2+COS(RADIANS(G653))*COS(RADIANS(I653))*SIN(RADIANS(J653-H653)/2)^2))</f>
        <v>25.8686130322708</v>
      </c>
      <c r="L653" s="18" t="n">
        <f aca="false">K653*Assumptions!$B$3</f>
        <v>33.629196941952</v>
      </c>
      <c r="M653" s="19" t="n">
        <f aca="false">L653/Assumptions!$B$4</f>
        <v>0.747315487598934</v>
      </c>
      <c r="N653" s="9" t="s">
        <v>1365</v>
      </c>
    </row>
    <row r="654" customFormat="false" ht="15" hidden="false" customHeight="false" outlineLevel="0" collapsed="false">
      <c r="A654" s="9" t="s">
        <v>2017</v>
      </c>
      <c r="B654" s="9" t="s">
        <v>737</v>
      </c>
      <c r="C654" s="9" t="str">
        <f aca="false">IFERROR(INDEX(Destination!$B$2:$B$501,MATCH(B654,Destination!$A$2:$A$501,0)),"")</f>
        <v>Sirpur</v>
      </c>
      <c r="D654" s="9" t="s">
        <v>741</v>
      </c>
      <c r="E654" s="9" t="str">
        <f aca="false">IFERROR(INDEX(Destination!$B$2:$B$501,MATCH(D654,Destination!$A$2:$A$501,0)),"")</f>
        <v>Barnawapara</v>
      </c>
      <c r="F654" s="9" t="s">
        <v>1364</v>
      </c>
      <c r="G654" s="12" t="n">
        <f aca="false">INDEX(Destination!$F$2:$F$501,MATCH(B654,Destination!$A$2:$A$501,0))</f>
        <v>21.36</v>
      </c>
      <c r="H654" s="12" t="n">
        <f aca="false">INDEX(Destination!$G$2:$G$501,MATCH(B654,Destination!$A$2:$A$501,0))</f>
        <v>82.18</v>
      </c>
      <c r="I654" s="12" t="n">
        <f aca="false">INDEX(Destination!$F$2:$F$501,MATCH(D654,Destination!$A$2:$A$501,0))</f>
        <v>21.4</v>
      </c>
      <c r="J654" s="12" t="n">
        <f aca="false">INDEX(Destination!$G$2:$G$501,MATCH(D654,Destination!$A$2:$A$501,0))</f>
        <v>82.3</v>
      </c>
      <c r="K654" s="17" t="n">
        <f aca="false">Assumptions!$B$2*2*ASIN(SQRT(SIN(RADIANS(I654-G654)/2)^2+COS(RADIANS(G654))*COS(RADIANS(I654))*SIN(RADIANS(J654-H654)/2)^2))</f>
        <v>13.1972347058926</v>
      </c>
      <c r="L654" s="18" t="n">
        <f aca="false">K654*Assumptions!$B$3</f>
        <v>17.1564051176603</v>
      </c>
      <c r="M654" s="19" t="n">
        <f aca="false">L654/Assumptions!$B$4</f>
        <v>0.381253447059118</v>
      </c>
      <c r="N654" s="9" t="s">
        <v>1365</v>
      </c>
    </row>
    <row r="655" customFormat="false" ht="15" hidden="false" customHeight="false" outlineLevel="0" collapsed="false">
      <c r="A655" s="9" t="s">
        <v>2018</v>
      </c>
      <c r="B655" s="9" t="s">
        <v>737</v>
      </c>
      <c r="C655" s="9" t="str">
        <f aca="false">IFERROR(INDEX(Destination!$B$2:$B$501,MATCH(B655,Destination!$A$2:$A$501,0)),"")</f>
        <v>Sirpur</v>
      </c>
      <c r="D655" s="9" t="s">
        <v>745</v>
      </c>
      <c r="E655" s="9" t="str">
        <f aca="false">IFERROR(INDEX(Destination!$B$2:$B$501,MATCH(D655,Destination!$A$2:$A$501,0)),"")</f>
        <v>Bhoramdeo</v>
      </c>
      <c r="F655" s="9" t="s">
        <v>1364</v>
      </c>
      <c r="G655" s="12" t="n">
        <f aca="false">INDEX(Destination!$F$2:$F$501,MATCH(B655,Destination!$A$2:$A$501,0))</f>
        <v>21.36</v>
      </c>
      <c r="H655" s="12" t="n">
        <f aca="false">INDEX(Destination!$G$2:$G$501,MATCH(B655,Destination!$A$2:$A$501,0))</f>
        <v>82.18</v>
      </c>
      <c r="I655" s="12" t="n">
        <f aca="false">INDEX(Destination!$F$2:$F$501,MATCH(D655,Destination!$A$2:$A$501,0))</f>
        <v>22.1</v>
      </c>
      <c r="J655" s="12" t="n">
        <f aca="false">INDEX(Destination!$G$2:$G$501,MATCH(D655,Destination!$A$2:$A$501,0))</f>
        <v>81.13</v>
      </c>
      <c r="K655" s="17" t="n">
        <f aca="false">Assumptions!$B$2*2*ASIN(SQRT(SIN(RADIANS(I655-G655)/2)^2+COS(RADIANS(G655))*COS(RADIANS(I655))*SIN(RADIANS(J655-H655)/2)^2))</f>
        <v>136.13793622717</v>
      </c>
      <c r="L655" s="18" t="n">
        <f aca="false">K655*Assumptions!$B$3</f>
        <v>176.979317095321</v>
      </c>
      <c r="M655" s="19" t="n">
        <f aca="false">L655/Assumptions!$B$4</f>
        <v>3.93287371322935</v>
      </c>
      <c r="N655" s="9" t="s">
        <v>1365</v>
      </c>
    </row>
    <row r="656" customFormat="false" ht="15" hidden="false" customHeight="false" outlineLevel="0" collapsed="false">
      <c r="A656" s="9" t="s">
        <v>2019</v>
      </c>
      <c r="B656" s="9" t="s">
        <v>739</v>
      </c>
      <c r="C656" s="9" t="str">
        <f aca="false">IFERROR(INDEX(Destination!$B$2:$B$501,MATCH(B656,Destination!$A$2:$A$501,0)),"")</f>
        <v>Mainpat</v>
      </c>
      <c r="D656" s="9" t="s">
        <v>765</v>
      </c>
      <c r="E656" s="9" t="str">
        <f aca="false">IFERROR(INDEX(Destination!$B$2:$B$501,MATCH(D656,Destination!$A$2:$A$501,0)),"")</f>
        <v>Amarkantak</v>
      </c>
      <c r="F656" s="9" t="s">
        <v>1364</v>
      </c>
      <c r="G656" s="12" t="n">
        <f aca="false">INDEX(Destination!$F$2:$F$501,MATCH(B656,Destination!$A$2:$A$501,0))</f>
        <v>22.83</v>
      </c>
      <c r="H656" s="12" t="n">
        <f aca="false">INDEX(Destination!$G$2:$G$501,MATCH(B656,Destination!$A$2:$A$501,0))</f>
        <v>83.3</v>
      </c>
      <c r="I656" s="12" t="n">
        <f aca="false">INDEX(Destination!$F$2:$F$501,MATCH(D656,Destination!$A$2:$A$501,0))</f>
        <v>22.67</v>
      </c>
      <c r="J656" s="12" t="n">
        <f aca="false">INDEX(Destination!$G$2:$G$501,MATCH(D656,Destination!$A$2:$A$501,0))</f>
        <v>81.75</v>
      </c>
      <c r="K656" s="17" t="n">
        <f aca="false">Assumptions!$B$2*2*ASIN(SQRT(SIN(RADIANS(I656-G656)/2)^2+COS(RADIANS(G656))*COS(RADIANS(I656))*SIN(RADIANS(J656-H656)/2)^2))</f>
        <v>159.935130292053</v>
      </c>
      <c r="L656" s="18" t="n">
        <f aca="false">K656*Assumptions!$B$3</f>
        <v>207.915669379669</v>
      </c>
      <c r="M656" s="19" t="n">
        <f aca="false">L656/Assumptions!$B$4</f>
        <v>4.6203482084371</v>
      </c>
      <c r="N656" s="9" t="s">
        <v>1365</v>
      </c>
    </row>
    <row r="657" customFormat="false" ht="15" hidden="false" customHeight="false" outlineLevel="0" collapsed="false">
      <c r="A657" s="9" t="s">
        <v>2020</v>
      </c>
      <c r="B657" s="9" t="s">
        <v>741</v>
      </c>
      <c r="C657" s="9" t="str">
        <f aca="false">IFERROR(INDEX(Destination!$B$2:$B$501,MATCH(B657,Destination!$A$2:$A$501,0)),"")</f>
        <v>Barnawapara</v>
      </c>
      <c r="D657" s="9" t="s">
        <v>745</v>
      </c>
      <c r="E657" s="9" t="str">
        <f aca="false">IFERROR(INDEX(Destination!$B$2:$B$501,MATCH(D657,Destination!$A$2:$A$501,0)),"")</f>
        <v>Bhoramdeo</v>
      </c>
      <c r="F657" s="9" t="s">
        <v>1364</v>
      </c>
      <c r="G657" s="12" t="n">
        <f aca="false">INDEX(Destination!$F$2:$F$501,MATCH(B657,Destination!$A$2:$A$501,0))</f>
        <v>21.4</v>
      </c>
      <c r="H657" s="12" t="n">
        <f aca="false">INDEX(Destination!$G$2:$G$501,MATCH(B657,Destination!$A$2:$A$501,0))</f>
        <v>82.3</v>
      </c>
      <c r="I657" s="12" t="n">
        <f aca="false">INDEX(Destination!$F$2:$F$501,MATCH(D657,Destination!$A$2:$A$501,0))</f>
        <v>22.1</v>
      </c>
      <c r="J657" s="12" t="n">
        <f aca="false">INDEX(Destination!$G$2:$G$501,MATCH(D657,Destination!$A$2:$A$501,0))</f>
        <v>81.13</v>
      </c>
      <c r="K657" s="17" t="n">
        <f aca="false">Assumptions!$B$2*2*ASIN(SQRT(SIN(RADIANS(I657-G657)/2)^2+COS(RADIANS(G657))*COS(RADIANS(I657))*SIN(RADIANS(J657-H657)/2)^2))</f>
        <v>143.734449979884</v>
      </c>
      <c r="L657" s="18" t="n">
        <f aca="false">K657*Assumptions!$B$3</f>
        <v>186.854784973849</v>
      </c>
      <c r="M657" s="19" t="n">
        <f aca="false">L657/Assumptions!$B$4</f>
        <v>4.15232855497442</v>
      </c>
      <c r="N657" s="9" t="s">
        <v>1365</v>
      </c>
    </row>
    <row r="658" customFormat="false" ht="15" hidden="false" customHeight="false" outlineLevel="0" collapsed="false">
      <c r="A658" s="9" t="s">
        <v>2021</v>
      </c>
      <c r="B658" s="9" t="s">
        <v>745</v>
      </c>
      <c r="C658" s="9" t="str">
        <f aca="false">IFERROR(INDEX(Destination!$B$2:$B$501,MATCH(B658,Destination!$A$2:$A$501,0)),"")</f>
        <v>Bhoramdeo</v>
      </c>
      <c r="D658" s="9" t="s">
        <v>765</v>
      </c>
      <c r="E658" s="9" t="str">
        <f aca="false">IFERROR(INDEX(Destination!$B$2:$B$501,MATCH(D658,Destination!$A$2:$A$501,0)),"")</f>
        <v>Amarkantak</v>
      </c>
      <c r="F658" s="9" t="s">
        <v>1364</v>
      </c>
      <c r="G658" s="12" t="n">
        <f aca="false">INDEX(Destination!$F$2:$F$501,MATCH(B658,Destination!$A$2:$A$501,0))</f>
        <v>22.1</v>
      </c>
      <c r="H658" s="12" t="n">
        <f aca="false">INDEX(Destination!$G$2:$G$501,MATCH(B658,Destination!$A$2:$A$501,0))</f>
        <v>81.13</v>
      </c>
      <c r="I658" s="12" t="n">
        <f aca="false">INDEX(Destination!$F$2:$F$501,MATCH(D658,Destination!$A$2:$A$501,0))</f>
        <v>22.67</v>
      </c>
      <c r="J658" s="12" t="n">
        <f aca="false">INDEX(Destination!$G$2:$G$501,MATCH(D658,Destination!$A$2:$A$501,0))</f>
        <v>81.75</v>
      </c>
      <c r="K658" s="17" t="n">
        <f aca="false">Assumptions!$B$2*2*ASIN(SQRT(SIN(RADIANS(I658-G658)/2)^2+COS(RADIANS(G658))*COS(RADIANS(I658))*SIN(RADIANS(J658-H658)/2)^2))</f>
        <v>89.8924045661465</v>
      </c>
      <c r="L658" s="18" t="n">
        <f aca="false">K658*Assumptions!$B$3</f>
        <v>116.86012593599</v>
      </c>
      <c r="M658" s="19" t="n">
        <f aca="false">L658/Assumptions!$B$4</f>
        <v>2.59689168746645</v>
      </c>
      <c r="N658" s="9" t="s">
        <v>1365</v>
      </c>
    </row>
    <row r="659" customFormat="false" ht="15" hidden="false" customHeight="false" outlineLevel="0" collapsed="false">
      <c r="A659" s="9" t="s">
        <v>2022</v>
      </c>
      <c r="B659" s="9" t="s">
        <v>745</v>
      </c>
      <c r="C659" s="9" t="str">
        <f aca="false">IFERROR(INDEX(Destination!$B$2:$B$501,MATCH(B659,Destination!$A$2:$A$501,0)),"")</f>
        <v>Bhoramdeo</v>
      </c>
      <c r="D659" s="9" t="s">
        <v>767</v>
      </c>
      <c r="E659" s="9" t="str">
        <f aca="false">IFERROR(INDEX(Destination!$B$2:$B$501,MATCH(D659,Destination!$A$2:$A$501,0)),"")</f>
        <v>Kanha</v>
      </c>
      <c r="F659" s="9" t="s">
        <v>1364</v>
      </c>
      <c r="G659" s="12" t="n">
        <f aca="false">INDEX(Destination!$F$2:$F$501,MATCH(B659,Destination!$A$2:$A$501,0))</f>
        <v>22.1</v>
      </c>
      <c r="H659" s="12" t="n">
        <f aca="false">INDEX(Destination!$G$2:$G$501,MATCH(B659,Destination!$A$2:$A$501,0))</f>
        <v>81.13</v>
      </c>
      <c r="I659" s="12" t="n">
        <f aca="false">INDEX(Destination!$F$2:$F$501,MATCH(D659,Destination!$A$2:$A$501,0))</f>
        <v>22.33</v>
      </c>
      <c r="J659" s="12" t="n">
        <f aca="false">INDEX(Destination!$G$2:$G$501,MATCH(D659,Destination!$A$2:$A$501,0))</f>
        <v>80.61</v>
      </c>
      <c r="K659" s="17" t="n">
        <f aca="false">Assumptions!$B$2*2*ASIN(SQRT(SIN(RADIANS(I659-G659)/2)^2+COS(RADIANS(G659))*COS(RADIANS(I659))*SIN(RADIANS(J659-H659)/2)^2))</f>
        <v>59.3250172569426</v>
      </c>
      <c r="L659" s="18" t="n">
        <f aca="false">K659*Assumptions!$B$3</f>
        <v>77.1225224340253</v>
      </c>
      <c r="M659" s="19" t="n">
        <f aca="false">L659/Assumptions!$B$4</f>
        <v>1.71383383186723</v>
      </c>
      <c r="N659" s="9" t="s">
        <v>1365</v>
      </c>
    </row>
    <row r="660" customFormat="false" ht="15" hidden="false" customHeight="false" outlineLevel="0" collapsed="false">
      <c r="A660" s="9" t="s">
        <v>2023</v>
      </c>
      <c r="B660" s="9" t="s">
        <v>747</v>
      </c>
      <c r="C660" s="9" t="str">
        <f aca="false">IFERROR(INDEX(Destination!$B$2:$B$501,MATCH(B660,Destination!$A$2:$A$501,0)),"")</f>
        <v>Bhopal</v>
      </c>
      <c r="D660" s="9" t="s">
        <v>757</v>
      </c>
      <c r="E660" s="9" t="str">
        <f aca="false">IFERROR(INDEX(Destination!$B$2:$B$501,MATCH(D660,Destination!$A$2:$A$501,0)),"")</f>
        <v>Sanchi</v>
      </c>
      <c r="F660" s="9" t="s">
        <v>1364</v>
      </c>
      <c r="G660" s="12" t="n">
        <f aca="false">INDEX(Destination!$F$2:$F$501,MATCH(B660,Destination!$A$2:$A$501,0))</f>
        <v>23.26</v>
      </c>
      <c r="H660" s="12" t="n">
        <f aca="false">INDEX(Destination!$G$2:$G$501,MATCH(B660,Destination!$A$2:$A$501,0))</f>
        <v>77.41</v>
      </c>
      <c r="I660" s="12" t="n">
        <f aca="false">INDEX(Destination!$F$2:$F$501,MATCH(D660,Destination!$A$2:$A$501,0))</f>
        <v>23.48</v>
      </c>
      <c r="J660" s="12" t="n">
        <f aca="false">INDEX(Destination!$G$2:$G$501,MATCH(D660,Destination!$A$2:$A$501,0))</f>
        <v>77.74</v>
      </c>
      <c r="K660" s="17" t="n">
        <f aca="false">Assumptions!$B$2*2*ASIN(SQRT(SIN(RADIANS(I660-G660)/2)^2+COS(RADIANS(G660))*COS(RADIANS(I660))*SIN(RADIANS(J660-H660)/2)^2))</f>
        <v>41.629830100774</v>
      </c>
      <c r="L660" s="18" t="n">
        <f aca="false">K660*Assumptions!$B$3</f>
        <v>54.1187791310062</v>
      </c>
      <c r="M660" s="19" t="n">
        <f aca="false">L660/Assumptions!$B$4</f>
        <v>1.20263953624458</v>
      </c>
      <c r="N660" s="9" t="s">
        <v>1365</v>
      </c>
    </row>
    <row r="661" customFormat="false" ht="15" hidden="false" customHeight="false" outlineLevel="0" collapsed="false">
      <c r="A661" s="9" t="s">
        <v>2024</v>
      </c>
      <c r="B661" s="9" t="s">
        <v>747</v>
      </c>
      <c r="C661" s="9" t="str">
        <f aca="false">IFERROR(INDEX(Destination!$B$2:$B$501,MATCH(B661,Destination!$A$2:$A$501,0)),"")</f>
        <v>Bhopal</v>
      </c>
      <c r="D661" s="9" t="s">
        <v>759</v>
      </c>
      <c r="E661" s="9" t="str">
        <f aca="false">IFERROR(INDEX(Destination!$B$2:$B$501,MATCH(D661,Destination!$A$2:$A$501,0)),"")</f>
        <v>Bhimbetka</v>
      </c>
      <c r="F661" s="9" t="s">
        <v>1364</v>
      </c>
      <c r="G661" s="12" t="n">
        <f aca="false">INDEX(Destination!$F$2:$F$501,MATCH(B661,Destination!$A$2:$A$501,0))</f>
        <v>23.26</v>
      </c>
      <c r="H661" s="12" t="n">
        <f aca="false">INDEX(Destination!$G$2:$G$501,MATCH(B661,Destination!$A$2:$A$501,0))</f>
        <v>77.41</v>
      </c>
      <c r="I661" s="12" t="n">
        <f aca="false">INDEX(Destination!$F$2:$F$501,MATCH(D661,Destination!$A$2:$A$501,0))</f>
        <v>22.94</v>
      </c>
      <c r="J661" s="12" t="n">
        <f aca="false">INDEX(Destination!$G$2:$G$501,MATCH(D661,Destination!$A$2:$A$501,0))</f>
        <v>77.61</v>
      </c>
      <c r="K661" s="17" t="n">
        <f aca="false">Assumptions!$B$2*2*ASIN(SQRT(SIN(RADIANS(I661-G661)/2)^2+COS(RADIANS(G661))*COS(RADIANS(I661))*SIN(RADIANS(J661-H661)/2)^2))</f>
        <v>41.0432392206685</v>
      </c>
      <c r="L661" s="18" t="n">
        <f aca="false">K661*Assumptions!$B$3</f>
        <v>53.3562109868691</v>
      </c>
      <c r="M661" s="19" t="n">
        <f aca="false">L661/Assumptions!$B$4</f>
        <v>1.18569357748598</v>
      </c>
      <c r="N661" s="9" t="s">
        <v>1365</v>
      </c>
    </row>
    <row r="662" customFormat="false" ht="15" hidden="false" customHeight="false" outlineLevel="0" collapsed="false">
      <c r="A662" s="9" t="s">
        <v>2025</v>
      </c>
      <c r="B662" s="9" t="s">
        <v>747</v>
      </c>
      <c r="C662" s="9" t="str">
        <f aca="false">IFERROR(INDEX(Destination!$B$2:$B$501,MATCH(B662,Destination!$A$2:$A$501,0)),"")</f>
        <v>Bhopal</v>
      </c>
      <c r="D662" s="9" t="s">
        <v>773</v>
      </c>
      <c r="E662" s="9" t="str">
        <f aca="false">IFERROR(INDEX(Destination!$B$2:$B$501,MATCH(D662,Destination!$A$2:$A$501,0)),"")</f>
        <v>Satpura</v>
      </c>
      <c r="F662" s="9" t="s">
        <v>1364</v>
      </c>
      <c r="G662" s="12" t="n">
        <f aca="false">INDEX(Destination!$F$2:$F$501,MATCH(B662,Destination!$A$2:$A$501,0))</f>
        <v>23.26</v>
      </c>
      <c r="H662" s="12" t="n">
        <f aca="false">INDEX(Destination!$G$2:$G$501,MATCH(B662,Destination!$A$2:$A$501,0))</f>
        <v>77.41</v>
      </c>
      <c r="I662" s="12" t="n">
        <f aca="false">INDEX(Destination!$F$2:$F$501,MATCH(D662,Destination!$A$2:$A$501,0))</f>
        <v>22.5</v>
      </c>
      <c r="J662" s="12" t="n">
        <f aca="false">INDEX(Destination!$G$2:$G$501,MATCH(D662,Destination!$A$2:$A$501,0))</f>
        <v>78.1</v>
      </c>
      <c r="K662" s="17" t="n">
        <f aca="false">Assumptions!$B$2*2*ASIN(SQRT(SIN(RADIANS(I662-G662)/2)^2+COS(RADIANS(G662))*COS(RADIANS(I662))*SIN(RADIANS(J662-H662)/2)^2))</f>
        <v>110.173885284965</v>
      </c>
      <c r="L662" s="18" t="n">
        <f aca="false">K662*Assumptions!$B$3</f>
        <v>143.226050870454</v>
      </c>
      <c r="M662" s="19" t="n">
        <f aca="false">L662/Assumptions!$B$4</f>
        <v>3.18280113045454</v>
      </c>
      <c r="N662" s="9" t="s">
        <v>1365</v>
      </c>
    </row>
    <row r="663" customFormat="false" ht="15" hidden="false" customHeight="false" outlineLevel="0" collapsed="false">
      <c r="A663" s="9" t="s">
        <v>2026</v>
      </c>
      <c r="B663" s="9" t="s">
        <v>749</v>
      </c>
      <c r="C663" s="9" t="str">
        <f aca="false">IFERROR(INDEX(Destination!$B$2:$B$501,MATCH(B663,Destination!$A$2:$A$501,0)),"")</f>
        <v>Indore</v>
      </c>
      <c r="D663" s="9" t="s">
        <v>751</v>
      </c>
      <c r="E663" s="9" t="str">
        <f aca="false">IFERROR(INDEX(Destination!$B$2:$B$501,MATCH(D663,Destination!$A$2:$A$501,0)),"")</f>
        <v>Ujjain</v>
      </c>
      <c r="F663" s="9" t="s">
        <v>1364</v>
      </c>
      <c r="G663" s="12" t="n">
        <f aca="false">INDEX(Destination!$F$2:$F$501,MATCH(B663,Destination!$A$2:$A$501,0))</f>
        <v>22.72</v>
      </c>
      <c r="H663" s="12" t="n">
        <f aca="false">INDEX(Destination!$G$2:$G$501,MATCH(B663,Destination!$A$2:$A$501,0))</f>
        <v>75.86</v>
      </c>
      <c r="I663" s="12" t="n">
        <f aca="false">INDEX(Destination!$F$2:$F$501,MATCH(D663,Destination!$A$2:$A$501,0))</f>
        <v>23.18</v>
      </c>
      <c r="J663" s="12" t="n">
        <f aca="false">INDEX(Destination!$G$2:$G$501,MATCH(D663,Destination!$A$2:$A$501,0))</f>
        <v>75.78</v>
      </c>
      <c r="K663" s="17" t="n">
        <f aca="false">Assumptions!$B$2*2*ASIN(SQRT(SIN(RADIANS(I663-G663)/2)^2+COS(RADIANS(G663))*COS(RADIANS(I663))*SIN(RADIANS(J663-H663)/2)^2))</f>
        <v>51.8014280154446</v>
      </c>
      <c r="L663" s="18" t="n">
        <f aca="false">K663*Assumptions!$B$3</f>
        <v>67.341856420078</v>
      </c>
      <c r="M663" s="19" t="n">
        <f aca="false">L663/Assumptions!$B$4</f>
        <v>1.49648569822395</v>
      </c>
      <c r="N663" s="9" t="s">
        <v>1365</v>
      </c>
    </row>
    <row r="664" customFormat="false" ht="15" hidden="false" customHeight="false" outlineLevel="0" collapsed="false">
      <c r="A664" s="9" t="s">
        <v>2027</v>
      </c>
      <c r="B664" s="9" t="s">
        <v>749</v>
      </c>
      <c r="C664" s="9" t="str">
        <f aca="false">IFERROR(INDEX(Destination!$B$2:$B$501,MATCH(B664,Destination!$A$2:$A$501,0)),"")</f>
        <v>Indore</v>
      </c>
      <c r="D664" s="9" t="s">
        <v>755</v>
      </c>
      <c r="E664" s="9" t="str">
        <f aca="false">IFERROR(INDEX(Destination!$B$2:$B$501,MATCH(D664,Destination!$A$2:$A$501,0)),"")</f>
        <v>Mandu</v>
      </c>
      <c r="F664" s="9" t="s">
        <v>1364</v>
      </c>
      <c r="G664" s="12" t="n">
        <f aca="false">INDEX(Destination!$F$2:$F$501,MATCH(B664,Destination!$A$2:$A$501,0))</f>
        <v>22.72</v>
      </c>
      <c r="H664" s="12" t="n">
        <f aca="false">INDEX(Destination!$G$2:$G$501,MATCH(B664,Destination!$A$2:$A$501,0))</f>
        <v>75.86</v>
      </c>
      <c r="I664" s="12" t="n">
        <f aca="false">INDEX(Destination!$F$2:$F$501,MATCH(D664,Destination!$A$2:$A$501,0))</f>
        <v>22.36</v>
      </c>
      <c r="J664" s="12" t="n">
        <f aca="false">INDEX(Destination!$G$2:$G$501,MATCH(D664,Destination!$A$2:$A$501,0))</f>
        <v>75.41</v>
      </c>
      <c r="K664" s="17" t="n">
        <f aca="false">Assumptions!$B$2*2*ASIN(SQRT(SIN(RADIANS(I664-G664)/2)^2+COS(RADIANS(G664))*COS(RADIANS(I664))*SIN(RADIANS(J664-H664)/2)^2))</f>
        <v>61.1413910915614</v>
      </c>
      <c r="L664" s="18" t="n">
        <f aca="false">K664*Assumptions!$B$3</f>
        <v>79.4838084190299</v>
      </c>
      <c r="M664" s="19" t="n">
        <f aca="false">L664/Assumptions!$B$4</f>
        <v>1.76630685375622</v>
      </c>
      <c r="N664" s="9" t="s">
        <v>1365</v>
      </c>
    </row>
    <row r="665" customFormat="false" ht="15" hidden="false" customHeight="false" outlineLevel="0" collapsed="false">
      <c r="A665" s="9" t="s">
        <v>2028</v>
      </c>
      <c r="B665" s="9" t="s">
        <v>749</v>
      </c>
      <c r="C665" s="9" t="str">
        <f aca="false">IFERROR(INDEX(Destination!$B$2:$B$501,MATCH(B665,Destination!$A$2:$A$501,0)),"")</f>
        <v>Indore</v>
      </c>
      <c r="D665" s="9" t="s">
        <v>761</v>
      </c>
      <c r="E665" s="9" t="str">
        <f aca="false">IFERROR(INDEX(Destination!$B$2:$B$501,MATCH(D665,Destination!$A$2:$A$501,0)),"")</f>
        <v>Omkareshwar</v>
      </c>
      <c r="F665" s="9" t="s">
        <v>1364</v>
      </c>
      <c r="G665" s="12" t="n">
        <f aca="false">INDEX(Destination!$F$2:$F$501,MATCH(B665,Destination!$A$2:$A$501,0))</f>
        <v>22.72</v>
      </c>
      <c r="H665" s="12" t="n">
        <f aca="false">INDEX(Destination!$G$2:$G$501,MATCH(B665,Destination!$A$2:$A$501,0))</f>
        <v>75.86</v>
      </c>
      <c r="I665" s="12" t="n">
        <f aca="false">INDEX(Destination!$F$2:$F$501,MATCH(D665,Destination!$A$2:$A$501,0))</f>
        <v>22.24</v>
      </c>
      <c r="J665" s="12" t="n">
        <f aca="false">INDEX(Destination!$G$2:$G$501,MATCH(D665,Destination!$A$2:$A$501,0))</f>
        <v>76.15</v>
      </c>
      <c r="K665" s="17" t="n">
        <f aca="false">Assumptions!$B$2*2*ASIN(SQRT(SIN(RADIANS(I665-G665)/2)^2+COS(RADIANS(G665))*COS(RADIANS(I665))*SIN(RADIANS(J665-H665)/2)^2))</f>
        <v>61.1272740041057</v>
      </c>
      <c r="L665" s="18" t="n">
        <f aca="false">K665*Assumptions!$B$3</f>
        <v>79.4654562053374</v>
      </c>
      <c r="M665" s="19" t="n">
        <f aca="false">L665/Assumptions!$B$4</f>
        <v>1.76589902678528</v>
      </c>
      <c r="N665" s="9" t="s">
        <v>1365</v>
      </c>
    </row>
    <row r="666" customFormat="false" ht="15" hidden="false" customHeight="false" outlineLevel="0" collapsed="false">
      <c r="A666" s="9" t="s">
        <v>2029</v>
      </c>
      <c r="B666" s="9" t="s">
        <v>749</v>
      </c>
      <c r="C666" s="9" t="str">
        <f aca="false">IFERROR(INDEX(Destination!$B$2:$B$501,MATCH(B666,Destination!$A$2:$A$501,0)),"")</f>
        <v>Indore</v>
      </c>
      <c r="D666" s="9" t="s">
        <v>763</v>
      </c>
      <c r="E666" s="9" t="str">
        <f aca="false">IFERROR(INDEX(Destination!$B$2:$B$501,MATCH(D666,Destination!$A$2:$A$501,0)),"")</f>
        <v>Maheshwar</v>
      </c>
      <c r="F666" s="9" t="s">
        <v>1364</v>
      </c>
      <c r="G666" s="12" t="n">
        <f aca="false">INDEX(Destination!$F$2:$F$501,MATCH(B666,Destination!$A$2:$A$501,0))</f>
        <v>22.72</v>
      </c>
      <c r="H666" s="12" t="n">
        <f aca="false">INDEX(Destination!$G$2:$G$501,MATCH(B666,Destination!$A$2:$A$501,0))</f>
        <v>75.86</v>
      </c>
      <c r="I666" s="12" t="n">
        <f aca="false">INDEX(Destination!$F$2:$F$501,MATCH(D666,Destination!$A$2:$A$501,0))</f>
        <v>22.18</v>
      </c>
      <c r="J666" s="12" t="n">
        <f aca="false">INDEX(Destination!$G$2:$G$501,MATCH(D666,Destination!$A$2:$A$501,0))</f>
        <v>75.59</v>
      </c>
      <c r="K666" s="17" t="n">
        <f aca="false">Assumptions!$B$2*2*ASIN(SQRT(SIN(RADIANS(I666-G666)/2)^2+COS(RADIANS(G666))*COS(RADIANS(I666))*SIN(RADIANS(J666-H666)/2)^2))</f>
        <v>66.1463350121188</v>
      </c>
      <c r="L666" s="18" t="n">
        <f aca="false">K666*Assumptions!$B$3</f>
        <v>85.9902355157544</v>
      </c>
      <c r="M666" s="19" t="n">
        <f aca="false">L666/Assumptions!$B$4</f>
        <v>1.91089412257232</v>
      </c>
      <c r="N666" s="9" t="s">
        <v>1365</v>
      </c>
    </row>
    <row r="667" customFormat="false" ht="15" hidden="false" customHeight="false" outlineLevel="0" collapsed="false">
      <c r="A667" s="9" t="s">
        <v>2030</v>
      </c>
      <c r="B667" s="9" t="s">
        <v>751</v>
      </c>
      <c r="C667" s="9" t="str">
        <f aca="false">IFERROR(INDEX(Destination!$B$2:$B$501,MATCH(B667,Destination!$A$2:$A$501,0)),"")</f>
        <v>Ujjain</v>
      </c>
      <c r="D667" s="9" t="s">
        <v>755</v>
      </c>
      <c r="E667" s="9" t="str">
        <f aca="false">IFERROR(INDEX(Destination!$B$2:$B$501,MATCH(D667,Destination!$A$2:$A$501,0)),"")</f>
        <v>Mandu</v>
      </c>
      <c r="F667" s="9" t="s">
        <v>1364</v>
      </c>
      <c r="G667" s="12" t="n">
        <f aca="false">INDEX(Destination!$F$2:$F$501,MATCH(B667,Destination!$A$2:$A$501,0))</f>
        <v>23.18</v>
      </c>
      <c r="H667" s="12" t="n">
        <f aca="false">INDEX(Destination!$G$2:$G$501,MATCH(B667,Destination!$A$2:$A$501,0))</f>
        <v>75.78</v>
      </c>
      <c r="I667" s="12" t="n">
        <f aca="false">INDEX(Destination!$F$2:$F$501,MATCH(D667,Destination!$A$2:$A$501,0))</f>
        <v>22.36</v>
      </c>
      <c r="J667" s="12" t="n">
        <f aca="false">INDEX(Destination!$G$2:$G$501,MATCH(D667,Destination!$A$2:$A$501,0))</f>
        <v>75.41</v>
      </c>
      <c r="K667" s="17" t="n">
        <f aca="false">Assumptions!$B$2*2*ASIN(SQRT(SIN(RADIANS(I667-G667)/2)^2+COS(RADIANS(G667))*COS(RADIANS(I667))*SIN(RADIANS(J667-H667)/2)^2))</f>
        <v>98.7564985321791</v>
      </c>
      <c r="L667" s="18" t="n">
        <f aca="false">K667*Assumptions!$B$3</f>
        <v>128.383448091833</v>
      </c>
      <c r="M667" s="19" t="n">
        <f aca="false">L667/Assumptions!$B$4</f>
        <v>2.85296551315184</v>
      </c>
      <c r="N667" s="9" t="s">
        <v>1365</v>
      </c>
    </row>
    <row r="668" customFormat="false" ht="15" hidden="false" customHeight="false" outlineLevel="0" collapsed="false">
      <c r="A668" s="9" t="s">
        <v>2031</v>
      </c>
      <c r="B668" s="9" t="s">
        <v>751</v>
      </c>
      <c r="C668" s="9" t="str">
        <f aca="false">IFERROR(INDEX(Destination!$B$2:$B$501,MATCH(B668,Destination!$A$2:$A$501,0)),"")</f>
        <v>Ujjain</v>
      </c>
      <c r="D668" s="9" t="s">
        <v>761</v>
      </c>
      <c r="E668" s="9" t="str">
        <f aca="false">IFERROR(INDEX(Destination!$B$2:$B$501,MATCH(D668,Destination!$A$2:$A$501,0)),"")</f>
        <v>Omkareshwar</v>
      </c>
      <c r="F668" s="9" t="s">
        <v>1364</v>
      </c>
      <c r="G668" s="12" t="n">
        <f aca="false">INDEX(Destination!$F$2:$F$501,MATCH(B668,Destination!$A$2:$A$501,0))</f>
        <v>23.18</v>
      </c>
      <c r="H668" s="12" t="n">
        <f aca="false">INDEX(Destination!$G$2:$G$501,MATCH(B668,Destination!$A$2:$A$501,0))</f>
        <v>75.78</v>
      </c>
      <c r="I668" s="12" t="n">
        <f aca="false">INDEX(Destination!$F$2:$F$501,MATCH(D668,Destination!$A$2:$A$501,0))</f>
        <v>22.24</v>
      </c>
      <c r="J668" s="12" t="n">
        <f aca="false">INDEX(Destination!$G$2:$G$501,MATCH(D668,Destination!$A$2:$A$501,0))</f>
        <v>76.15</v>
      </c>
      <c r="K668" s="17" t="n">
        <f aca="false">Assumptions!$B$2*2*ASIN(SQRT(SIN(RADIANS(I668-G668)/2)^2+COS(RADIANS(G668))*COS(RADIANS(I668))*SIN(RADIANS(J668-H668)/2)^2))</f>
        <v>111.200003372614</v>
      </c>
      <c r="L668" s="18" t="n">
        <f aca="false">K668*Assumptions!$B$3</f>
        <v>144.560004384398</v>
      </c>
      <c r="M668" s="19" t="n">
        <f aca="false">L668/Assumptions!$B$4</f>
        <v>3.21244454187552</v>
      </c>
      <c r="N668" s="9" t="s">
        <v>1365</v>
      </c>
    </row>
    <row r="669" customFormat="false" ht="15" hidden="false" customHeight="false" outlineLevel="0" collapsed="false">
      <c r="A669" s="9" t="s">
        <v>2032</v>
      </c>
      <c r="B669" s="9" t="s">
        <v>753</v>
      </c>
      <c r="C669" s="9" t="str">
        <f aca="false">IFERROR(INDEX(Destination!$B$2:$B$501,MATCH(B669,Destination!$A$2:$A$501,0)),"")</f>
        <v>Pachmarhi</v>
      </c>
      <c r="D669" s="9" t="s">
        <v>759</v>
      </c>
      <c r="E669" s="9" t="str">
        <f aca="false">IFERROR(INDEX(Destination!$B$2:$B$501,MATCH(D669,Destination!$A$2:$A$501,0)),"")</f>
        <v>Bhimbetka</v>
      </c>
      <c r="F669" s="9" t="s">
        <v>1364</v>
      </c>
      <c r="G669" s="12" t="n">
        <f aca="false">INDEX(Destination!$F$2:$F$501,MATCH(B669,Destination!$A$2:$A$501,0))</f>
        <v>22.47</v>
      </c>
      <c r="H669" s="12" t="n">
        <f aca="false">INDEX(Destination!$G$2:$G$501,MATCH(B669,Destination!$A$2:$A$501,0))</f>
        <v>78.43</v>
      </c>
      <c r="I669" s="12" t="n">
        <f aca="false">INDEX(Destination!$F$2:$F$501,MATCH(D669,Destination!$A$2:$A$501,0))</f>
        <v>22.94</v>
      </c>
      <c r="J669" s="12" t="n">
        <f aca="false">INDEX(Destination!$G$2:$G$501,MATCH(D669,Destination!$A$2:$A$501,0))</f>
        <v>77.61</v>
      </c>
      <c r="K669" s="17" t="n">
        <f aca="false">Assumptions!$B$2*2*ASIN(SQRT(SIN(RADIANS(I669-G669)/2)^2+COS(RADIANS(G669))*COS(RADIANS(I669))*SIN(RADIANS(J669-H669)/2)^2))</f>
        <v>99.0269156705348</v>
      </c>
      <c r="L669" s="18" t="n">
        <f aca="false">K669*Assumptions!$B$3</f>
        <v>128.734990371695</v>
      </c>
      <c r="M669" s="19" t="n">
        <f aca="false">L669/Assumptions!$B$4</f>
        <v>2.86077756381545</v>
      </c>
      <c r="N669" s="9" t="s">
        <v>1365</v>
      </c>
    </row>
    <row r="670" customFormat="false" ht="15" hidden="false" customHeight="false" outlineLevel="0" collapsed="false">
      <c r="A670" s="9" t="s">
        <v>2033</v>
      </c>
      <c r="B670" s="9" t="s">
        <v>753</v>
      </c>
      <c r="C670" s="9" t="str">
        <f aca="false">IFERROR(INDEX(Destination!$B$2:$B$501,MATCH(B670,Destination!$A$2:$A$501,0)),"")</f>
        <v>Pachmarhi</v>
      </c>
      <c r="D670" s="9" t="s">
        <v>771</v>
      </c>
      <c r="E670" s="9" t="str">
        <f aca="false">IFERROR(INDEX(Destination!$B$2:$B$501,MATCH(D670,Destination!$A$2:$A$501,0)),"")</f>
        <v>Pench</v>
      </c>
      <c r="F670" s="9" t="s">
        <v>1364</v>
      </c>
      <c r="G670" s="12" t="n">
        <f aca="false">INDEX(Destination!$F$2:$F$501,MATCH(B670,Destination!$A$2:$A$501,0))</f>
        <v>22.47</v>
      </c>
      <c r="H670" s="12" t="n">
        <f aca="false">INDEX(Destination!$G$2:$G$501,MATCH(B670,Destination!$A$2:$A$501,0))</f>
        <v>78.43</v>
      </c>
      <c r="I670" s="12" t="n">
        <f aca="false">INDEX(Destination!$F$2:$F$501,MATCH(D670,Destination!$A$2:$A$501,0))</f>
        <v>21.7</v>
      </c>
      <c r="J670" s="12" t="n">
        <f aca="false">INDEX(Destination!$G$2:$G$501,MATCH(D670,Destination!$A$2:$A$501,0))</f>
        <v>79.3</v>
      </c>
      <c r="K670" s="17" t="n">
        <f aca="false">Assumptions!$B$2*2*ASIN(SQRT(SIN(RADIANS(I670-G670)/2)^2+COS(RADIANS(G670))*COS(RADIANS(I670))*SIN(RADIANS(J670-H670)/2)^2))</f>
        <v>123.960478847409</v>
      </c>
      <c r="L670" s="18" t="n">
        <f aca="false">K670*Assumptions!$B$3</f>
        <v>161.148622501632</v>
      </c>
      <c r="M670" s="19" t="n">
        <f aca="false">L670/Assumptions!$B$4</f>
        <v>3.58108050003626</v>
      </c>
      <c r="N670" s="9" t="s">
        <v>1365</v>
      </c>
    </row>
    <row r="671" customFormat="false" ht="15" hidden="false" customHeight="false" outlineLevel="0" collapsed="false">
      <c r="A671" s="9" t="s">
        <v>2034</v>
      </c>
      <c r="B671" s="9" t="s">
        <v>753</v>
      </c>
      <c r="C671" s="9" t="str">
        <f aca="false">IFERROR(INDEX(Destination!$B$2:$B$501,MATCH(B671,Destination!$A$2:$A$501,0)),"")</f>
        <v>Pachmarhi</v>
      </c>
      <c r="D671" s="9" t="s">
        <v>773</v>
      </c>
      <c r="E671" s="9" t="str">
        <f aca="false">IFERROR(INDEX(Destination!$B$2:$B$501,MATCH(D671,Destination!$A$2:$A$501,0)),"")</f>
        <v>Satpura</v>
      </c>
      <c r="F671" s="9" t="s">
        <v>1364</v>
      </c>
      <c r="G671" s="12" t="n">
        <f aca="false">INDEX(Destination!$F$2:$F$501,MATCH(B671,Destination!$A$2:$A$501,0))</f>
        <v>22.47</v>
      </c>
      <c r="H671" s="12" t="n">
        <f aca="false">INDEX(Destination!$G$2:$G$501,MATCH(B671,Destination!$A$2:$A$501,0))</f>
        <v>78.43</v>
      </c>
      <c r="I671" s="12" t="n">
        <f aca="false">INDEX(Destination!$F$2:$F$501,MATCH(D671,Destination!$A$2:$A$501,0))</f>
        <v>22.5</v>
      </c>
      <c r="J671" s="12" t="n">
        <f aca="false">INDEX(Destination!$G$2:$G$501,MATCH(D671,Destination!$A$2:$A$501,0))</f>
        <v>78.1</v>
      </c>
      <c r="K671" s="17" t="n">
        <f aca="false">Assumptions!$B$2*2*ASIN(SQRT(SIN(RADIANS(I671-G671)/2)^2+COS(RADIANS(G671))*COS(RADIANS(I671))*SIN(RADIANS(J671-H671)/2)^2))</f>
        <v>34.0685137638238</v>
      </c>
      <c r="L671" s="18" t="n">
        <f aca="false">K671*Assumptions!$B$3</f>
        <v>44.2890678929709</v>
      </c>
      <c r="M671" s="19" t="n">
        <f aca="false">L671/Assumptions!$B$4</f>
        <v>0.984201508732687</v>
      </c>
      <c r="N671" s="9" t="s">
        <v>1365</v>
      </c>
    </row>
    <row r="672" customFormat="false" ht="15" hidden="false" customHeight="false" outlineLevel="0" collapsed="false">
      <c r="A672" s="9" t="s">
        <v>2035</v>
      </c>
      <c r="B672" s="9" t="s">
        <v>755</v>
      </c>
      <c r="C672" s="9" t="str">
        <f aca="false">IFERROR(INDEX(Destination!$B$2:$B$501,MATCH(B672,Destination!$A$2:$A$501,0)),"")</f>
        <v>Mandu</v>
      </c>
      <c r="D672" s="9" t="s">
        <v>761</v>
      </c>
      <c r="E672" s="9" t="str">
        <f aca="false">IFERROR(INDEX(Destination!$B$2:$B$501,MATCH(D672,Destination!$A$2:$A$501,0)),"")</f>
        <v>Omkareshwar</v>
      </c>
      <c r="F672" s="9" t="s">
        <v>1364</v>
      </c>
      <c r="G672" s="12" t="n">
        <f aca="false">INDEX(Destination!$F$2:$F$501,MATCH(B672,Destination!$A$2:$A$501,0))</f>
        <v>22.36</v>
      </c>
      <c r="H672" s="12" t="n">
        <f aca="false">INDEX(Destination!$G$2:$G$501,MATCH(B672,Destination!$A$2:$A$501,0))</f>
        <v>75.41</v>
      </c>
      <c r="I672" s="12" t="n">
        <f aca="false">INDEX(Destination!$F$2:$F$501,MATCH(D672,Destination!$A$2:$A$501,0))</f>
        <v>22.24</v>
      </c>
      <c r="J672" s="12" t="n">
        <f aca="false">INDEX(Destination!$G$2:$G$501,MATCH(D672,Destination!$A$2:$A$501,0))</f>
        <v>76.15</v>
      </c>
      <c r="K672" s="17" t="n">
        <f aca="false">Assumptions!$B$2*2*ASIN(SQRT(SIN(RADIANS(I672-G672)/2)^2+COS(RADIANS(G672))*COS(RADIANS(I672))*SIN(RADIANS(J672-H672)/2)^2))</f>
        <v>77.2905957209948</v>
      </c>
      <c r="L672" s="18" t="n">
        <f aca="false">K672*Assumptions!$B$3</f>
        <v>100.477774437293</v>
      </c>
      <c r="M672" s="19" t="n">
        <f aca="false">L672/Assumptions!$B$4</f>
        <v>2.23283943193985</v>
      </c>
      <c r="N672" s="9" t="s">
        <v>1365</v>
      </c>
    </row>
    <row r="673" customFormat="false" ht="15" hidden="false" customHeight="false" outlineLevel="0" collapsed="false">
      <c r="A673" s="9" t="s">
        <v>2036</v>
      </c>
      <c r="B673" s="9" t="s">
        <v>755</v>
      </c>
      <c r="C673" s="9" t="str">
        <f aca="false">IFERROR(INDEX(Destination!$B$2:$B$501,MATCH(B673,Destination!$A$2:$A$501,0)),"")</f>
        <v>Mandu</v>
      </c>
      <c r="D673" s="9" t="s">
        <v>763</v>
      </c>
      <c r="E673" s="9" t="str">
        <f aca="false">IFERROR(INDEX(Destination!$B$2:$B$501,MATCH(D673,Destination!$A$2:$A$501,0)),"")</f>
        <v>Maheshwar</v>
      </c>
      <c r="F673" s="9" t="s">
        <v>1364</v>
      </c>
      <c r="G673" s="12" t="n">
        <f aca="false">INDEX(Destination!$F$2:$F$501,MATCH(B673,Destination!$A$2:$A$501,0))</f>
        <v>22.36</v>
      </c>
      <c r="H673" s="12" t="n">
        <f aca="false">INDEX(Destination!$G$2:$G$501,MATCH(B673,Destination!$A$2:$A$501,0))</f>
        <v>75.41</v>
      </c>
      <c r="I673" s="12" t="n">
        <f aca="false">INDEX(Destination!$F$2:$F$501,MATCH(D673,Destination!$A$2:$A$501,0))</f>
        <v>22.18</v>
      </c>
      <c r="J673" s="12" t="n">
        <f aca="false">INDEX(Destination!$G$2:$G$501,MATCH(D673,Destination!$A$2:$A$501,0))</f>
        <v>75.59</v>
      </c>
      <c r="K673" s="17" t="n">
        <f aca="false">Assumptions!$B$2*2*ASIN(SQRT(SIN(RADIANS(I673-G673)/2)^2+COS(RADIANS(G673))*COS(RADIANS(I673))*SIN(RADIANS(J673-H673)/2)^2))</f>
        <v>27.2703579167505</v>
      </c>
      <c r="L673" s="18" t="n">
        <f aca="false">K673*Assumptions!$B$3</f>
        <v>35.4514652917757</v>
      </c>
      <c r="M673" s="19" t="n">
        <f aca="false">L673/Assumptions!$B$4</f>
        <v>0.787810339817238</v>
      </c>
      <c r="N673" s="9" t="s">
        <v>1365</v>
      </c>
    </row>
    <row r="674" customFormat="false" ht="15" hidden="false" customHeight="false" outlineLevel="0" collapsed="false">
      <c r="A674" s="9" t="s">
        <v>2037</v>
      </c>
      <c r="B674" s="9" t="s">
        <v>757</v>
      </c>
      <c r="C674" s="9" t="str">
        <f aca="false">IFERROR(INDEX(Destination!$B$2:$B$501,MATCH(B674,Destination!$A$2:$A$501,0)),"")</f>
        <v>Sanchi</v>
      </c>
      <c r="D674" s="9" t="s">
        <v>759</v>
      </c>
      <c r="E674" s="9" t="str">
        <f aca="false">IFERROR(INDEX(Destination!$B$2:$B$501,MATCH(D674,Destination!$A$2:$A$501,0)),"")</f>
        <v>Bhimbetka</v>
      </c>
      <c r="F674" s="9" t="s">
        <v>1364</v>
      </c>
      <c r="G674" s="12" t="n">
        <f aca="false">INDEX(Destination!$F$2:$F$501,MATCH(B674,Destination!$A$2:$A$501,0))</f>
        <v>23.48</v>
      </c>
      <c r="H674" s="12" t="n">
        <f aca="false">INDEX(Destination!$G$2:$G$501,MATCH(B674,Destination!$A$2:$A$501,0))</f>
        <v>77.74</v>
      </c>
      <c r="I674" s="12" t="n">
        <f aca="false">INDEX(Destination!$F$2:$F$501,MATCH(D674,Destination!$A$2:$A$501,0))</f>
        <v>22.94</v>
      </c>
      <c r="J674" s="12" t="n">
        <f aca="false">INDEX(Destination!$G$2:$G$501,MATCH(D674,Destination!$A$2:$A$501,0))</f>
        <v>77.61</v>
      </c>
      <c r="K674" s="17" t="n">
        <f aca="false">Assumptions!$B$2*2*ASIN(SQRT(SIN(RADIANS(I674-G674)/2)^2+COS(RADIANS(G674))*COS(RADIANS(I674))*SIN(RADIANS(J674-H674)/2)^2))</f>
        <v>61.4974279558267</v>
      </c>
      <c r="L674" s="18" t="n">
        <f aca="false">K674*Assumptions!$B$3</f>
        <v>79.9466563425747</v>
      </c>
      <c r="M674" s="19" t="n">
        <f aca="false">L674/Assumptions!$B$4</f>
        <v>1.77659236316833</v>
      </c>
      <c r="N674" s="9" t="s">
        <v>1365</v>
      </c>
    </row>
    <row r="675" customFormat="false" ht="15" hidden="false" customHeight="false" outlineLevel="0" collapsed="false">
      <c r="A675" s="9" t="s">
        <v>2038</v>
      </c>
      <c r="B675" s="9" t="s">
        <v>757</v>
      </c>
      <c r="C675" s="9" t="str">
        <f aca="false">IFERROR(INDEX(Destination!$B$2:$B$501,MATCH(B675,Destination!$A$2:$A$501,0)),"")</f>
        <v>Sanchi</v>
      </c>
      <c r="D675" s="9" t="s">
        <v>773</v>
      </c>
      <c r="E675" s="9" t="str">
        <f aca="false">IFERROR(INDEX(Destination!$B$2:$B$501,MATCH(D675,Destination!$A$2:$A$501,0)),"")</f>
        <v>Satpura</v>
      </c>
      <c r="F675" s="9" t="s">
        <v>1364</v>
      </c>
      <c r="G675" s="12" t="n">
        <f aca="false">INDEX(Destination!$F$2:$F$501,MATCH(B675,Destination!$A$2:$A$501,0))</f>
        <v>23.48</v>
      </c>
      <c r="H675" s="12" t="n">
        <f aca="false">INDEX(Destination!$G$2:$G$501,MATCH(B675,Destination!$A$2:$A$501,0))</f>
        <v>77.74</v>
      </c>
      <c r="I675" s="12" t="n">
        <f aca="false">INDEX(Destination!$F$2:$F$501,MATCH(D675,Destination!$A$2:$A$501,0))</f>
        <v>22.5</v>
      </c>
      <c r="J675" s="12" t="n">
        <f aca="false">INDEX(Destination!$G$2:$G$501,MATCH(D675,Destination!$A$2:$A$501,0))</f>
        <v>78.1</v>
      </c>
      <c r="K675" s="17" t="n">
        <f aca="false">Assumptions!$B$2*2*ASIN(SQRT(SIN(RADIANS(I675-G675)/2)^2+COS(RADIANS(G675))*COS(RADIANS(I675))*SIN(RADIANS(J675-H675)/2)^2))</f>
        <v>115.033070343109</v>
      </c>
      <c r="L675" s="18" t="n">
        <f aca="false">K675*Assumptions!$B$3</f>
        <v>149.542991446042</v>
      </c>
      <c r="M675" s="19" t="n">
        <f aca="false">L675/Assumptions!$B$4</f>
        <v>3.32317758768982</v>
      </c>
      <c r="N675" s="9" t="s">
        <v>1365</v>
      </c>
    </row>
    <row r="676" customFormat="false" ht="15" hidden="false" customHeight="false" outlineLevel="0" collapsed="false">
      <c r="A676" s="9" t="s">
        <v>2039</v>
      </c>
      <c r="B676" s="9" t="s">
        <v>759</v>
      </c>
      <c r="C676" s="9" t="str">
        <f aca="false">IFERROR(INDEX(Destination!$B$2:$B$501,MATCH(B676,Destination!$A$2:$A$501,0)),"")</f>
        <v>Bhimbetka</v>
      </c>
      <c r="D676" s="9" t="s">
        <v>773</v>
      </c>
      <c r="E676" s="9" t="str">
        <f aca="false">IFERROR(INDEX(Destination!$B$2:$B$501,MATCH(D676,Destination!$A$2:$A$501,0)),"")</f>
        <v>Satpura</v>
      </c>
      <c r="F676" s="9" t="s">
        <v>1364</v>
      </c>
      <c r="G676" s="12" t="n">
        <f aca="false">INDEX(Destination!$F$2:$F$501,MATCH(B676,Destination!$A$2:$A$501,0))</f>
        <v>22.94</v>
      </c>
      <c r="H676" s="12" t="n">
        <f aca="false">INDEX(Destination!$G$2:$G$501,MATCH(B676,Destination!$A$2:$A$501,0))</f>
        <v>77.61</v>
      </c>
      <c r="I676" s="12" t="n">
        <f aca="false">INDEX(Destination!$F$2:$F$501,MATCH(D676,Destination!$A$2:$A$501,0))</f>
        <v>22.5</v>
      </c>
      <c r="J676" s="12" t="n">
        <f aca="false">INDEX(Destination!$G$2:$G$501,MATCH(D676,Destination!$A$2:$A$501,0))</f>
        <v>78.1</v>
      </c>
      <c r="K676" s="17" t="n">
        <f aca="false">Assumptions!$B$2*2*ASIN(SQRT(SIN(RADIANS(I676-G676)/2)^2+COS(RADIANS(G676))*COS(RADIANS(I676))*SIN(RADIANS(J676-H676)/2)^2))</f>
        <v>70.1394170078485</v>
      </c>
      <c r="L676" s="18" t="n">
        <f aca="false">K676*Assumptions!$B$3</f>
        <v>91.1812421102031</v>
      </c>
      <c r="M676" s="19" t="n">
        <f aca="false">L676/Assumptions!$B$4</f>
        <v>2.02624982467118</v>
      </c>
      <c r="N676" s="9" t="s">
        <v>1365</v>
      </c>
    </row>
    <row r="677" customFormat="false" ht="15" hidden="false" customHeight="false" outlineLevel="0" collapsed="false">
      <c r="A677" s="9" t="s">
        <v>2040</v>
      </c>
      <c r="B677" s="9" t="s">
        <v>761</v>
      </c>
      <c r="C677" s="9" t="str">
        <f aca="false">IFERROR(INDEX(Destination!$B$2:$B$501,MATCH(B677,Destination!$A$2:$A$501,0)),"")</f>
        <v>Omkareshwar</v>
      </c>
      <c r="D677" s="9" t="s">
        <v>763</v>
      </c>
      <c r="E677" s="9" t="str">
        <f aca="false">IFERROR(INDEX(Destination!$B$2:$B$501,MATCH(D677,Destination!$A$2:$A$501,0)),"")</f>
        <v>Maheshwar</v>
      </c>
      <c r="F677" s="9" t="s">
        <v>1364</v>
      </c>
      <c r="G677" s="12" t="n">
        <f aca="false">INDEX(Destination!$F$2:$F$501,MATCH(B677,Destination!$A$2:$A$501,0))</f>
        <v>22.24</v>
      </c>
      <c r="H677" s="12" t="n">
        <f aca="false">INDEX(Destination!$G$2:$G$501,MATCH(B677,Destination!$A$2:$A$501,0))</f>
        <v>76.15</v>
      </c>
      <c r="I677" s="12" t="n">
        <f aca="false">INDEX(Destination!$F$2:$F$501,MATCH(D677,Destination!$A$2:$A$501,0))</f>
        <v>22.18</v>
      </c>
      <c r="J677" s="12" t="n">
        <f aca="false">INDEX(Destination!$G$2:$G$501,MATCH(D677,Destination!$A$2:$A$501,0))</f>
        <v>75.59</v>
      </c>
      <c r="K677" s="17" t="n">
        <f aca="false">Assumptions!$B$2*2*ASIN(SQRT(SIN(RADIANS(I677-G677)/2)^2+COS(RADIANS(G677))*COS(RADIANS(I677))*SIN(RADIANS(J677-H677)/2)^2))</f>
        <v>58.0338105962143</v>
      </c>
      <c r="L677" s="18" t="n">
        <f aca="false">K677*Assumptions!$B$3</f>
        <v>75.4439537750786</v>
      </c>
      <c r="M677" s="19" t="n">
        <f aca="false">L677/Assumptions!$B$4</f>
        <v>1.67653230611286</v>
      </c>
      <c r="N677" s="9" t="s">
        <v>1365</v>
      </c>
    </row>
    <row r="678" customFormat="false" ht="15" hidden="false" customHeight="false" outlineLevel="0" collapsed="false">
      <c r="A678" s="9" t="s">
        <v>2041</v>
      </c>
      <c r="B678" s="9" t="s">
        <v>761</v>
      </c>
      <c r="C678" s="9" t="str">
        <f aca="false">IFERROR(INDEX(Destination!$B$2:$B$501,MATCH(B678,Destination!$A$2:$A$501,0)),"")</f>
        <v>Omkareshwar</v>
      </c>
      <c r="D678" s="9" t="s">
        <v>777</v>
      </c>
      <c r="E678" s="9" t="str">
        <f aca="false">IFERROR(INDEX(Destination!$B$2:$B$501,MATCH(D678,Destination!$A$2:$A$501,0)),"")</f>
        <v>Burhanpur</v>
      </c>
      <c r="F678" s="9" t="s">
        <v>1364</v>
      </c>
      <c r="G678" s="12" t="n">
        <f aca="false">INDEX(Destination!$F$2:$F$501,MATCH(B678,Destination!$A$2:$A$501,0))</f>
        <v>22.24</v>
      </c>
      <c r="H678" s="12" t="n">
        <f aca="false">INDEX(Destination!$G$2:$G$501,MATCH(B678,Destination!$A$2:$A$501,0))</f>
        <v>76.15</v>
      </c>
      <c r="I678" s="12" t="n">
        <f aca="false">INDEX(Destination!$F$2:$F$501,MATCH(D678,Destination!$A$2:$A$501,0))</f>
        <v>21.31</v>
      </c>
      <c r="J678" s="12" t="n">
        <f aca="false">INDEX(Destination!$G$2:$G$501,MATCH(D678,Destination!$A$2:$A$501,0))</f>
        <v>76.23</v>
      </c>
      <c r="K678" s="17" t="n">
        <f aca="false">Assumptions!$B$2*2*ASIN(SQRT(SIN(RADIANS(I678-G678)/2)^2+COS(RADIANS(G678))*COS(RADIANS(I678))*SIN(RADIANS(J678-H678)/2)^2))</f>
        <v>103.740700869632</v>
      </c>
      <c r="L678" s="18" t="n">
        <f aca="false">K678*Assumptions!$B$3</f>
        <v>134.862911130522</v>
      </c>
      <c r="M678" s="19" t="n">
        <f aca="false">L678/Assumptions!$B$4</f>
        <v>2.99695358067826</v>
      </c>
      <c r="N678" s="9" t="s">
        <v>1365</v>
      </c>
    </row>
    <row r="679" customFormat="false" ht="15" hidden="false" customHeight="false" outlineLevel="0" collapsed="false">
      <c r="A679" s="9" t="s">
        <v>2042</v>
      </c>
      <c r="B679" s="9" t="s">
        <v>763</v>
      </c>
      <c r="C679" s="9" t="str">
        <f aca="false">IFERROR(INDEX(Destination!$B$2:$B$501,MATCH(B679,Destination!$A$2:$A$501,0)),"")</f>
        <v>Maheshwar</v>
      </c>
      <c r="D679" s="9" t="s">
        <v>777</v>
      </c>
      <c r="E679" s="9" t="str">
        <f aca="false">IFERROR(INDEX(Destination!$B$2:$B$501,MATCH(D679,Destination!$A$2:$A$501,0)),"")</f>
        <v>Burhanpur</v>
      </c>
      <c r="F679" s="9" t="s">
        <v>1364</v>
      </c>
      <c r="G679" s="12" t="n">
        <f aca="false">INDEX(Destination!$F$2:$F$501,MATCH(B679,Destination!$A$2:$A$501,0))</f>
        <v>22.18</v>
      </c>
      <c r="H679" s="12" t="n">
        <f aca="false">INDEX(Destination!$G$2:$G$501,MATCH(B679,Destination!$A$2:$A$501,0))</f>
        <v>75.59</v>
      </c>
      <c r="I679" s="12" t="n">
        <f aca="false">INDEX(Destination!$F$2:$F$501,MATCH(D679,Destination!$A$2:$A$501,0))</f>
        <v>21.31</v>
      </c>
      <c r="J679" s="12" t="n">
        <f aca="false">INDEX(Destination!$G$2:$G$501,MATCH(D679,Destination!$A$2:$A$501,0))</f>
        <v>76.23</v>
      </c>
      <c r="K679" s="17" t="n">
        <f aca="false">Assumptions!$B$2*2*ASIN(SQRT(SIN(RADIANS(I679-G679)/2)^2+COS(RADIANS(G679))*COS(RADIANS(I679))*SIN(RADIANS(J679-H679)/2)^2))</f>
        <v>117.165410855198</v>
      </c>
      <c r="L679" s="18" t="n">
        <f aca="false">K679*Assumptions!$B$3</f>
        <v>152.315034111758</v>
      </c>
      <c r="M679" s="19" t="n">
        <f aca="false">L679/Assumptions!$B$4</f>
        <v>3.38477853581684</v>
      </c>
      <c r="N679" s="9" t="s">
        <v>1365</v>
      </c>
    </row>
    <row r="680" customFormat="false" ht="15" hidden="false" customHeight="false" outlineLevel="0" collapsed="false">
      <c r="A680" s="9" t="s">
        <v>2043</v>
      </c>
      <c r="B680" s="9" t="s">
        <v>765</v>
      </c>
      <c r="C680" s="9" t="str">
        <f aca="false">IFERROR(INDEX(Destination!$B$2:$B$501,MATCH(B680,Destination!$A$2:$A$501,0)),"")</f>
        <v>Amarkantak</v>
      </c>
      <c r="D680" s="9" t="s">
        <v>767</v>
      </c>
      <c r="E680" s="9" t="str">
        <f aca="false">IFERROR(INDEX(Destination!$B$2:$B$501,MATCH(D680,Destination!$A$2:$A$501,0)),"")</f>
        <v>Kanha</v>
      </c>
      <c r="F680" s="9" t="s">
        <v>1364</v>
      </c>
      <c r="G680" s="12" t="n">
        <f aca="false">INDEX(Destination!$F$2:$F$501,MATCH(B680,Destination!$A$2:$A$501,0))</f>
        <v>22.67</v>
      </c>
      <c r="H680" s="12" t="n">
        <f aca="false">INDEX(Destination!$G$2:$G$501,MATCH(B680,Destination!$A$2:$A$501,0))</f>
        <v>81.75</v>
      </c>
      <c r="I680" s="12" t="n">
        <f aca="false">INDEX(Destination!$F$2:$F$501,MATCH(D680,Destination!$A$2:$A$501,0))</f>
        <v>22.33</v>
      </c>
      <c r="J680" s="12" t="n">
        <f aca="false">INDEX(Destination!$G$2:$G$501,MATCH(D680,Destination!$A$2:$A$501,0))</f>
        <v>80.61</v>
      </c>
      <c r="K680" s="17" t="n">
        <f aca="false">Assumptions!$B$2*2*ASIN(SQRT(SIN(RADIANS(I680-G680)/2)^2+COS(RADIANS(G680))*COS(RADIANS(I680))*SIN(RADIANS(J680-H680)/2)^2))</f>
        <v>123.063585201197</v>
      </c>
      <c r="L680" s="18" t="n">
        <f aca="false">K680*Assumptions!$B$3</f>
        <v>159.982660761556</v>
      </c>
      <c r="M680" s="19" t="n">
        <f aca="false">L680/Assumptions!$B$4</f>
        <v>3.55517023914569</v>
      </c>
      <c r="N680" s="9" t="s">
        <v>1365</v>
      </c>
    </row>
    <row r="681" customFormat="false" ht="15" hidden="false" customHeight="false" outlineLevel="0" collapsed="false">
      <c r="A681" s="9" t="s">
        <v>2044</v>
      </c>
      <c r="B681" s="9" t="s">
        <v>765</v>
      </c>
      <c r="C681" s="9" t="str">
        <f aca="false">IFERROR(INDEX(Destination!$B$2:$B$501,MATCH(B681,Destination!$A$2:$A$501,0)),"")</f>
        <v>Amarkantak</v>
      </c>
      <c r="D681" s="9" t="s">
        <v>769</v>
      </c>
      <c r="E681" s="9" t="str">
        <f aca="false">IFERROR(INDEX(Destination!$B$2:$B$501,MATCH(D681,Destination!$A$2:$A$501,0)),"")</f>
        <v>Bandhavgarh</v>
      </c>
      <c r="F681" s="9" t="s">
        <v>1364</v>
      </c>
      <c r="G681" s="12" t="n">
        <f aca="false">INDEX(Destination!$F$2:$F$501,MATCH(B681,Destination!$A$2:$A$501,0))</f>
        <v>22.67</v>
      </c>
      <c r="H681" s="12" t="n">
        <f aca="false">INDEX(Destination!$G$2:$G$501,MATCH(B681,Destination!$A$2:$A$501,0))</f>
        <v>81.75</v>
      </c>
      <c r="I681" s="12" t="n">
        <f aca="false">INDEX(Destination!$F$2:$F$501,MATCH(D681,Destination!$A$2:$A$501,0))</f>
        <v>23.72</v>
      </c>
      <c r="J681" s="12" t="n">
        <f aca="false">INDEX(Destination!$G$2:$G$501,MATCH(D681,Destination!$A$2:$A$501,0))</f>
        <v>81.03</v>
      </c>
      <c r="K681" s="17" t="n">
        <f aca="false">Assumptions!$B$2*2*ASIN(SQRT(SIN(RADIANS(I681-G681)/2)^2+COS(RADIANS(G681))*COS(RADIANS(I681))*SIN(RADIANS(J681-H681)/2)^2))</f>
        <v>138.00998265444</v>
      </c>
      <c r="L681" s="18" t="n">
        <f aca="false">K681*Assumptions!$B$3</f>
        <v>179.412977450773</v>
      </c>
      <c r="M681" s="19" t="n">
        <f aca="false">L681/Assumptions!$B$4</f>
        <v>3.98695505446161</v>
      </c>
      <c r="N681" s="9" t="s">
        <v>1365</v>
      </c>
    </row>
    <row r="682" customFormat="false" ht="15" hidden="false" customHeight="false" outlineLevel="0" collapsed="false">
      <c r="A682" s="9" t="s">
        <v>2045</v>
      </c>
      <c r="B682" s="9" t="s">
        <v>767</v>
      </c>
      <c r="C682" s="9" t="str">
        <f aca="false">IFERROR(INDEX(Destination!$B$2:$B$501,MATCH(B682,Destination!$A$2:$A$501,0)),"")</f>
        <v>Kanha</v>
      </c>
      <c r="D682" s="9" t="s">
        <v>769</v>
      </c>
      <c r="E682" s="9" t="str">
        <f aca="false">IFERROR(INDEX(Destination!$B$2:$B$501,MATCH(D682,Destination!$A$2:$A$501,0)),"")</f>
        <v>Bandhavgarh</v>
      </c>
      <c r="F682" s="9" t="s">
        <v>1364</v>
      </c>
      <c r="G682" s="12" t="n">
        <f aca="false">INDEX(Destination!$F$2:$F$501,MATCH(B682,Destination!$A$2:$A$501,0))</f>
        <v>22.33</v>
      </c>
      <c r="H682" s="12" t="n">
        <f aca="false">INDEX(Destination!$G$2:$G$501,MATCH(B682,Destination!$A$2:$A$501,0))</f>
        <v>80.61</v>
      </c>
      <c r="I682" s="12" t="n">
        <f aca="false">INDEX(Destination!$F$2:$F$501,MATCH(D682,Destination!$A$2:$A$501,0))</f>
        <v>23.72</v>
      </c>
      <c r="J682" s="12" t="n">
        <f aca="false">INDEX(Destination!$G$2:$G$501,MATCH(D682,Destination!$A$2:$A$501,0))</f>
        <v>81.03</v>
      </c>
      <c r="K682" s="17" t="n">
        <f aca="false">Assumptions!$B$2*2*ASIN(SQRT(SIN(RADIANS(I682-G682)/2)^2+COS(RADIANS(G682))*COS(RADIANS(I682))*SIN(RADIANS(J682-H682)/2)^2))</f>
        <v>160.425498293987</v>
      </c>
      <c r="L682" s="18" t="n">
        <f aca="false">K682*Assumptions!$B$3</f>
        <v>208.553147782183</v>
      </c>
      <c r="M682" s="19" t="n">
        <f aca="false">L682/Assumptions!$B$4</f>
        <v>4.63451439515963</v>
      </c>
      <c r="N682" s="9" t="s">
        <v>1365</v>
      </c>
    </row>
    <row r="683" customFormat="false" ht="15" hidden="false" customHeight="false" outlineLevel="0" collapsed="false">
      <c r="A683" s="9" t="s">
        <v>2046</v>
      </c>
      <c r="B683" s="9" t="s">
        <v>767</v>
      </c>
      <c r="C683" s="9" t="str">
        <f aca="false">IFERROR(INDEX(Destination!$B$2:$B$501,MATCH(B683,Destination!$A$2:$A$501,0)),"")</f>
        <v>Kanha</v>
      </c>
      <c r="D683" s="9" t="s">
        <v>771</v>
      </c>
      <c r="E683" s="9" t="str">
        <f aca="false">IFERROR(INDEX(Destination!$B$2:$B$501,MATCH(D683,Destination!$A$2:$A$501,0)),"")</f>
        <v>Pench</v>
      </c>
      <c r="F683" s="9" t="s">
        <v>1364</v>
      </c>
      <c r="G683" s="12" t="n">
        <f aca="false">INDEX(Destination!$F$2:$F$501,MATCH(B683,Destination!$A$2:$A$501,0))</f>
        <v>22.33</v>
      </c>
      <c r="H683" s="12" t="n">
        <f aca="false">INDEX(Destination!$G$2:$G$501,MATCH(B683,Destination!$A$2:$A$501,0))</f>
        <v>80.61</v>
      </c>
      <c r="I683" s="12" t="n">
        <f aca="false">INDEX(Destination!$F$2:$F$501,MATCH(D683,Destination!$A$2:$A$501,0))</f>
        <v>21.7</v>
      </c>
      <c r="J683" s="12" t="n">
        <f aca="false">INDEX(Destination!$G$2:$G$501,MATCH(D683,Destination!$A$2:$A$501,0))</f>
        <v>79.3</v>
      </c>
      <c r="K683" s="17" t="n">
        <f aca="false">Assumptions!$B$2*2*ASIN(SQRT(SIN(RADIANS(I683-G683)/2)^2+COS(RADIANS(G683))*COS(RADIANS(I683))*SIN(RADIANS(J683-H683)/2)^2))</f>
        <v>152.131409536695</v>
      </c>
      <c r="L683" s="18" t="n">
        <f aca="false">K683*Assumptions!$B$3</f>
        <v>197.770832397704</v>
      </c>
      <c r="M683" s="19" t="n">
        <f aca="false">L683/Assumptions!$B$4</f>
        <v>4.39490738661564</v>
      </c>
      <c r="N683" s="9" t="s">
        <v>1365</v>
      </c>
    </row>
    <row r="684" customFormat="false" ht="15" hidden="false" customHeight="false" outlineLevel="0" collapsed="false">
      <c r="A684" s="9" t="s">
        <v>2047</v>
      </c>
      <c r="B684" s="9" t="s">
        <v>775</v>
      </c>
      <c r="C684" s="9" t="str">
        <f aca="false">IFERROR(INDEX(Destination!$B$2:$B$501,MATCH(B684,Destination!$A$2:$A$501,0)),"")</f>
        <v>Chanderi</v>
      </c>
      <c r="D684" s="9" t="s">
        <v>779</v>
      </c>
      <c r="E684" s="9" t="str">
        <f aca="false">IFERROR(INDEX(Destination!$B$2:$B$501,MATCH(D684,Destination!$A$2:$A$501,0)),"")</f>
        <v>Shivpuri</v>
      </c>
      <c r="F684" s="9" t="s">
        <v>1364</v>
      </c>
      <c r="G684" s="12" t="n">
        <f aca="false">INDEX(Destination!$F$2:$F$501,MATCH(B684,Destination!$A$2:$A$501,0))</f>
        <v>24.71</v>
      </c>
      <c r="H684" s="12" t="n">
        <f aca="false">INDEX(Destination!$G$2:$G$501,MATCH(B684,Destination!$A$2:$A$501,0))</f>
        <v>78.13</v>
      </c>
      <c r="I684" s="12" t="n">
        <f aca="false">INDEX(Destination!$F$2:$F$501,MATCH(D684,Destination!$A$2:$A$501,0))</f>
        <v>25.42</v>
      </c>
      <c r="J684" s="12" t="n">
        <f aca="false">INDEX(Destination!$G$2:$G$501,MATCH(D684,Destination!$A$2:$A$501,0))</f>
        <v>77.66</v>
      </c>
      <c r="K684" s="17" t="n">
        <f aca="false">Assumptions!$B$2*2*ASIN(SQRT(SIN(RADIANS(I684-G684)/2)^2+COS(RADIANS(G684))*COS(RADIANS(I684))*SIN(RADIANS(J684-H684)/2)^2))</f>
        <v>92.0536662489237</v>
      </c>
      <c r="L684" s="18" t="n">
        <f aca="false">K684*Assumptions!$B$3</f>
        <v>119.669766123601</v>
      </c>
      <c r="M684" s="19" t="n">
        <f aca="false">L684/Assumptions!$B$4</f>
        <v>2.65932813608002</v>
      </c>
      <c r="N684" s="9" t="s">
        <v>1365</v>
      </c>
    </row>
    <row r="685" customFormat="false" ht="15" hidden="false" customHeight="false" outlineLevel="0" collapsed="false">
      <c r="A685" s="9" t="s">
        <v>2048</v>
      </c>
      <c r="B685" s="9" t="s">
        <v>781</v>
      </c>
      <c r="C685" s="9" t="str">
        <f aca="false">IFERROR(INDEX(Destination!$B$2:$B$501,MATCH(B685,Destination!$A$2:$A$501,0)),"")</f>
        <v>Guwahati</v>
      </c>
      <c r="D685" s="9" t="s">
        <v>787</v>
      </c>
      <c r="E685" s="9" t="str">
        <f aca="false">IFERROR(INDEX(Destination!$B$2:$B$501,MATCH(D685,Destination!$A$2:$A$501,0)),"")</f>
        <v>Manas</v>
      </c>
      <c r="F685" s="9" t="s">
        <v>1364</v>
      </c>
      <c r="G685" s="12" t="n">
        <f aca="false">INDEX(Destination!$F$2:$F$501,MATCH(B685,Destination!$A$2:$A$501,0))</f>
        <v>26.14</v>
      </c>
      <c r="H685" s="12" t="n">
        <f aca="false">INDEX(Destination!$G$2:$G$501,MATCH(B685,Destination!$A$2:$A$501,0))</f>
        <v>91.74</v>
      </c>
      <c r="I685" s="12" t="n">
        <f aca="false">INDEX(Destination!$F$2:$F$501,MATCH(D685,Destination!$A$2:$A$501,0))</f>
        <v>26.72</v>
      </c>
      <c r="J685" s="12" t="n">
        <f aca="false">INDEX(Destination!$G$2:$G$501,MATCH(D685,Destination!$A$2:$A$501,0))</f>
        <v>91</v>
      </c>
      <c r="K685" s="17" t="n">
        <f aca="false">Assumptions!$B$2*2*ASIN(SQRT(SIN(RADIANS(I685-G685)/2)^2+COS(RADIANS(G685))*COS(RADIANS(I685))*SIN(RADIANS(J685-H685)/2)^2))</f>
        <v>97.9211986130095</v>
      </c>
      <c r="L685" s="18" t="n">
        <f aca="false">K685*Assumptions!$B$3</f>
        <v>127.297558196912</v>
      </c>
      <c r="M685" s="19" t="n">
        <f aca="false">L685/Assumptions!$B$4</f>
        <v>2.82883462659805</v>
      </c>
      <c r="N685" s="9" t="s">
        <v>1365</v>
      </c>
    </row>
    <row r="686" customFormat="false" ht="15" hidden="false" customHeight="false" outlineLevel="0" collapsed="false">
      <c r="A686" s="9" t="s">
        <v>2049</v>
      </c>
      <c r="B686" s="9" t="s">
        <v>781</v>
      </c>
      <c r="C686" s="9" t="str">
        <f aca="false">IFERROR(INDEX(Destination!$B$2:$B$501,MATCH(B686,Destination!$A$2:$A$501,0)),"")</f>
        <v>Guwahati</v>
      </c>
      <c r="D686" s="9" t="s">
        <v>801</v>
      </c>
      <c r="E686" s="9" t="str">
        <f aca="false">IFERROR(INDEX(Destination!$B$2:$B$501,MATCH(D686,Destination!$A$2:$A$501,0)),"")</f>
        <v>Hajo</v>
      </c>
      <c r="F686" s="9" t="s">
        <v>1364</v>
      </c>
      <c r="G686" s="12" t="n">
        <f aca="false">INDEX(Destination!$F$2:$F$501,MATCH(B686,Destination!$A$2:$A$501,0))</f>
        <v>26.14</v>
      </c>
      <c r="H686" s="12" t="n">
        <f aca="false">INDEX(Destination!$G$2:$G$501,MATCH(B686,Destination!$A$2:$A$501,0))</f>
        <v>91.74</v>
      </c>
      <c r="I686" s="12" t="n">
        <f aca="false">INDEX(Destination!$F$2:$F$501,MATCH(D686,Destination!$A$2:$A$501,0))</f>
        <v>26.24</v>
      </c>
      <c r="J686" s="12" t="n">
        <f aca="false">INDEX(Destination!$G$2:$G$501,MATCH(D686,Destination!$A$2:$A$501,0))</f>
        <v>91.53</v>
      </c>
      <c r="K686" s="17" t="n">
        <f aca="false">Assumptions!$B$2*2*ASIN(SQRT(SIN(RADIANS(I686-G686)/2)^2+COS(RADIANS(G686))*COS(RADIANS(I686))*SIN(RADIANS(J686-H686)/2)^2))</f>
        <v>23.7212361195709</v>
      </c>
      <c r="L686" s="18" t="n">
        <f aca="false">K686*Assumptions!$B$3</f>
        <v>30.8376069554422</v>
      </c>
      <c r="M686" s="19" t="n">
        <f aca="false">L686/Assumptions!$B$4</f>
        <v>0.685280154565382</v>
      </c>
      <c r="N686" s="9" t="s">
        <v>1365</v>
      </c>
    </row>
    <row r="687" customFormat="false" ht="15" hidden="false" customHeight="false" outlineLevel="0" collapsed="false">
      <c r="A687" s="9" t="s">
        <v>2050</v>
      </c>
      <c r="B687" s="9" t="s">
        <v>781</v>
      </c>
      <c r="C687" s="9" t="str">
        <f aca="false">IFERROR(INDEX(Destination!$B$2:$B$501,MATCH(B687,Destination!$A$2:$A$501,0)),"")</f>
        <v>Guwahati</v>
      </c>
      <c r="D687" s="9" t="s">
        <v>814</v>
      </c>
      <c r="E687" s="9" t="str">
        <f aca="false">IFERROR(INDEX(Destination!$B$2:$B$501,MATCH(D687,Destination!$A$2:$A$501,0)),"")</f>
        <v>Shillong</v>
      </c>
      <c r="F687" s="9" t="s">
        <v>1364</v>
      </c>
      <c r="G687" s="12" t="n">
        <f aca="false">INDEX(Destination!$F$2:$F$501,MATCH(B687,Destination!$A$2:$A$501,0))</f>
        <v>26.14</v>
      </c>
      <c r="H687" s="12" t="n">
        <f aca="false">INDEX(Destination!$G$2:$G$501,MATCH(B687,Destination!$A$2:$A$501,0))</f>
        <v>91.74</v>
      </c>
      <c r="I687" s="12" t="n">
        <f aca="false">INDEX(Destination!$F$2:$F$501,MATCH(D687,Destination!$A$2:$A$501,0))</f>
        <v>25.57</v>
      </c>
      <c r="J687" s="12" t="n">
        <f aca="false">INDEX(Destination!$G$2:$G$501,MATCH(D687,Destination!$A$2:$A$501,0))</f>
        <v>91.88</v>
      </c>
      <c r="K687" s="17" t="n">
        <f aca="false">Assumptions!$B$2*2*ASIN(SQRT(SIN(RADIANS(I687-G687)/2)^2+COS(RADIANS(G687))*COS(RADIANS(I687))*SIN(RADIANS(J687-H687)/2)^2))</f>
        <v>64.9108198820212</v>
      </c>
      <c r="L687" s="18" t="n">
        <f aca="false">K687*Assumptions!$B$3</f>
        <v>84.3840658466276</v>
      </c>
      <c r="M687" s="19" t="n">
        <f aca="false">L687/Assumptions!$B$4</f>
        <v>1.87520146325839</v>
      </c>
      <c r="N687" s="9" t="s">
        <v>1365</v>
      </c>
    </row>
    <row r="688" customFormat="false" ht="15" hidden="false" customHeight="false" outlineLevel="0" collapsed="false">
      <c r="A688" s="9" t="s">
        <v>2051</v>
      </c>
      <c r="B688" s="9" t="s">
        <v>781</v>
      </c>
      <c r="C688" s="9" t="str">
        <f aca="false">IFERROR(INDEX(Destination!$B$2:$B$501,MATCH(B688,Destination!$A$2:$A$501,0)),"")</f>
        <v>Guwahati</v>
      </c>
      <c r="D688" s="9" t="s">
        <v>817</v>
      </c>
      <c r="E688" s="9" t="str">
        <f aca="false">IFERROR(INDEX(Destination!$B$2:$B$501,MATCH(D688,Destination!$A$2:$A$501,0)),"")</f>
        <v>Cherrapunji/Sohra</v>
      </c>
      <c r="F688" s="9" t="s">
        <v>1364</v>
      </c>
      <c r="G688" s="12" t="n">
        <f aca="false">INDEX(Destination!$F$2:$F$501,MATCH(B688,Destination!$A$2:$A$501,0))</f>
        <v>26.14</v>
      </c>
      <c r="H688" s="12" t="n">
        <f aca="false">INDEX(Destination!$G$2:$G$501,MATCH(B688,Destination!$A$2:$A$501,0))</f>
        <v>91.74</v>
      </c>
      <c r="I688" s="12" t="n">
        <f aca="false">INDEX(Destination!$F$2:$F$501,MATCH(D688,Destination!$A$2:$A$501,0))</f>
        <v>25.27</v>
      </c>
      <c r="J688" s="12" t="n">
        <f aca="false">INDEX(Destination!$G$2:$G$501,MATCH(D688,Destination!$A$2:$A$501,0))</f>
        <v>91.73</v>
      </c>
      <c r="K688" s="17" t="n">
        <f aca="false">Assumptions!$B$2*2*ASIN(SQRT(SIN(RADIANS(I688-G688)/2)^2+COS(RADIANS(G688))*COS(RADIANS(I688))*SIN(RADIANS(J688-H688)/2)^2))</f>
        <v>96.7447741486574</v>
      </c>
      <c r="L688" s="18" t="n">
        <f aca="false">K688*Assumptions!$B$3</f>
        <v>125.768206393255</v>
      </c>
      <c r="M688" s="19" t="n">
        <f aca="false">L688/Assumptions!$B$4</f>
        <v>2.79484903096121</v>
      </c>
      <c r="N688" s="9" t="s">
        <v>1365</v>
      </c>
    </row>
    <row r="689" customFormat="false" ht="15" hidden="false" customHeight="false" outlineLevel="0" collapsed="false">
      <c r="A689" s="9" t="s">
        <v>2052</v>
      </c>
      <c r="B689" s="9" t="s">
        <v>785</v>
      </c>
      <c r="C689" s="9" t="str">
        <f aca="false">IFERROR(INDEX(Destination!$B$2:$B$501,MATCH(B689,Destination!$A$2:$A$501,0)),"")</f>
        <v>Kaziranga</v>
      </c>
      <c r="D689" s="9" t="s">
        <v>793</v>
      </c>
      <c r="E689" s="9" t="str">
        <f aca="false">IFERROR(INDEX(Destination!$B$2:$B$501,MATCH(D689,Destination!$A$2:$A$501,0)),"")</f>
        <v>Jorhat</v>
      </c>
      <c r="F689" s="9" t="s">
        <v>1364</v>
      </c>
      <c r="G689" s="12" t="n">
        <f aca="false">INDEX(Destination!$F$2:$F$501,MATCH(B689,Destination!$A$2:$A$501,0))</f>
        <v>26.58</v>
      </c>
      <c r="H689" s="12" t="n">
        <f aca="false">INDEX(Destination!$G$2:$G$501,MATCH(B689,Destination!$A$2:$A$501,0))</f>
        <v>93.17</v>
      </c>
      <c r="I689" s="12" t="n">
        <f aca="false">INDEX(Destination!$F$2:$F$501,MATCH(D689,Destination!$A$2:$A$501,0))</f>
        <v>26.75</v>
      </c>
      <c r="J689" s="12" t="n">
        <f aca="false">INDEX(Destination!$G$2:$G$501,MATCH(D689,Destination!$A$2:$A$501,0))</f>
        <v>94.2</v>
      </c>
      <c r="K689" s="17" t="n">
        <f aca="false">Assumptions!$B$2*2*ASIN(SQRT(SIN(RADIANS(I689-G689)/2)^2+COS(RADIANS(G689))*COS(RADIANS(I689))*SIN(RADIANS(J689-H689)/2)^2))</f>
        <v>104.080580242099</v>
      </c>
      <c r="L689" s="18" t="n">
        <f aca="false">K689*Assumptions!$B$3</f>
        <v>135.304754314728</v>
      </c>
      <c r="M689" s="19" t="n">
        <f aca="false">L689/Assumptions!$B$4</f>
        <v>3.00677231810508</v>
      </c>
      <c r="N689" s="9" t="s">
        <v>1365</v>
      </c>
    </row>
    <row r="690" customFormat="false" ht="15" hidden="false" customHeight="false" outlineLevel="0" collapsed="false">
      <c r="A690" s="9" t="s">
        <v>2053</v>
      </c>
      <c r="B690" s="9" t="s">
        <v>785</v>
      </c>
      <c r="C690" s="9" t="str">
        <f aca="false">IFERROR(INDEX(Destination!$B$2:$B$501,MATCH(B690,Destination!$A$2:$A$501,0)),"")</f>
        <v>Kaziranga</v>
      </c>
      <c r="D690" s="9" t="s">
        <v>797</v>
      </c>
      <c r="E690" s="9" t="str">
        <f aca="false">IFERROR(INDEX(Destination!$B$2:$B$501,MATCH(D690,Destination!$A$2:$A$501,0)),"")</f>
        <v>Tezpur</v>
      </c>
      <c r="F690" s="9" t="s">
        <v>1364</v>
      </c>
      <c r="G690" s="12" t="n">
        <f aca="false">INDEX(Destination!$F$2:$F$501,MATCH(B690,Destination!$A$2:$A$501,0))</f>
        <v>26.58</v>
      </c>
      <c r="H690" s="12" t="n">
        <f aca="false">INDEX(Destination!$G$2:$G$501,MATCH(B690,Destination!$A$2:$A$501,0))</f>
        <v>93.17</v>
      </c>
      <c r="I690" s="12" t="n">
        <f aca="false">INDEX(Destination!$F$2:$F$501,MATCH(D690,Destination!$A$2:$A$501,0))</f>
        <v>26.63</v>
      </c>
      <c r="J690" s="12" t="n">
        <f aca="false">INDEX(Destination!$G$2:$G$501,MATCH(D690,Destination!$A$2:$A$501,0))</f>
        <v>92.8</v>
      </c>
      <c r="K690" s="17" t="n">
        <f aca="false">Assumptions!$B$2*2*ASIN(SQRT(SIN(RADIANS(I690-G690)/2)^2+COS(RADIANS(G690))*COS(RADIANS(I690))*SIN(RADIANS(J690-H690)/2)^2))</f>
        <v>37.2035543022265</v>
      </c>
      <c r="L690" s="18" t="n">
        <f aca="false">K690*Assumptions!$B$3</f>
        <v>48.3646205928945</v>
      </c>
      <c r="M690" s="19" t="n">
        <f aca="false">L690/Assumptions!$B$4</f>
        <v>1.07476934650877</v>
      </c>
      <c r="N690" s="9" t="s">
        <v>1365</v>
      </c>
    </row>
    <row r="691" customFormat="false" ht="15" hidden="false" customHeight="false" outlineLevel="0" collapsed="false">
      <c r="A691" s="9" t="s">
        <v>2054</v>
      </c>
      <c r="B691" s="9" t="s">
        <v>785</v>
      </c>
      <c r="C691" s="9" t="str">
        <f aca="false">IFERROR(INDEX(Destination!$B$2:$B$501,MATCH(B691,Destination!$A$2:$A$501,0)),"")</f>
        <v>Kaziranga</v>
      </c>
      <c r="D691" s="9" t="s">
        <v>812</v>
      </c>
      <c r="E691" s="9" t="str">
        <f aca="false">IFERROR(INDEX(Destination!$B$2:$B$501,MATCH(D691,Destination!$A$2:$A$501,0)),"")</f>
        <v>Itanagar</v>
      </c>
      <c r="F691" s="9" t="s">
        <v>1364</v>
      </c>
      <c r="G691" s="12" t="n">
        <f aca="false">INDEX(Destination!$F$2:$F$501,MATCH(B691,Destination!$A$2:$A$501,0))</f>
        <v>26.58</v>
      </c>
      <c r="H691" s="12" t="n">
        <f aca="false">INDEX(Destination!$G$2:$G$501,MATCH(B691,Destination!$A$2:$A$501,0))</f>
        <v>93.17</v>
      </c>
      <c r="I691" s="12" t="n">
        <f aca="false">INDEX(Destination!$F$2:$F$501,MATCH(D691,Destination!$A$2:$A$501,0))</f>
        <v>27.09</v>
      </c>
      <c r="J691" s="12" t="n">
        <f aca="false">INDEX(Destination!$G$2:$G$501,MATCH(D691,Destination!$A$2:$A$501,0))</f>
        <v>93.62</v>
      </c>
      <c r="K691" s="17" t="n">
        <f aca="false">Assumptions!$B$2*2*ASIN(SQRT(SIN(RADIANS(I691-G691)/2)^2+COS(RADIANS(G691))*COS(RADIANS(I691))*SIN(RADIANS(J691-H691)/2)^2))</f>
        <v>72.176728903503</v>
      </c>
      <c r="L691" s="18" t="n">
        <f aca="false">K691*Assumptions!$B$3</f>
        <v>93.8297475745538</v>
      </c>
      <c r="M691" s="19" t="n">
        <f aca="false">L691/Assumptions!$B$4</f>
        <v>2.08510550165675</v>
      </c>
      <c r="N691" s="9" t="s">
        <v>1365</v>
      </c>
    </row>
    <row r="692" customFormat="false" ht="15" hidden="false" customHeight="false" outlineLevel="0" collapsed="false">
      <c r="A692" s="9" t="s">
        <v>2055</v>
      </c>
      <c r="B692" s="9" t="s">
        <v>787</v>
      </c>
      <c r="C692" s="9" t="str">
        <f aca="false">IFERROR(INDEX(Destination!$B$2:$B$501,MATCH(B692,Destination!$A$2:$A$501,0)),"")</f>
        <v>Manas</v>
      </c>
      <c r="D692" s="9" t="s">
        <v>801</v>
      </c>
      <c r="E692" s="9" t="str">
        <f aca="false">IFERROR(INDEX(Destination!$B$2:$B$501,MATCH(D692,Destination!$A$2:$A$501,0)),"")</f>
        <v>Hajo</v>
      </c>
      <c r="F692" s="9" t="s">
        <v>1364</v>
      </c>
      <c r="G692" s="12" t="n">
        <f aca="false">INDEX(Destination!$F$2:$F$501,MATCH(B692,Destination!$A$2:$A$501,0))</f>
        <v>26.72</v>
      </c>
      <c r="H692" s="12" t="n">
        <f aca="false">INDEX(Destination!$G$2:$G$501,MATCH(B692,Destination!$A$2:$A$501,0))</f>
        <v>91</v>
      </c>
      <c r="I692" s="12" t="n">
        <f aca="false">INDEX(Destination!$F$2:$F$501,MATCH(D692,Destination!$A$2:$A$501,0))</f>
        <v>26.24</v>
      </c>
      <c r="J692" s="12" t="n">
        <f aca="false">INDEX(Destination!$G$2:$G$501,MATCH(D692,Destination!$A$2:$A$501,0))</f>
        <v>91.53</v>
      </c>
      <c r="K692" s="17" t="n">
        <f aca="false">Assumptions!$B$2*2*ASIN(SQRT(SIN(RADIANS(I692-G692)/2)^2+COS(RADIANS(G692))*COS(RADIANS(I692))*SIN(RADIANS(J692-H692)/2)^2))</f>
        <v>75.0422087532805</v>
      </c>
      <c r="L692" s="18" t="n">
        <f aca="false">K692*Assumptions!$B$3</f>
        <v>97.5548713792647</v>
      </c>
      <c r="M692" s="19" t="n">
        <f aca="false">L692/Assumptions!$B$4</f>
        <v>2.16788603065033</v>
      </c>
      <c r="N692" s="9" t="s">
        <v>1365</v>
      </c>
    </row>
    <row r="693" customFormat="false" ht="15" hidden="false" customHeight="false" outlineLevel="0" collapsed="false">
      <c r="A693" s="9" t="s">
        <v>2056</v>
      </c>
      <c r="B693" s="9" t="s">
        <v>787</v>
      </c>
      <c r="C693" s="9" t="str">
        <f aca="false">IFERROR(INDEX(Destination!$B$2:$B$501,MATCH(B693,Destination!$A$2:$A$501,0)),"")</f>
        <v>Manas</v>
      </c>
      <c r="D693" s="9" t="s">
        <v>803</v>
      </c>
      <c r="E693" s="9" t="str">
        <f aca="false">IFERROR(INDEX(Destination!$B$2:$B$501,MATCH(D693,Destination!$A$2:$A$501,0)),"")</f>
        <v>Tawang</v>
      </c>
      <c r="F693" s="9" t="s">
        <v>1364</v>
      </c>
      <c r="G693" s="12" t="n">
        <f aca="false">INDEX(Destination!$F$2:$F$501,MATCH(B693,Destination!$A$2:$A$501,0))</f>
        <v>26.72</v>
      </c>
      <c r="H693" s="12" t="n">
        <f aca="false">INDEX(Destination!$G$2:$G$501,MATCH(B693,Destination!$A$2:$A$501,0))</f>
        <v>91</v>
      </c>
      <c r="I693" s="12" t="n">
        <f aca="false">INDEX(Destination!$F$2:$F$501,MATCH(D693,Destination!$A$2:$A$501,0))</f>
        <v>27.59</v>
      </c>
      <c r="J693" s="12" t="n">
        <f aca="false">INDEX(Destination!$G$2:$G$501,MATCH(D693,Destination!$A$2:$A$501,0))</f>
        <v>91.86</v>
      </c>
      <c r="K693" s="17" t="n">
        <f aca="false">Assumptions!$B$2*2*ASIN(SQRT(SIN(RADIANS(I693-G693)/2)^2+COS(RADIANS(G693))*COS(RADIANS(I693))*SIN(RADIANS(J693-H693)/2)^2))</f>
        <v>128.83354873816</v>
      </c>
      <c r="L693" s="18" t="n">
        <f aca="false">K693*Assumptions!$B$3</f>
        <v>167.483613359608</v>
      </c>
      <c r="M693" s="19" t="n">
        <f aca="false">L693/Assumptions!$B$4</f>
        <v>3.72185807465797</v>
      </c>
      <c r="N693" s="9" t="s">
        <v>1365</v>
      </c>
    </row>
    <row r="694" customFormat="false" ht="15" hidden="false" customHeight="false" outlineLevel="0" collapsed="false">
      <c r="A694" s="9" t="s">
        <v>2057</v>
      </c>
      <c r="B694" s="9" t="s">
        <v>791</v>
      </c>
      <c r="C694" s="9" t="str">
        <f aca="false">IFERROR(INDEX(Destination!$B$2:$B$501,MATCH(B694,Destination!$A$2:$A$501,0)),"")</f>
        <v>Sivasagar</v>
      </c>
      <c r="D694" s="9" t="s">
        <v>793</v>
      </c>
      <c r="E694" s="9" t="str">
        <f aca="false">IFERROR(INDEX(Destination!$B$2:$B$501,MATCH(D694,Destination!$A$2:$A$501,0)),"")</f>
        <v>Jorhat</v>
      </c>
      <c r="F694" s="9" t="s">
        <v>1364</v>
      </c>
      <c r="G694" s="12" t="n">
        <f aca="false">INDEX(Destination!$F$2:$F$501,MATCH(B694,Destination!$A$2:$A$501,0))</f>
        <v>26.98</v>
      </c>
      <c r="H694" s="12" t="n">
        <f aca="false">INDEX(Destination!$G$2:$G$501,MATCH(B694,Destination!$A$2:$A$501,0))</f>
        <v>94.64</v>
      </c>
      <c r="I694" s="12" t="n">
        <f aca="false">INDEX(Destination!$F$2:$F$501,MATCH(D694,Destination!$A$2:$A$501,0))</f>
        <v>26.75</v>
      </c>
      <c r="J694" s="12" t="n">
        <f aca="false">INDEX(Destination!$G$2:$G$501,MATCH(D694,Destination!$A$2:$A$501,0))</f>
        <v>94.2</v>
      </c>
      <c r="K694" s="17" t="n">
        <f aca="false">Assumptions!$B$2*2*ASIN(SQRT(SIN(RADIANS(I694-G694)/2)^2+COS(RADIANS(G694))*COS(RADIANS(I694))*SIN(RADIANS(J694-H694)/2)^2))</f>
        <v>50.5864205562528</v>
      </c>
      <c r="L694" s="18" t="n">
        <f aca="false">K694*Assumptions!$B$3</f>
        <v>65.7623467231286</v>
      </c>
      <c r="M694" s="19" t="n">
        <f aca="false">L694/Assumptions!$B$4</f>
        <v>1.46138548273619</v>
      </c>
      <c r="N694" s="9" t="s">
        <v>1365</v>
      </c>
    </row>
    <row r="695" customFormat="false" ht="15" hidden="false" customHeight="false" outlineLevel="0" collapsed="false">
      <c r="A695" s="9" t="s">
        <v>2058</v>
      </c>
      <c r="B695" s="9" t="s">
        <v>791</v>
      </c>
      <c r="C695" s="9" t="str">
        <f aca="false">IFERROR(INDEX(Destination!$B$2:$B$501,MATCH(B695,Destination!$A$2:$A$501,0)),"")</f>
        <v>Sivasagar</v>
      </c>
      <c r="D695" s="9" t="s">
        <v>799</v>
      </c>
      <c r="E695" s="9" t="str">
        <f aca="false">IFERROR(INDEX(Destination!$B$2:$B$501,MATCH(D695,Destination!$A$2:$A$501,0)),"")</f>
        <v>Dibrugarh</v>
      </c>
      <c r="F695" s="9" t="s">
        <v>1364</v>
      </c>
      <c r="G695" s="12" t="n">
        <f aca="false">INDEX(Destination!$F$2:$F$501,MATCH(B695,Destination!$A$2:$A$501,0))</f>
        <v>26.98</v>
      </c>
      <c r="H695" s="12" t="n">
        <f aca="false">INDEX(Destination!$G$2:$G$501,MATCH(B695,Destination!$A$2:$A$501,0))</f>
        <v>94.64</v>
      </c>
      <c r="I695" s="12" t="n">
        <f aca="false">INDEX(Destination!$F$2:$F$501,MATCH(D695,Destination!$A$2:$A$501,0))</f>
        <v>27.48</v>
      </c>
      <c r="J695" s="12" t="n">
        <f aca="false">INDEX(Destination!$G$2:$G$501,MATCH(D695,Destination!$A$2:$A$501,0))</f>
        <v>94.91</v>
      </c>
      <c r="K695" s="17" t="n">
        <f aca="false">Assumptions!$B$2*2*ASIN(SQRT(SIN(RADIANS(I695-G695)/2)^2+COS(RADIANS(G695))*COS(RADIANS(I695))*SIN(RADIANS(J695-H695)/2)^2))</f>
        <v>61.6742693814435</v>
      </c>
      <c r="L695" s="18" t="n">
        <f aca="false">K695*Assumptions!$B$3</f>
        <v>80.1765501958765</v>
      </c>
      <c r="M695" s="19" t="n">
        <f aca="false">L695/Assumptions!$B$4</f>
        <v>1.78170111546392</v>
      </c>
      <c r="N695" s="9" t="s">
        <v>1365</v>
      </c>
    </row>
    <row r="696" customFormat="false" ht="15" hidden="false" customHeight="false" outlineLevel="0" collapsed="false">
      <c r="A696" s="9" t="s">
        <v>2059</v>
      </c>
      <c r="B696" s="9" t="s">
        <v>791</v>
      </c>
      <c r="C696" s="9" t="str">
        <f aca="false">IFERROR(INDEX(Destination!$B$2:$B$501,MATCH(B696,Destination!$A$2:$A$501,0)),"")</f>
        <v>Sivasagar</v>
      </c>
      <c r="D696" s="9" t="s">
        <v>806</v>
      </c>
      <c r="E696" s="9" t="str">
        <f aca="false">IFERROR(INDEX(Destination!$B$2:$B$501,MATCH(D696,Destination!$A$2:$A$501,0)),"")</f>
        <v>Ziro</v>
      </c>
      <c r="F696" s="9" t="s">
        <v>1364</v>
      </c>
      <c r="G696" s="12" t="n">
        <f aca="false">INDEX(Destination!$F$2:$F$501,MATCH(B696,Destination!$A$2:$A$501,0))</f>
        <v>26.98</v>
      </c>
      <c r="H696" s="12" t="n">
        <f aca="false">INDEX(Destination!$G$2:$G$501,MATCH(B696,Destination!$A$2:$A$501,0))</f>
        <v>94.64</v>
      </c>
      <c r="I696" s="12" t="n">
        <f aca="false">INDEX(Destination!$F$2:$F$501,MATCH(D696,Destination!$A$2:$A$501,0))</f>
        <v>27.55</v>
      </c>
      <c r="J696" s="12" t="n">
        <f aca="false">INDEX(Destination!$G$2:$G$501,MATCH(D696,Destination!$A$2:$A$501,0))</f>
        <v>93.83</v>
      </c>
      <c r="K696" s="17" t="n">
        <f aca="false">Assumptions!$B$2*2*ASIN(SQRT(SIN(RADIANS(I696-G696)/2)^2+COS(RADIANS(G696))*COS(RADIANS(I696))*SIN(RADIANS(J696-H696)/2)^2))</f>
        <v>102.111836290627</v>
      </c>
      <c r="L696" s="18" t="n">
        <f aca="false">K696*Assumptions!$B$3</f>
        <v>132.745387177815</v>
      </c>
      <c r="M696" s="19" t="n">
        <f aca="false">L696/Assumptions!$B$4</f>
        <v>2.94989749284033</v>
      </c>
      <c r="N696" s="9" t="s">
        <v>1365</v>
      </c>
    </row>
    <row r="697" customFormat="false" ht="15" hidden="false" customHeight="false" outlineLevel="0" collapsed="false">
      <c r="A697" s="9" t="s">
        <v>2060</v>
      </c>
      <c r="B697" s="9" t="s">
        <v>791</v>
      </c>
      <c r="C697" s="9" t="str">
        <f aca="false">IFERROR(INDEX(Destination!$B$2:$B$501,MATCH(B697,Destination!$A$2:$A$501,0)),"")</f>
        <v>Sivasagar</v>
      </c>
      <c r="D697" s="9" t="s">
        <v>812</v>
      </c>
      <c r="E697" s="9" t="str">
        <f aca="false">IFERROR(INDEX(Destination!$B$2:$B$501,MATCH(D697,Destination!$A$2:$A$501,0)),"")</f>
        <v>Itanagar</v>
      </c>
      <c r="F697" s="9" t="s">
        <v>1364</v>
      </c>
      <c r="G697" s="12" t="n">
        <f aca="false">INDEX(Destination!$F$2:$F$501,MATCH(B697,Destination!$A$2:$A$501,0))</f>
        <v>26.98</v>
      </c>
      <c r="H697" s="12" t="n">
        <f aca="false">INDEX(Destination!$G$2:$G$501,MATCH(B697,Destination!$A$2:$A$501,0))</f>
        <v>94.64</v>
      </c>
      <c r="I697" s="12" t="n">
        <f aca="false">INDEX(Destination!$F$2:$F$501,MATCH(D697,Destination!$A$2:$A$501,0))</f>
        <v>27.09</v>
      </c>
      <c r="J697" s="12" t="n">
        <f aca="false">INDEX(Destination!$G$2:$G$501,MATCH(D697,Destination!$A$2:$A$501,0))</f>
        <v>93.62</v>
      </c>
      <c r="K697" s="17" t="n">
        <f aca="false">Assumptions!$B$2*2*ASIN(SQRT(SIN(RADIANS(I697-G697)/2)^2+COS(RADIANS(G697))*COS(RADIANS(I697))*SIN(RADIANS(J697-H697)/2)^2))</f>
        <v>101.762893402052</v>
      </c>
      <c r="L697" s="18" t="n">
        <f aca="false">K697*Assumptions!$B$3</f>
        <v>132.291761422668</v>
      </c>
      <c r="M697" s="19" t="n">
        <f aca="false">L697/Assumptions!$B$4</f>
        <v>2.93981692050373</v>
      </c>
      <c r="N697" s="9" t="s">
        <v>1365</v>
      </c>
    </row>
    <row r="698" customFormat="false" ht="15" hidden="false" customHeight="false" outlineLevel="0" collapsed="false">
      <c r="A698" s="9" t="s">
        <v>2061</v>
      </c>
      <c r="B698" s="9" t="s">
        <v>793</v>
      </c>
      <c r="C698" s="9" t="str">
        <f aca="false">IFERROR(INDEX(Destination!$B$2:$B$501,MATCH(B698,Destination!$A$2:$A$501,0)),"")</f>
        <v>Jorhat</v>
      </c>
      <c r="D698" s="9" t="s">
        <v>799</v>
      </c>
      <c r="E698" s="9" t="str">
        <f aca="false">IFERROR(INDEX(Destination!$B$2:$B$501,MATCH(D698,Destination!$A$2:$A$501,0)),"")</f>
        <v>Dibrugarh</v>
      </c>
      <c r="F698" s="9" t="s">
        <v>1364</v>
      </c>
      <c r="G698" s="12" t="n">
        <f aca="false">INDEX(Destination!$F$2:$F$501,MATCH(B698,Destination!$A$2:$A$501,0))</f>
        <v>26.75</v>
      </c>
      <c r="H698" s="12" t="n">
        <f aca="false">INDEX(Destination!$G$2:$G$501,MATCH(B698,Destination!$A$2:$A$501,0))</f>
        <v>94.2</v>
      </c>
      <c r="I698" s="12" t="n">
        <f aca="false">INDEX(Destination!$F$2:$F$501,MATCH(D698,Destination!$A$2:$A$501,0))</f>
        <v>27.48</v>
      </c>
      <c r="J698" s="12" t="n">
        <f aca="false">INDEX(Destination!$G$2:$G$501,MATCH(D698,Destination!$A$2:$A$501,0))</f>
        <v>94.91</v>
      </c>
      <c r="K698" s="17" t="n">
        <f aca="false">Assumptions!$B$2*2*ASIN(SQRT(SIN(RADIANS(I698-G698)/2)^2+COS(RADIANS(G698))*COS(RADIANS(I698))*SIN(RADIANS(J698-H698)/2)^2))</f>
        <v>107.363340494583</v>
      </c>
      <c r="L698" s="18" t="n">
        <f aca="false">K698*Assumptions!$B$3</f>
        <v>139.572342642958</v>
      </c>
      <c r="M698" s="19" t="n">
        <f aca="false">L698/Assumptions!$B$4</f>
        <v>3.10160761428795</v>
      </c>
      <c r="N698" s="9" t="s">
        <v>1365</v>
      </c>
    </row>
    <row r="699" customFormat="false" ht="15" hidden="false" customHeight="false" outlineLevel="0" collapsed="false">
      <c r="A699" s="9" t="s">
        <v>2062</v>
      </c>
      <c r="B699" s="9" t="s">
        <v>793</v>
      </c>
      <c r="C699" s="9" t="str">
        <f aca="false">IFERROR(INDEX(Destination!$B$2:$B$501,MATCH(B699,Destination!$A$2:$A$501,0)),"")</f>
        <v>Jorhat</v>
      </c>
      <c r="D699" s="9" t="s">
        <v>806</v>
      </c>
      <c r="E699" s="9" t="str">
        <f aca="false">IFERROR(INDEX(Destination!$B$2:$B$501,MATCH(D699,Destination!$A$2:$A$501,0)),"")</f>
        <v>Ziro</v>
      </c>
      <c r="F699" s="9" t="s">
        <v>1364</v>
      </c>
      <c r="G699" s="12" t="n">
        <f aca="false">INDEX(Destination!$F$2:$F$501,MATCH(B699,Destination!$A$2:$A$501,0))</f>
        <v>26.75</v>
      </c>
      <c r="H699" s="12" t="n">
        <f aca="false">INDEX(Destination!$G$2:$G$501,MATCH(B699,Destination!$A$2:$A$501,0))</f>
        <v>94.2</v>
      </c>
      <c r="I699" s="12" t="n">
        <f aca="false">INDEX(Destination!$F$2:$F$501,MATCH(D699,Destination!$A$2:$A$501,0))</f>
        <v>27.55</v>
      </c>
      <c r="J699" s="12" t="n">
        <f aca="false">INDEX(Destination!$G$2:$G$501,MATCH(D699,Destination!$A$2:$A$501,0))</f>
        <v>93.83</v>
      </c>
      <c r="K699" s="17" t="n">
        <f aca="false">Assumptions!$B$2*2*ASIN(SQRT(SIN(RADIANS(I699-G699)/2)^2+COS(RADIANS(G699))*COS(RADIANS(I699))*SIN(RADIANS(J699-H699)/2)^2))</f>
        <v>96.1942269974826</v>
      </c>
      <c r="L699" s="18" t="n">
        <f aca="false">K699*Assumptions!$B$3</f>
        <v>125.052495096727</v>
      </c>
      <c r="M699" s="19" t="n">
        <f aca="false">L699/Assumptions!$B$4</f>
        <v>2.77894433548283</v>
      </c>
      <c r="N699" s="9" t="s">
        <v>1365</v>
      </c>
    </row>
    <row r="700" customFormat="false" ht="15" hidden="false" customHeight="false" outlineLevel="0" collapsed="false">
      <c r="A700" s="9" t="s">
        <v>2063</v>
      </c>
      <c r="B700" s="9" t="s">
        <v>793</v>
      </c>
      <c r="C700" s="9" t="str">
        <f aca="false">IFERROR(INDEX(Destination!$B$2:$B$501,MATCH(B700,Destination!$A$2:$A$501,0)),"")</f>
        <v>Jorhat</v>
      </c>
      <c r="D700" s="9" t="s">
        <v>812</v>
      </c>
      <c r="E700" s="9" t="str">
        <f aca="false">IFERROR(INDEX(Destination!$B$2:$B$501,MATCH(D700,Destination!$A$2:$A$501,0)),"")</f>
        <v>Itanagar</v>
      </c>
      <c r="F700" s="9" t="s">
        <v>1364</v>
      </c>
      <c r="G700" s="12" t="n">
        <f aca="false">INDEX(Destination!$F$2:$F$501,MATCH(B700,Destination!$A$2:$A$501,0))</f>
        <v>26.75</v>
      </c>
      <c r="H700" s="12" t="n">
        <f aca="false">INDEX(Destination!$G$2:$G$501,MATCH(B700,Destination!$A$2:$A$501,0))</f>
        <v>94.2</v>
      </c>
      <c r="I700" s="12" t="n">
        <f aca="false">INDEX(Destination!$F$2:$F$501,MATCH(D700,Destination!$A$2:$A$501,0))</f>
        <v>27.09</v>
      </c>
      <c r="J700" s="12" t="n">
        <f aca="false">INDEX(Destination!$G$2:$G$501,MATCH(D700,Destination!$A$2:$A$501,0))</f>
        <v>93.62</v>
      </c>
      <c r="K700" s="17" t="n">
        <f aca="false">Assumptions!$B$2*2*ASIN(SQRT(SIN(RADIANS(I700-G700)/2)^2+COS(RADIANS(G700))*COS(RADIANS(I700))*SIN(RADIANS(J700-H700)/2)^2))</f>
        <v>68.8190809964021</v>
      </c>
      <c r="L700" s="18" t="n">
        <f aca="false">K700*Assumptions!$B$3</f>
        <v>89.4648052953228</v>
      </c>
      <c r="M700" s="19" t="n">
        <f aca="false">L700/Assumptions!$B$4</f>
        <v>1.98810678434051</v>
      </c>
      <c r="N700" s="9" t="s">
        <v>1365</v>
      </c>
    </row>
    <row r="701" customFormat="false" ht="15" hidden="false" customHeight="false" outlineLevel="0" collapsed="false">
      <c r="A701" s="9" t="s">
        <v>2064</v>
      </c>
      <c r="B701" s="9" t="s">
        <v>795</v>
      </c>
      <c r="C701" s="9" t="str">
        <f aca="false">IFERROR(INDEX(Destination!$B$2:$B$501,MATCH(B701,Destination!$A$2:$A$501,0)),"")</f>
        <v>Haflong</v>
      </c>
      <c r="D701" s="9" t="s">
        <v>822</v>
      </c>
      <c r="E701" s="9" t="str">
        <f aca="false">IFERROR(INDEX(Destination!$B$2:$B$501,MATCH(D701,Destination!$A$2:$A$501,0)),"")</f>
        <v>Dawki</v>
      </c>
      <c r="F701" s="9" t="s">
        <v>1364</v>
      </c>
      <c r="G701" s="12" t="n">
        <f aca="false">INDEX(Destination!$F$2:$F$501,MATCH(B701,Destination!$A$2:$A$501,0))</f>
        <v>25.17</v>
      </c>
      <c r="H701" s="12" t="n">
        <f aca="false">INDEX(Destination!$G$2:$G$501,MATCH(B701,Destination!$A$2:$A$501,0))</f>
        <v>93.02</v>
      </c>
      <c r="I701" s="12" t="n">
        <f aca="false">INDEX(Destination!$F$2:$F$501,MATCH(D701,Destination!$A$2:$A$501,0))</f>
        <v>25.19</v>
      </c>
      <c r="J701" s="12" t="n">
        <f aca="false">INDEX(Destination!$G$2:$G$501,MATCH(D701,Destination!$A$2:$A$501,0))</f>
        <v>92.02</v>
      </c>
      <c r="K701" s="17" t="n">
        <f aca="false">Assumptions!$B$2*2*ASIN(SQRT(SIN(RADIANS(I701-G701)/2)^2+COS(RADIANS(G701))*COS(RADIANS(I701))*SIN(RADIANS(J701-H701)/2)^2))</f>
        <v>100.653037069016</v>
      </c>
      <c r="L701" s="18" t="n">
        <f aca="false">K701*Assumptions!$B$3</f>
        <v>130.848948189721</v>
      </c>
      <c r="M701" s="19" t="n">
        <f aca="false">L701/Assumptions!$B$4</f>
        <v>2.90775440421602</v>
      </c>
      <c r="N701" s="9" t="s">
        <v>1365</v>
      </c>
    </row>
    <row r="702" customFormat="false" ht="15" hidden="false" customHeight="false" outlineLevel="0" collapsed="false">
      <c r="A702" s="9" t="s">
        <v>2065</v>
      </c>
      <c r="B702" s="9" t="s">
        <v>795</v>
      </c>
      <c r="C702" s="9" t="str">
        <f aca="false">IFERROR(INDEX(Destination!$B$2:$B$501,MATCH(B702,Destination!$A$2:$A$501,0)),"")</f>
        <v>Haflong</v>
      </c>
      <c r="D702" s="9" t="s">
        <v>834</v>
      </c>
      <c r="E702" s="9" t="str">
        <f aca="false">IFERROR(INDEX(Destination!$B$2:$B$501,MATCH(D702,Destination!$A$2:$A$501,0)),"")</f>
        <v>Imphal</v>
      </c>
      <c r="F702" s="9" t="s">
        <v>1364</v>
      </c>
      <c r="G702" s="12" t="n">
        <f aca="false">INDEX(Destination!$F$2:$F$501,MATCH(B702,Destination!$A$2:$A$501,0))</f>
        <v>25.17</v>
      </c>
      <c r="H702" s="12" t="n">
        <f aca="false">INDEX(Destination!$G$2:$G$501,MATCH(B702,Destination!$A$2:$A$501,0))</f>
        <v>93.02</v>
      </c>
      <c r="I702" s="12" t="n">
        <f aca="false">INDEX(Destination!$F$2:$F$501,MATCH(D702,Destination!$A$2:$A$501,0))</f>
        <v>24.82</v>
      </c>
      <c r="J702" s="12" t="n">
        <f aca="false">INDEX(Destination!$G$2:$G$501,MATCH(D702,Destination!$A$2:$A$501,0))</f>
        <v>93.94</v>
      </c>
      <c r="K702" s="17" t="n">
        <f aca="false">Assumptions!$B$2*2*ASIN(SQRT(SIN(RADIANS(I702-G702)/2)^2+COS(RADIANS(G702))*COS(RADIANS(I702))*SIN(RADIANS(J702-H702)/2)^2))</f>
        <v>100.554775041488</v>
      </c>
      <c r="L702" s="18" t="n">
        <f aca="false">K702*Assumptions!$B$3</f>
        <v>130.721207553934</v>
      </c>
      <c r="M702" s="19" t="n">
        <f aca="false">L702/Assumptions!$B$4</f>
        <v>2.90491572342076</v>
      </c>
      <c r="N702" s="9" t="s">
        <v>1365</v>
      </c>
    </row>
    <row r="703" customFormat="false" ht="15" hidden="false" customHeight="false" outlineLevel="0" collapsed="false">
      <c r="A703" s="9" t="s">
        <v>2066</v>
      </c>
      <c r="B703" s="9" t="s">
        <v>795</v>
      </c>
      <c r="C703" s="9" t="str">
        <f aca="false">IFERROR(INDEX(Destination!$B$2:$B$501,MATCH(B703,Destination!$A$2:$A$501,0)),"")</f>
        <v>Haflong</v>
      </c>
      <c r="D703" s="9" t="s">
        <v>837</v>
      </c>
      <c r="E703" s="9" t="str">
        <f aca="false">IFERROR(INDEX(Destination!$B$2:$B$501,MATCH(D703,Destination!$A$2:$A$501,0)),"")</f>
        <v>Loktak Lake</v>
      </c>
      <c r="F703" s="9" t="s">
        <v>1364</v>
      </c>
      <c r="G703" s="12" t="n">
        <f aca="false">INDEX(Destination!$F$2:$F$501,MATCH(B703,Destination!$A$2:$A$501,0))</f>
        <v>25.17</v>
      </c>
      <c r="H703" s="12" t="n">
        <f aca="false">INDEX(Destination!$G$2:$G$501,MATCH(B703,Destination!$A$2:$A$501,0))</f>
        <v>93.02</v>
      </c>
      <c r="I703" s="12" t="n">
        <f aca="false">INDEX(Destination!$F$2:$F$501,MATCH(D703,Destination!$A$2:$A$501,0))</f>
        <v>24.51</v>
      </c>
      <c r="J703" s="12" t="n">
        <f aca="false">INDEX(Destination!$G$2:$G$501,MATCH(D703,Destination!$A$2:$A$501,0))</f>
        <v>93.8</v>
      </c>
      <c r="K703" s="17" t="n">
        <f aca="false">Assumptions!$B$2*2*ASIN(SQRT(SIN(RADIANS(I703-G703)/2)^2+COS(RADIANS(G703))*COS(RADIANS(I703))*SIN(RADIANS(J703-H703)/2)^2))</f>
        <v>107.613709853111</v>
      </c>
      <c r="L703" s="18" t="n">
        <f aca="false">K703*Assumptions!$B$3</f>
        <v>139.897822809044</v>
      </c>
      <c r="M703" s="19" t="n">
        <f aca="false">L703/Assumptions!$B$4</f>
        <v>3.10884050686765</v>
      </c>
      <c r="N703" s="9" t="s">
        <v>1365</v>
      </c>
    </row>
    <row r="704" customFormat="false" ht="15" hidden="false" customHeight="false" outlineLevel="0" collapsed="false">
      <c r="A704" s="9" t="s">
        <v>2067</v>
      </c>
      <c r="B704" s="9" t="s">
        <v>797</v>
      </c>
      <c r="C704" s="9" t="str">
        <f aca="false">IFERROR(INDEX(Destination!$B$2:$B$501,MATCH(B704,Destination!$A$2:$A$501,0)),"")</f>
        <v>Tezpur</v>
      </c>
      <c r="D704" s="9" t="s">
        <v>808</v>
      </c>
      <c r="E704" s="9" t="str">
        <f aca="false">IFERROR(INDEX(Destination!$B$2:$B$501,MATCH(D704,Destination!$A$2:$A$501,0)),"")</f>
        <v>Bomdila</v>
      </c>
      <c r="F704" s="9" t="s">
        <v>1364</v>
      </c>
      <c r="G704" s="12" t="n">
        <f aca="false">INDEX(Destination!$F$2:$F$501,MATCH(B704,Destination!$A$2:$A$501,0))</f>
        <v>26.63</v>
      </c>
      <c r="H704" s="12" t="n">
        <f aca="false">INDEX(Destination!$G$2:$G$501,MATCH(B704,Destination!$A$2:$A$501,0))</f>
        <v>92.8</v>
      </c>
      <c r="I704" s="12" t="n">
        <f aca="false">INDEX(Destination!$F$2:$F$501,MATCH(D704,Destination!$A$2:$A$501,0))</f>
        <v>27.26</v>
      </c>
      <c r="J704" s="12" t="n">
        <f aca="false">INDEX(Destination!$G$2:$G$501,MATCH(D704,Destination!$A$2:$A$501,0))</f>
        <v>92.42</v>
      </c>
      <c r="K704" s="17" t="n">
        <f aca="false">Assumptions!$B$2*2*ASIN(SQRT(SIN(RADIANS(I704-G704)/2)^2+COS(RADIANS(G704))*COS(RADIANS(I704))*SIN(RADIANS(J704-H704)/2)^2))</f>
        <v>79.5372591802182</v>
      </c>
      <c r="L704" s="18" t="n">
        <f aca="false">K704*Assumptions!$B$3</f>
        <v>103.398436934284</v>
      </c>
      <c r="M704" s="19" t="n">
        <f aca="false">L704/Assumptions!$B$4</f>
        <v>2.29774304298408</v>
      </c>
      <c r="N704" s="9" t="s">
        <v>1365</v>
      </c>
    </row>
    <row r="705" customFormat="false" ht="15" hidden="false" customHeight="false" outlineLevel="0" collapsed="false">
      <c r="A705" s="9" t="s">
        <v>2068</v>
      </c>
      <c r="B705" s="9" t="s">
        <v>797</v>
      </c>
      <c r="C705" s="9" t="str">
        <f aca="false">IFERROR(INDEX(Destination!$B$2:$B$501,MATCH(B705,Destination!$A$2:$A$501,0)),"")</f>
        <v>Tezpur</v>
      </c>
      <c r="D705" s="9" t="s">
        <v>810</v>
      </c>
      <c r="E705" s="9" t="str">
        <f aca="false">IFERROR(INDEX(Destination!$B$2:$B$501,MATCH(D705,Destination!$A$2:$A$501,0)),"")</f>
        <v>Dirang</v>
      </c>
      <c r="F705" s="9" t="s">
        <v>1364</v>
      </c>
      <c r="G705" s="12" t="n">
        <f aca="false">INDEX(Destination!$F$2:$F$501,MATCH(B705,Destination!$A$2:$A$501,0))</f>
        <v>26.63</v>
      </c>
      <c r="H705" s="12" t="n">
        <f aca="false">INDEX(Destination!$G$2:$G$501,MATCH(B705,Destination!$A$2:$A$501,0))</f>
        <v>92.8</v>
      </c>
      <c r="I705" s="12" t="n">
        <f aca="false">INDEX(Destination!$F$2:$F$501,MATCH(D705,Destination!$A$2:$A$501,0))</f>
        <v>27.36</v>
      </c>
      <c r="J705" s="12" t="n">
        <f aca="false">INDEX(Destination!$G$2:$G$501,MATCH(D705,Destination!$A$2:$A$501,0))</f>
        <v>92.24</v>
      </c>
      <c r="K705" s="17" t="n">
        <f aca="false">Assumptions!$B$2*2*ASIN(SQRT(SIN(RADIANS(I705-G705)/2)^2+COS(RADIANS(G705))*COS(RADIANS(I705))*SIN(RADIANS(J705-H705)/2)^2))</f>
        <v>98.3230075907508</v>
      </c>
      <c r="L705" s="18" t="n">
        <f aca="false">K705*Assumptions!$B$3</f>
        <v>127.819909867976</v>
      </c>
      <c r="M705" s="19" t="n">
        <f aca="false">L705/Assumptions!$B$4</f>
        <v>2.84044244151058</v>
      </c>
      <c r="N705" s="9" t="s">
        <v>1365</v>
      </c>
    </row>
    <row r="706" customFormat="false" ht="15" hidden="false" customHeight="false" outlineLevel="0" collapsed="false">
      <c r="A706" s="9" t="s">
        <v>2069</v>
      </c>
      <c r="B706" s="9" t="s">
        <v>797</v>
      </c>
      <c r="C706" s="9" t="str">
        <f aca="false">IFERROR(INDEX(Destination!$B$2:$B$501,MATCH(B706,Destination!$A$2:$A$501,0)),"")</f>
        <v>Tezpur</v>
      </c>
      <c r="D706" s="9" t="s">
        <v>812</v>
      </c>
      <c r="E706" s="9" t="str">
        <f aca="false">IFERROR(INDEX(Destination!$B$2:$B$501,MATCH(D706,Destination!$A$2:$A$501,0)),"")</f>
        <v>Itanagar</v>
      </c>
      <c r="F706" s="9" t="s">
        <v>1364</v>
      </c>
      <c r="G706" s="12" t="n">
        <f aca="false">INDEX(Destination!$F$2:$F$501,MATCH(B706,Destination!$A$2:$A$501,0))</f>
        <v>26.63</v>
      </c>
      <c r="H706" s="12" t="n">
        <f aca="false">INDEX(Destination!$G$2:$G$501,MATCH(B706,Destination!$A$2:$A$501,0))</f>
        <v>92.8</v>
      </c>
      <c r="I706" s="12" t="n">
        <f aca="false">INDEX(Destination!$F$2:$F$501,MATCH(D706,Destination!$A$2:$A$501,0))</f>
        <v>27.09</v>
      </c>
      <c r="J706" s="12" t="n">
        <f aca="false">INDEX(Destination!$G$2:$G$501,MATCH(D706,Destination!$A$2:$A$501,0))</f>
        <v>93.62</v>
      </c>
      <c r="K706" s="17" t="n">
        <f aca="false">Assumptions!$B$2*2*ASIN(SQRT(SIN(RADIANS(I706-G706)/2)^2+COS(RADIANS(G706))*COS(RADIANS(I706))*SIN(RADIANS(J706-H706)/2)^2))</f>
        <v>96.0876845790665</v>
      </c>
      <c r="L706" s="18" t="n">
        <f aca="false">K706*Assumptions!$B$3</f>
        <v>124.913989952787</v>
      </c>
      <c r="M706" s="19" t="n">
        <f aca="false">L706/Assumptions!$B$4</f>
        <v>2.77586644339526</v>
      </c>
      <c r="N706" s="9" t="s">
        <v>1365</v>
      </c>
    </row>
    <row r="707" customFormat="false" ht="15" hidden="false" customHeight="false" outlineLevel="0" collapsed="false">
      <c r="A707" s="9" t="s">
        <v>2070</v>
      </c>
      <c r="B707" s="9" t="s">
        <v>799</v>
      </c>
      <c r="C707" s="9" t="str">
        <f aca="false">IFERROR(INDEX(Destination!$B$2:$B$501,MATCH(B707,Destination!$A$2:$A$501,0)),"")</f>
        <v>Dibrugarh</v>
      </c>
      <c r="D707" s="9" t="s">
        <v>806</v>
      </c>
      <c r="E707" s="9" t="str">
        <f aca="false">IFERROR(INDEX(Destination!$B$2:$B$501,MATCH(D707,Destination!$A$2:$A$501,0)),"")</f>
        <v>Ziro</v>
      </c>
      <c r="F707" s="9" t="s">
        <v>1364</v>
      </c>
      <c r="G707" s="12" t="n">
        <f aca="false">INDEX(Destination!$F$2:$F$501,MATCH(B707,Destination!$A$2:$A$501,0))</f>
        <v>27.48</v>
      </c>
      <c r="H707" s="12" t="n">
        <f aca="false">INDEX(Destination!$G$2:$G$501,MATCH(B707,Destination!$A$2:$A$501,0))</f>
        <v>94.91</v>
      </c>
      <c r="I707" s="12" t="n">
        <f aca="false">INDEX(Destination!$F$2:$F$501,MATCH(D707,Destination!$A$2:$A$501,0))</f>
        <v>27.55</v>
      </c>
      <c r="J707" s="12" t="n">
        <f aca="false">INDEX(Destination!$G$2:$G$501,MATCH(D707,Destination!$A$2:$A$501,0))</f>
        <v>93.83</v>
      </c>
      <c r="K707" s="17" t="n">
        <f aca="false">Assumptions!$B$2*2*ASIN(SQRT(SIN(RADIANS(I707-G707)/2)^2+COS(RADIANS(G707))*COS(RADIANS(I707))*SIN(RADIANS(J707-H707)/2)^2))</f>
        <v>106.790763998074</v>
      </c>
      <c r="L707" s="18" t="n">
        <f aca="false">K707*Assumptions!$B$3</f>
        <v>138.827993197496</v>
      </c>
      <c r="M707" s="19" t="n">
        <f aca="false">L707/Assumptions!$B$4</f>
        <v>3.08506651549991</v>
      </c>
      <c r="N707" s="9" t="s">
        <v>1365</v>
      </c>
    </row>
    <row r="708" customFormat="false" ht="15" hidden="false" customHeight="false" outlineLevel="0" collapsed="false">
      <c r="A708" s="9" t="s">
        <v>2071</v>
      </c>
      <c r="B708" s="9" t="s">
        <v>801</v>
      </c>
      <c r="C708" s="9" t="str">
        <f aca="false">IFERROR(INDEX(Destination!$B$2:$B$501,MATCH(B708,Destination!$A$2:$A$501,0)),"")</f>
        <v>Hajo</v>
      </c>
      <c r="D708" s="9" t="s">
        <v>814</v>
      </c>
      <c r="E708" s="9" t="str">
        <f aca="false">IFERROR(INDEX(Destination!$B$2:$B$501,MATCH(D708,Destination!$A$2:$A$501,0)),"")</f>
        <v>Shillong</v>
      </c>
      <c r="F708" s="9" t="s">
        <v>1364</v>
      </c>
      <c r="G708" s="12" t="n">
        <f aca="false">INDEX(Destination!$F$2:$F$501,MATCH(B708,Destination!$A$2:$A$501,0))</f>
        <v>26.24</v>
      </c>
      <c r="H708" s="12" t="n">
        <f aca="false">INDEX(Destination!$G$2:$G$501,MATCH(B708,Destination!$A$2:$A$501,0))</f>
        <v>91.53</v>
      </c>
      <c r="I708" s="12" t="n">
        <f aca="false">INDEX(Destination!$F$2:$F$501,MATCH(D708,Destination!$A$2:$A$501,0))</f>
        <v>25.57</v>
      </c>
      <c r="J708" s="12" t="n">
        <f aca="false">INDEX(Destination!$G$2:$G$501,MATCH(D708,Destination!$A$2:$A$501,0))</f>
        <v>91.88</v>
      </c>
      <c r="K708" s="17" t="n">
        <f aca="false">Assumptions!$B$2*2*ASIN(SQRT(SIN(RADIANS(I708-G708)/2)^2+COS(RADIANS(G708))*COS(RADIANS(I708))*SIN(RADIANS(J708-H708)/2)^2))</f>
        <v>82.3155790719263</v>
      </c>
      <c r="L708" s="18" t="n">
        <f aca="false">K708*Assumptions!$B$3</f>
        <v>107.010252793504</v>
      </c>
      <c r="M708" s="19" t="n">
        <f aca="false">L708/Assumptions!$B$4</f>
        <v>2.37800561763343</v>
      </c>
      <c r="N708" s="9" t="s">
        <v>1365</v>
      </c>
    </row>
    <row r="709" customFormat="false" ht="15" hidden="false" customHeight="false" outlineLevel="0" collapsed="false">
      <c r="A709" s="9" t="s">
        <v>2072</v>
      </c>
      <c r="B709" s="9" t="s">
        <v>803</v>
      </c>
      <c r="C709" s="9" t="str">
        <f aca="false">IFERROR(INDEX(Destination!$B$2:$B$501,MATCH(B709,Destination!$A$2:$A$501,0)),"")</f>
        <v>Tawang</v>
      </c>
      <c r="D709" s="9" t="s">
        <v>808</v>
      </c>
      <c r="E709" s="9" t="str">
        <f aca="false">IFERROR(INDEX(Destination!$B$2:$B$501,MATCH(D709,Destination!$A$2:$A$501,0)),"")</f>
        <v>Bomdila</v>
      </c>
      <c r="F709" s="9" t="s">
        <v>1364</v>
      </c>
      <c r="G709" s="12" t="n">
        <f aca="false">INDEX(Destination!$F$2:$F$501,MATCH(B709,Destination!$A$2:$A$501,0))</f>
        <v>27.59</v>
      </c>
      <c r="H709" s="12" t="n">
        <f aca="false">INDEX(Destination!$G$2:$G$501,MATCH(B709,Destination!$A$2:$A$501,0))</f>
        <v>91.86</v>
      </c>
      <c r="I709" s="12" t="n">
        <f aca="false">INDEX(Destination!$F$2:$F$501,MATCH(D709,Destination!$A$2:$A$501,0))</f>
        <v>27.26</v>
      </c>
      <c r="J709" s="12" t="n">
        <f aca="false">INDEX(Destination!$G$2:$G$501,MATCH(D709,Destination!$A$2:$A$501,0))</f>
        <v>92.42</v>
      </c>
      <c r="K709" s="17" t="n">
        <f aca="false">Assumptions!$B$2*2*ASIN(SQRT(SIN(RADIANS(I709-G709)/2)^2+COS(RADIANS(G709))*COS(RADIANS(I709))*SIN(RADIANS(J709-H709)/2)^2))</f>
        <v>66.342576743489</v>
      </c>
      <c r="L709" s="18" t="n">
        <f aca="false">K709*Assumptions!$B$3</f>
        <v>86.2453497665357</v>
      </c>
      <c r="M709" s="19" t="n">
        <f aca="false">L709/Assumptions!$B$4</f>
        <v>1.91656332814524</v>
      </c>
      <c r="N709" s="9" t="s">
        <v>1365</v>
      </c>
    </row>
    <row r="710" customFormat="false" ht="15" hidden="false" customHeight="false" outlineLevel="0" collapsed="false">
      <c r="A710" s="9" t="s">
        <v>2073</v>
      </c>
      <c r="B710" s="9" t="s">
        <v>803</v>
      </c>
      <c r="C710" s="9" t="str">
        <f aca="false">IFERROR(INDEX(Destination!$B$2:$B$501,MATCH(B710,Destination!$A$2:$A$501,0)),"")</f>
        <v>Tawang</v>
      </c>
      <c r="D710" s="9" t="s">
        <v>810</v>
      </c>
      <c r="E710" s="9" t="str">
        <f aca="false">IFERROR(INDEX(Destination!$B$2:$B$501,MATCH(D710,Destination!$A$2:$A$501,0)),"")</f>
        <v>Dirang</v>
      </c>
      <c r="F710" s="9" t="s">
        <v>1364</v>
      </c>
      <c r="G710" s="12" t="n">
        <f aca="false">INDEX(Destination!$F$2:$F$501,MATCH(B710,Destination!$A$2:$A$501,0))</f>
        <v>27.59</v>
      </c>
      <c r="H710" s="12" t="n">
        <f aca="false">INDEX(Destination!$G$2:$G$501,MATCH(B710,Destination!$A$2:$A$501,0))</f>
        <v>91.86</v>
      </c>
      <c r="I710" s="12" t="n">
        <f aca="false">INDEX(Destination!$F$2:$F$501,MATCH(D710,Destination!$A$2:$A$501,0))</f>
        <v>27.36</v>
      </c>
      <c r="J710" s="12" t="n">
        <f aca="false">INDEX(Destination!$G$2:$G$501,MATCH(D710,Destination!$A$2:$A$501,0))</f>
        <v>92.24</v>
      </c>
      <c r="K710" s="17" t="n">
        <f aca="false">Assumptions!$B$2*2*ASIN(SQRT(SIN(RADIANS(I710-G710)/2)^2+COS(RADIANS(G710))*COS(RADIANS(I710))*SIN(RADIANS(J710-H710)/2)^2))</f>
        <v>45.3810798744035</v>
      </c>
      <c r="L710" s="18" t="n">
        <f aca="false">K710*Assumptions!$B$3</f>
        <v>58.9954038367246</v>
      </c>
      <c r="M710" s="19" t="n">
        <f aca="false">L710/Assumptions!$B$4</f>
        <v>1.31100897414944</v>
      </c>
      <c r="N710" s="9" t="s">
        <v>1365</v>
      </c>
    </row>
    <row r="711" customFormat="false" ht="15" hidden="false" customHeight="false" outlineLevel="0" collapsed="false">
      <c r="A711" s="9" t="s">
        <v>2074</v>
      </c>
      <c r="B711" s="9" t="s">
        <v>806</v>
      </c>
      <c r="C711" s="9" t="str">
        <f aca="false">IFERROR(INDEX(Destination!$B$2:$B$501,MATCH(B711,Destination!$A$2:$A$501,0)),"")</f>
        <v>Ziro</v>
      </c>
      <c r="D711" s="9" t="s">
        <v>812</v>
      </c>
      <c r="E711" s="9" t="str">
        <f aca="false">IFERROR(INDEX(Destination!$B$2:$B$501,MATCH(D711,Destination!$A$2:$A$501,0)),"")</f>
        <v>Itanagar</v>
      </c>
      <c r="F711" s="9" t="s">
        <v>1364</v>
      </c>
      <c r="G711" s="12" t="n">
        <f aca="false">INDEX(Destination!$F$2:$F$501,MATCH(B711,Destination!$A$2:$A$501,0))</f>
        <v>27.55</v>
      </c>
      <c r="H711" s="12" t="n">
        <f aca="false">INDEX(Destination!$G$2:$G$501,MATCH(B711,Destination!$A$2:$A$501,0))</f>
        <v>93.83</v>
      </c>
      <c r="I711" s="12" t="n">
        <f aca="false">INDEX(Destination!$F$2:$F$501,MATCH(D711,Destination!$A$2:$A$501,0))</f>
        <v>27.09</v>
      </c>
      <c r="J711" s="12" t="n">
        <f aca="false">INDEX(Destination!$G$2:$G$501,MATCH(D711,Destination!$A$2:$A$501,0))</f>
        <v>93.62</v>
      </c>
      <c r="K711" s="17" t="n">
        <f aca="false">Assumptions!$B$2*2*ASIN(SQRT(SIN(RADIANS(I711-G711)/2)^2+COS(RADIANS(G711))*COS(RADIANS(I711))*SIN(RADIANS(J711-H711)/2)^2))</f>
        <v>55.1968585028481</v>
      </c>
      <c r="L711" s="18" t="n">
        <f aca="false">K711*Assumptions!$B$3</f>
        <v>71.7559160537025</v>
      </c>
      <c r="M711" s="19" t="n">
        <f aca="false">L711/Assumptions!$B$4</f>
        <v>1.5945759123045</v>
      </c>
      <c r="N711" s="9" t="s">
        <v>1365</v>
      </c>
    </row>
    <row r="712" customFormat="false" ht="15" hidden="false" customHeight="false" outlineLevel="0" collapsed="false">
      <c r="A712" s="9" t="s">
        <v>2075</v>
      </c>
      <c r="B712" s="9" t="s">
        <v>808</v>
      </c>
      <c r="C712" s="9" t="str">
        <f aca="false">IFERROR(INDEX(Destination!$B$2:$B$501,MATCH(B712,Destination!$A$2:$A$501,0)),"")</f>
        <v>Bomdila</v>
      </c>
      <c r="D712" s="9" t="s">
        <v>810</v>
      </c>
      <c r="E712" s="9" t="str">
        <f aca="false">IFERROR(INDEX(Destination!$B$2:$B$501,MATCH(D712,Destination!$A$2:$A$501,0)),"")</f>
        <v>Dirang</v>
      </c>
      <c r="F712" s="9" t="s">
        <v>1364</v>
      </c>
      <c r="G712" s="12" t="n">
        <f aca="false">INDEX(Destination!$F$2:$F$501,MATCH(B712,Destination!$A$2:$A$501,0))</f>
        <v>27.26</v>
      </c>
      <c r="H712" s="12" t="n">
        <f aca="false">INDEX(Destination!$G$2:$G$501,MATCH(B712,Destination!$A$2:$A$501,0))</f>
        <v>92.42</v>
      </c>
      <c r="I712" s="12" t="n">
        <f aca="false">INDEX(Destination!$F$2:$F$501,MATCH(D712,Destination!$A$2:$A$501,0))</f>
        <v>27.36</v>
      </c>
      <c r="J712" s="12" t="n">
        <f aca="false">INDEX(Destination!$G$2:$G$501,MATCH(D712,Destination!$A$2:$A$501,0))</f>
        <v>92.24</v>
      </c>
      <c r="K712" s="17" t="n">
        <f aca="false">Assumptions!$B$2*2*ASIN(SQRT(SIN(RADIANS(I712-G712)/2)^2+COS(RADIANS(G712))*COS(RADIANS(I712))*SIN(RADIANS(J712-H712)/2)^2))</f>
        <v>20.9742427348592</v>
      </c>
      <c r="L712" s="18" t="n">
        <f aca="false">K712*Assumptions!$B$3</f>
        <v>27.266515555317</v>
      </c>
      <c r="M712" s="19" t="n">
        <f aca="false">L712/Assumptions!$B$4</f>
        <v>0.605922567895933</v>
      </c>
      <c r="N712" s="9" t="s">
        <v>1365</v>
      </c>
    </row>
    <row r="713" customFormat="false" ht="15" hidden="false" customHeight="false" outlineLevel="0" collapsed="false">
      <c r="A713" s="9" t="s">
        <v>2076</v>
      </c>
      <c r="B713" s="9" t="s">
        <v>814</v>
      </c>
      <c r="C713" s="9" t="str">
        <f aca="false">IFERROR(INDEX(Destination!$B$2:$B$501,MATCH(B713,Destination!$A$2:$A$501,0)),"")</f>
        <v>Shillong</v>
      </c>
      <c r="D713" s="9" t="s">
        <v>817</v>
      </c>
      <c r="E713" s="9" t="str">
        <f aca="false">IFERROR(INDEX(Destination!$B$2:$B$501,MATCH(D713,Destination!$A$2:$A$501,0)),"")</f>
        <v>Cherrapunji/Sohra</v>
      </c>
      <c r="F713" s="9" t="s">
        <v>1364</v>
      </c>
      <c r="G713" s="12" t="n">
        <f aca="false">INDEX(Destination!$F$2:$F$501,MATCH(B713,Destination!$A$2:$A$501,0))</f>
        <v>25.57</v>
      </c>
      <c r="H713" s="12" t="n">
        <f aca="false">INDEX(Destination!$G$2:$G$501,MATCH(B713,Destination!$A$2:$A$501,0))</f>
        <v>91.88</v>
      </c>
      <c r="I713" s="12" t="n">
        <f aca="false">INDEX(Destination!$F$2:$F$501,MATCH(D713,Destination!$A$2:$A$501,0))</f>
        <v>25.27</v>
      </c>
      <c r="J713" s="12" t="n">
        <f aca="false">INDEX(Destination!$G$2:$G$501,MATCH(D713,Destination!$A$2:$A$501,0))</f>
        <v>91.73</v>
      </c>
      <c r="K713" s="17" t="n">
        <f aca="false">Assumptions!$B$2*2*ASIN(SQRT(SIN(RADIANS(I713-G713)/2)^2+COS(RADIANS(G713))*COS(RADIANS(I713))*SIN(RADIANS(J713-H713)/2)^2))</f>
        <v>36.6022502555855</v>
      </c>
      <c r="L713" s="18" t="n">
        <f aca="false">K713*Assumptions!$B$3</f>
        <v>47.5829253322612</v>
      </c>
      <c r="M713" s="19" t="n">
        <f aca="false">L713/Assumptions!$B$4</f>
        <v>1.05739834071692</v>
      </c>
      <c r="N713" s="9" t="s">
        <v>1365</v>
      </c>
    </row>
    <row r="714" customFormat="false" ht="15" hidden="false" customHeight="false" outlineLevel="0" collapsed="false">
      <c r="A714" s="9" t="s">
        <v>2077</v>
      </c>
      <c r="B714" s="9" t="s">
        <v>814</v>
      </c>
      <c r="C714" s="9" t="str">
        <f aca="false">IFERROR(INDEX(Destination!$B$2:$B$501,MATCH(B714,Destination!$A$2:$A$501,0)),"")</f>
        <v>Shillong</v>
      </c>
      <c r="D714" s="9" t="s">
        <v>820</v>
      </c>
      <c r="E714" s="9" t="str">
        <f aca="false">IFERROR(INDEX(Destination!$B$2:$B$501,MATCH(D714,Destination!$A$2:$A$501,0)),"")</f>
        <v>Mawlynnong</v>
      </c>
      <c r="F714" s="9" t="s">
        <v>1364</v>
      </c>
      <c r="G714" s="12" t="n">
        <f aca="false">INDEX(Destination!$F$2:$F$501,MATCH(B714,Destination!$A$2:$A$501,0))</f>
        <v>25.57</v>
      </c>
      <c r="H714" s="12" t="n">
        <f aca="false">INDEX(Destination!$G$2:$G$501,MATCH(B714,Destination!$A$2:$A$501,0))</f>
        <v>91.88</v>
      </c>
      <c r="I714" s="12" t="n">
        <f aca="false">INDEX(Destination!$F$2:$F$501,MATCH(D714,Destination!$A$2:$A$501,0))</f>
        <v>25.2</v>
      </c>
      <c r="J714" s="12" t="n">
        <f aca="false">INDEX(Destination!$G$2:$G$501,MATCH(D714,Destination!$A$2:$A$501,0))</f>
        <v>91.92</v>
      </c>
      <c r="K714" s="17" t="n">
        <f aca="false">Assumptions!$B$2*2*ASIN(SQRT(SIN(RADIANS(I714-G714)/2)^2+COS(RADIANS(G714))*COS(RADIANS(I714))*SIN(RADIANS(J714-H714)/2)^2))</f>
        <v>41.3378921460304</v>
      </c>
      <c r="L714" s="18" t="n">
        <f aca="false">K714*Assumptions!$B$3</f>
        <v>53.7392597898396</v>
      </c>
      <c r="M714" s="19" t="n">
        <f aca="false">L714/Assumptions!$B$4</f>
        <v>1.19420577310755</v>
      </c>
      <c r="N714" s="9" t="s">
        <v>1365</v>
      </c>
    </row>
    <row r="715" customFormat="false" ht="15" hidden="false" customHeight="false" outlineLevel="0" collapsed="false">
      <c r="A715" s="9" t="s">
        <v>2078</v>
      </c>
      <c r="B715" s="9" t="s">
        <v>814</v>
      </c>
      <c r="C715" s="9" t="str">
        <f aca="false">IFERROR(INDEX(Destination!$B$2:$B$501,MATCH(B715,Destination!$A$2:$A$501,0)),"")</f>
        <v>Shillong</v>
      </c>
      <c r="D715" s="9" t="s">
        <v>822</v>
      </c>
      <c r="E715" s="9" t="str">
        <f aca="false">IFERROR(INDEX(Destination!$B$2:$B$501,MATCH(D715,Destination!$A$2:$A$501,0)),"")</f>
        <v>Dawki</v>
      </c>
      <c r="F715" s="9" t="s">
        <v>1364</v>
      </c>
      <c r="G715" s="12" t="n">
        <f aca="false">INDEX(Destination!$F$2:$F$501,MATCH(B715,Destination!$A$2:$A$501,0))</f>
        <v>25.57</v>
      </c>
      <c r="H715" s="12" t="n">
        <f aca="false">INDEX(Destination!$G$2:$G$501,MATCH(B715,Destination!$A$2:$A$501,0))</f>
        <v>91.88</v>
      </c>
      <c r="I715" s="12" t="n">
        <f aca="false">INDEX(Destination!$F$2:$F$501,MATCH(D715,Destination!$A$2:$A$501,0))</f>
        <v>25.19</v>
      </c>
      <c r="J715" s="12" t="n">
        <f aca="false">INDEX(Destination!$G$2:$G$501,MATCH(D715,Destination!$A$2:$A$501,0))</f>
        <v>92.02</v>
      </c>
      <c r="K715" s="17" t="n">
        <f aca="false">Assumptions!$B$2*2*ASIN(SQRT(SIN(RADIANS(I715-G715)/2)^2+COS(RADIANS(G715))*COS(RADIANS(I715))*SIN(RADIANS(J715-H715)/2)^2))</f>
        <v>44.5334067953511</v>
      </c>
      <c r="L715" s="18" t="n">
        <f aca="false">K715*Assumptions!$B$3</f>
        <v>57.8934288339564</v>
      </c>
      <c r="M715" s="19" t="n">
        <f aca="false">L715/Assumptions!$B$4</f>
        <v>1.28652064075459</v>
      </c>
      <c r="N715" s="9" t="s">
        <v>1365</v>
      </c>
    </row>
    <row r="716" customFormat="false" ht="15" hidden="false" customHeight="false" outlineLevel="0" collapsed="false">
      <c r="A716" s="9" t="s">
        <v>2079</v>
      </c>
      <c r="B716" s="9" t="s">
        <v>817</v>
      </c>
      <c r="C716" s="9" t="str">
        <f aca="false">IFERROR(INDEX(Destination!$B$2:$B$501,MATCH(B716,Destination!$A$2:$A$501,0)),"")</f>
        <v>Cherrapunji/Sohra</v>
      </c>
      <c r="D716" s="9" t="s">
        <v>820</v>
      </c>
      <c r="E716" s="9" t="str">
        <f aca="false">IFERROR(INDEX(Destination!$B$2:$B$501,MATCH(D716,Destination!$A$2:$A$501,0)),"")</f>
        <v>Mawlynnong</v>
      </c>
      <c r="F716" s="9" t="s">
        <v>1364</v>
      </c>
      <c r="G716" s="12" t="n">
        <f aca="false">INDEX(Destination!$F$2:$F$501,MATCH(B716,Destination!$A$2:$A$501,0))</f>
        <v>25.27</v>
      </c>
      <c r="H716" s="12" t="n">
        <f aca="false">INDEX(Destination!$G$2:$G$501,MATCH(B716,Destination!$A$2:$A$501,0))</f>
        <v>91.73</v>
      </c>
      <c r="I716" s="12" t="n">
        <f aca="false">INDEX(Destination!$F$2:$F$501,MATCH(D716,Destination!$A$2:$A$501,0))</f>
        <v>25.2</v>
      </c>
      <c r="J716" s="12" t="n">
        <f aca="false">INDEX(Destination!$G$2:$G$501,MATCH(D716,Destination!$A$2:$A$501,0))</f>
        <v>91.92</v>
      </c>
      <c r="K716" s="17" t="n">
        <f aca="false">Assumptions!$B$2*2*ASIN(SQRT(SIN(RADIANS(I716-G716)/2)^2+COS(RADIANS(G716))*COS(RADIANS(I716))*SIN(RADIANS(J716-H716)/2)^2))</f>
        <v>20.6351217131236</v>
      </c>
      <c r="L716" s="18" t="n">
        <f aca="false">K716*Assumptions!$B$3</f>
        <v>26.8256582270607</v>
      </c>
      <c r="M716" s="19" t="n">
        <f aca="false">L716/Assumptions!$B$4</f>
        <v>0.596125738379126</v>
      </c>
      <c r="N716" s="9" t="s">
        <v>1365</v>
      </c>
    </row>
    <row r="717" customFormat="false" ht="15" hidden="false" customHeight="false" outlineLevel="0" collapsed="false">
      <c r="A717" s="9" t="s">
        <v>2080</v>
      </c>
      <c r="B717" s="9" t="s">
        <v>817</v>
      </c>
      <c r="C717" s="9" t="str">
        <f aca="false">IFERROR(INDEX(Destination!$B$2:$B$501,MATCH(B717,Destination!$A$2:$A$501,0)),"")</f>
        <v>Cherrapunji/Sohra</v>
      </c>
      <c r="D717" s="9" t="s">
        <v>822</v>
      </c>
      <c r="E717" s="9" t="str">
        <f aca="false">IFERROR(INDEX(Destination!$B$2:$B$501,MATCH(D717,Destination!$A$2:$A$501,0)),"")</f>
        <v>Dawki</v>
      </c>
      <c r="F717" s="9" t="s">
        <v>1364</v>
      </c>
      <c r="G717" s="12" t="n">
        <f aca="false">INDEX(Destination!$F$2:$F$501,MATCH(B717,Destination!$A$2:$A$501,0))</f>
        <v>25.27</v>
      </c>
      <c r="H717" s="12" t="n">
        <f aca="false">INDEX(Destination!$G$2:$G$501,MATCH(B717,Destination!$A$2:$A$501,0))</f>
        <v>91.73</v>
      </c>
      <c r="I717" s="12" t="n">
        <f aca="false">INDEX(Destination!$F$2:$F$501,MATCH(D717,Destination!$A$2:$A$501,0))</f>
        <v>25.19</v>
      </c>
      <c r="J717" s="12" t="n">
        <f aca="false">INDEX(Destination!$G$2:$G$501,MATCH(D717,Destination!$A$2:$A$501,0))</f>
        <v>92.02</v>
      </c>
      <c r="K717" s="17" t="n">
        <f aca="false">Assumptions!$B$2*2*ASIN(SQRT(SIN(RADIANS(I717-G717)/2)^2+COS(RADIANS(G717))*COS(RADIANS(I717))*SIN(RADIANS(J717-H717)/2)^2))</f>
        <v>30.4965520582917</v>
      </c>
      <c r="L717" s="18" t="n">
        <f aca="false">K717*Assumptions!$B$3</f>
        <v>39.6455176757792</v>
      </c>
      <c r="M717" s="19" t="n">
        <f aca="false">L717/Assumptions!$B$4</f>
        <v>0.881011503906205</v>
      </c>
      <c r="N717" s="9" t="s">
        <v>1365</v>
      </c>
    </row>
    <row r="718" customFormat="false" ht="15" hidden="false" customHeight="false" outlineLevel="0" collapsed="false">
      <c r="A718" s="9" t="s">
        <v>2081</v>
      </c>
      <c r="B718" s="9" t="s">
        <v>820</v>
      </c>
      <c r="C718" s="9" t="str">
        <f aca="false">IFERROR(INDEX(Destination!$B$2:$B$501,MATCH(B718,Destination!$A$2:$A$501,0)),"")</f>
        <v>Mawlynnong</v>
      </c>
      <c r="D718" s="9" t="s">
        <v>822</v>
      </c>
      <c r="E718" s="9" t="str">
        <f aca="false">IFERROR(INDEX(Destination!$B$2:$B$501,MATCH(D718,Destination!$A$2:$A$501,0)),"")</f>
        <v>Dawki</v>
      </c>
      <c r="F718" s="9" t="s">
        <v>1364</v>
      </c>
      <c r="G718" s="12" t="n">
        <f aca="false">INDEX(Destination!$F$2:$F$501,MATCH(B718,Destination!$A$2:$A$501,0))</f>
        <v>25.2</v>
      </c>
      <c r="H718" s="12" t="n">
        <f aca="false">INDEX(Destination!$G$2:$G$501,MATCH(B718,Destination!$A$2:$A$501,0))</f>
        <v>91.92</v>
      </c>
      <c r="I718" s="12" t="n">
        <f aca="false">INDEX(Destination!$F$2:$F$501,MATCH(D718,Destination!$A$2:$A$501,0))</f>
        <v>25.19</v>
      </c>
      <c r="J718" s="12" t="n">
        <f aca="false">INDEX(Destination!$G$2:$G$501,MATCH(D718,Destination!$A$2:$A$501,0))</f>
        <v>92.02</v>
      </c>
      <c r="K718" s="17" t="n">
        <f aca="false">Assumptions!$B$2*2*ASIN(SQRT(SIN(RADIANS(I718-G718)/2)^2+COS(RADIANS(G718))*COS(RADIANS(I718))*SIN(RADIANS(J718-H718)/2)^2))</f>
        <v>10.1228870541282</v>
      </c>
      <c r="L718" s="18" t="n">
        <f aca="false">K718*Assumptions!$B$3</f>
        <v>13.1597531703666</v>
      </c>
      <c r="M718" s="19" t="n">
        <f aca="false">L718/Assumptions!$B$4</f>
        <v>0.29243895934148</v>
      </c>
      <c r="N718" s="9" t="s">
        <v>1365</v>
      </c>
    </row>
    <row r="719" customFormat="false" ht="15" hidden="false" customHeight="false" outlineLevel="0" collapsed="false">
      <c r="A719" s="9" t="s">
        <v>2082</v>
      </c>
      <c r="B719" s="9" t="s">
        <v>820</v>
      </c>
      <c r="C719" s="9" t="str">
        <f aca="false">IFERROR(INDEX(Destination!$B$2:$B$501,MATCH(B719,Destination!$A$2:$A$501,0)),"")</f>
        <v>Mawlynnong</v>
      </c>
      <c r="D719" s="9" t="s">
        <v>841</v>
      </c>
      <c r="E719" s="9" t="str">
        <f aca="false">IFERROR(INDEX(Destination!$B$2:$B$501,MATCH(D719,Destination!$A$2:$A$501,0)),"")</f>
        <v>Agartala</v>
      </c>
      <c r="F719" s="9" t="s">
        <v>1364</v>
      </c>
      <c r="G719" s="12" t="n">
        <f aca="false">INDEX(Destination!$F$2:$F$501,MATCH(B719,Destination!$A$2:$A$501,0))</f>
        <v>25.2</v>
      </c>
      <c r="H719" s="12" t="n">
        <f aca="false">INDEX(Destination!$G$2:$G$501,MATCH(B719,Destination!$A$2:$A$501,0))</f>
        <v>91.92</v>
      </c>
      <c r="I719" s="12" t="n">
        <f aca="false">INDEX(Destination!$F$2:$F$501,MATCH(D719,Destination!$A$2:$A$501,0))</f>
        <v>23.83</v>
      </c>
      <c r="J719" s="12" t="n">
        <f aca="false">INDEX(Destination!$G$2:$G$501,MATCH(D719,Destination!$A$2:$A$501,0))</f>
        <v>91.28</v>
      </c>
      <c r="K719" s="17" t="n">
        <f aca="false">Assumptions!$B$2*2*ASIN(SQRT(SIN(RADIANS(I719-G719)/2)^2+COS(RADIANS(G719))*COS(RADIANS(I719))*SIN(RADIANS(J719-H719)/2)^2))</f>
        <v>165.525631983089</v>
      </c>
      <c r="L719" s="18" t="n">
        <f aca="false">K719*Assumptions!$B$3</f>
        <v>215.183321578016</v>
      </c>
      <c r="M719" s="19" t="n">
        <f aca="false">L719/Assumptions!$B$4</f>
        <v>4.78185159062258</v>
      </c>
      <c r="N719" s="9" t="s">
        <v>1365</v>
      </c>
    </row>
    <row r="720" customFormat="false" ht="15" hidden="false" customHeight="false" outlineLevel="0" collapsed="false">
      <c r="A720" s="9" t="s">
        <v>2083</v>
      </c>
      <c r="B720" s="9" t="s">
        <v>822</v>
      </c>
      <c r="C720" s="9" t="str">
        <f aca="false">IFERROR(INDEX(Destination!$B$2:$B$501,MATCH(B720,Destination!$A$2:$A$501,0)),"")</f>
        <v>Dawki</v>
      </c>
      <c r="D720" s="9" t="s">
        <v>844</v>
      </c>
      <c r="E720" s="9" t="str">
        <f aca="false">IFERROR(INDEX(Destination!$B$2:$B$501,MATCH(D720,Destination!$A$2:$A$501,0)),"")</f>
        <v>Unakoti</v>
      </c>
      <c r="F720" s="9" t="s">
        <v>1364</v>
      </c>
      <c r="G720" s="12" t="n">
        <f aca="false">INDEX(Destination!$F$2:$F$501,MATCH(B720,Destination!$A$2:$A$501,0))</f>
        <v>25.19</v>
      </c>
      <c r="H720" s="12" t="n">
        <f aca="false">INDEX(Destination!$G$2:$G$501,MATCH(B720,Destination!$A$2:$A$501,0))</f>
        <v>92.02</v>
      </c>
      <c r="I720" s="12" t="n">
        <f aca="false">INDEX(Destination!$F$2:$F$501,MATCH(D720,Destination!$A$2:$A$501,0))</f>
        <v>24.32</v>
      </c>
      <c r="J720" s="12" t="n">
        <f aca="false">INDEX(Destination!$G$2:$G$501,MATCH(D720,Destination!$A$2:$A$501,0))</f>
        <v>92.06</v>
      </c>
      <c r="K720" s="17" t="n">
        <f aca="false">Assumptions!$B$2*2*ASIN(SQRT(SIN(RADIANS(I720-G720)/2)^2+COS(RADIANS(G720))*COS(RADIANS(I720))*SIN(RADIANS(J720-H720)/2)^2))</f>
        <v>96.8238665821169</v>
      </c>
      <c r="L720" s="18" t="n">
        <f aca="false">K720*Assumptions!$B$3</f>
        <v>125.871026556752</v>
      </c>
      <c r="M720" s="19" t="n">
        <f aca="false">L720/Assumptions!$B$4</f>
        <v>2.79713392348338</v>
      </c>
      <c r="N720" s="9" t="s">
        <v>1365</v>
      </c>
    </row>
    <row r="721" customFormat="false" ht="15" hidden="false" customHeight="false" outlineLevel="0" collapsed="false">
      <c r="A721" s="9" t="s">
        <v>2084</v>
      </c>
      <c r="B721" s="9" t="s">
        <v>824</v>
      </c>
      <c r="C721" s="9" t="str">
        <f aca="false">IFERROR(INDEX(Destination!$B$2:$B$501,MATCH(B721,Destination!$A$2:$A$501,0)),"")</f>
        <v>Aizawl</v>
      </c>
      <c r="D721" s="9" t="s">
        <v>827</v>
      </c>
      <c r="E721" s="9" t="str">
        <f aca="false">IFERROR(INDEX(Destination!$B$2:$B$501,MATCH(D721,Destination!$A$2:$A$501,0)),"")</f>
        <v>Champhai</v>
      </c>
      <c r="F721" s="9" t="s">
        <v>1364</v>
      </c>
      <c r="G721" s="12" t="n">
        <f aca="false">INDEX(Destination!$F$2:$F$501,MATCH(B721,Destination!$A$2:$A$501,0))</f>
        <v>23.73</v>
      </c>
      <c r="H721" s="12" t="n">
        <f aca="false">INDEX(Destination!$G$2:$G$501,MATCH(B721,Destination!$A$2:$A$501,0))</f>
        <v>92.72</v>
      </c>
      <c r="I721" s="12" t="n">
        <f aca="false">INDEX(Destination!$F$2:$F$501,MATCH(D721,Destination!$A$2:$A$501,0))</f>
        <v>23.47</v>
      </c>
      <c r="J721" s="12" t="n">
        <f aca="false">INDEX(Destination!$G$2:$G$501,MATCH(D721,Destination!$A$2:$A$501,0))</f>
        <v>93.33</v>
      </c>
      <c r="K721" s="17" t="n">
        <f aca="false">Assumptions!$B$2*2*ASIN(SQRT(SIN(RADIANS(I721-G721)/2)^2+COS(RADIANS(G721))*COS(RADIANS(I721))*SIN(RADIANS(J721-H721)/2)^2))</f>
        <v>68.5504537557656</v>
      </c>
      <c r="L721" s="18" t="n">
        <f aca="false">K721*Assumptions!$B$3</f>
        <v>89.1155898824953</v>
      </c>
      <c r="M721" s="19" t="n">
        <f aca="false">L721/Assumptions!$B$4</f>
        <v>1.98034644183323</v>
      </c>
      <c r="N721" s="9" t="s">
        <v>1365</v>
      </c>
    </row>
    <row r="722" customFormat="false" ht="15" hidden="false" customHeight="false" outlineLevel="0" collapsed="false">
      <c r="A722" s="9" t="s">
        <v>2085</v>
      </c>
      <c r="B722" s="9" t="s">
        <v>824</v>
      </c>
      <c r="C722" s="9" t="str">
        <f aca="false">IFERROR(INDEX(Destination!$B$2:$B$501,MATCH(B722,Destination!$A$2:$A$501,0)),"")</f>
        <v>Aizawl</v>
      </c>
      <c r="D722" s="9" t="s">
        <v>837</v>
      </c>
      <c r="E722" s="9" t="str">
        <f aca="false">IFERROR(INDEX(Destination!$B$2:$B$501,MATCH(D722,Destination!$A$2:$A$501,0)),"")</f>
        <v>Loktak Lake</v>
      </c>
      <c r="F722" s="9" t="s">
        <v>1364</v>
      </c>
      <c r="G722" s="12" t="n">
        <f aca="false">INDEX(Destination!$F$2:$F$501,MATCH(B722,Destination!$A$2:$A$501,0))</f>
        <v>23.73</v>
      </c>
      <c r="H722" s="12" t="n">
        <f aca="false">INDEX(Destination!$G$2:$G$501,MATCH(B722,Destination!$A$2:$A$501,0))</f>
        <v>92.72</v>
      </c>
      <c r="I722" s="12" t="n">
        <f aca="false">INDEX(Destination!$F$2:$F$501,MATCH(D722,Destination!$A$2:$A$501,0))</f>
        <v>24.51</v>
      </c>
      <c r="J722" s="12" t="n">
        <f aca="false">INDEX(Destination!$G$2:$G$501,MATCH(D722,Destination!$A$2:$A$501,0))</f>
        <v>93.8</v>
      </c>
      <c r="K722" s="17" t="n">
        <f aca="false">Assumptions!$B$2*2*ASIN(SQRT(SIN(RADIANS(I722-G722)/2)^2+COS(RADIANS(G722))*COS(RADIANS(I722))*SIN(RADIANS(J722-H722)/2)^2))</f>
        <v>139.769381598685</v>
      </c>
      <c r="L722" s="18" t="n">
        <f aca="false">K722*Assumptions!$B$3</f>
        <v>181.700196078291</v>
      </c>
      <c r="M722" s="19" t="n">
        <f aca="false">L722/Assumptions!$B$4</f>
        <v>4.03778213507312</v>
      </c>
      <c r="N722" s="9" t="s">
        <v>1365</v>
      </c>
    </row>
    <row r="723" customFormat="false" ht="15" hidden="false" customHeight="false" outlineLevel="0" collapsed="false">
      <c r="A723" s="9" t="s">
        <v>2086</v>
      </c>
      <c r="B723" s="9" t="s">
        <v>824</v>
      </c>
      <c r="C723" s="9" t="str">
        <f aca="false">IFERROR(INDEX(Destination!$B$2:$B$501,MATCH(B723,Destination!$A$2:$A$501,0)),"")</f>
        <v>Aizawl</v>
      </c>
      <c r="D723" s="9" t="s">
        <v>841</v>
      </c>
      <c r="E723" s="9" t="str">
        <f aca="false">IFERROR(INDEX(Destination!$B$2:$B$501,MATCH(D723,Destination!$A$2:$A$501,0)),"")</f>
        <v>Agartala</v>
      </c>
      <c r="F723" s="9" t="s">
        <v>1364</v>
      </c>
      <c r="G723" s="12" t="n">
        <f aca="false">INDEX(Destination!$F$2:$F$501,MATCH(B723,Destination!$A$2:$A$501,0))</f>
        <v>23.73</v>
      </c>
      <c r="H723" s="12" t="n">
        <f aca="false">INDEX(Destination!$G$2:$G$501,MATCH(B723,Destination!$A$2:$A$501,0))</f>
        <v>92.72</v>
      </c>
      <c r="I723" s="12" t="n">
        <f aca="false">INDEX(Destination!$F$2:$F$501,MATCH(D723,Destination!$A$2:$A$501,0))</f>
        <v>23.83</v>
      </c>
      <c r="J723" s="12" t="n">
        <f aca="false">INDEX(Destination!$G$2:$G$501,MATCH(D723,Destination!$A$2:$A$501,0))</f>
        <v>91.28</v>
      </c>
      <c r="K723" s="17" t="n">
        <f aca="false">Assumptions!$B$2*2*ASIN(SQRT(SIN(RADIANS(I723-G723)/2)^2+COS(RADIANS(G723))*COS(RADIANS(I723))*SIN(RADIANS(J723-H723)/2)^2))</f>
        <v>146.94717710995</v>
      </c>
      <c r="L723" s="18" t="n">
        <f aca="false">K723*Assumptions!$B$3</f>
        <v>191.031330242935</v>
      </c>
      <c r="M723" s="19" t="n">
        <f aca="false">L723/Assumptions!$B$4</f>
        <v>4.24514067206522</v>
      </c>
      <c r="N723" s="9" t="s">
        <v>1365</v>
      </c>
    </row>
    <row r="724" customFormat="false" ht="15" hidden="false" customHeight="false" outlineLevel="0" collapsed="false">
      <c r="A724" s="9" t="s">
        <v>2087</v>
      </c>
      <c r="B724" s="9" t="s">
        <v>824</v>
      </c>
      <c r="C724" s="9" t="str">
        <f aca="false">IFERROR(INDEX(Destination!$B$2:$B$501,MATCH(B724,Destination!$A$2:$A$501,0)),"")</f>
        <v>Aizawl</v>
      </c>
      <c r="D724" s="9" t="s">
        <v>844</v>
      </c>
      <c r="E724" s="9" t="str">
        <f aca="false">IFERROR(INDEX(Destination!$B$2:$B$501,MATCH(D724,Destination!$A$2:$A$501,0)),"")</f>
        <v>Unakoti</v>
      </c>
      <c r="F724" s="9" t="s">
        <v>1364</v>
      </c>
      <c r="G724" s="12" t="n">
        <f aca="false">INDEX(Destination!$F$2:$F$501,MATCH(B724,Destination!$A$2:$A$501,0))</f>
        <v>23.73</v>
      </c>
      <c r="H724" s="12" t="n">
        <f aca="false">INDEX(Destination!$G$2:$G$501,MATCH(B724,Destination!$A$2:$A$501,0))</f>
        <v>92.72</v>
      </c>
      <c r="I724" s="12" t="n">
        <f aca="false">INDEX(Destination!$F$2:$F$501,MATCH(D724,Destination!$A$2:$A$501,0))</f>
        <v>24.32</v>
      </c>
      <c r="J724" s="12" t="n">
        <f aca="false">INDEX(Destination!$G$2:$G$501,MATCH(D724,Destination!$A$2:$A$501,0))</f>
        <v>92.06</v>
      </c>
      <c r="K724" s="17" t="n">
        <f aca="false">Assumptions!$B$2*2*ASIN(SQRT(SIN(RADIANS(I724-G724)/2)^2+COS(RADIANS(G724))*COS(RADIANS(I724))*SIN(RADIANS(J724-H724)/2)^2))</f>
        <v>93.7927428201637</v>
      </c>
      <c r="L724" s="18" t="n">
        <f aca="false">K724*Assumptions!$B$3</f>
        <v>121.930565666213</v>
      </c>
      <c r="M724" s="19" t="n">
        <f aca="false">L724/Assumptions!$B$4</f>
        <v>2.70956812591584</v>
      </c>
      <c r="N724" s="9" t="s">
        <v>1365</v>
      </c>
    </row>
    <row r="725" customFormat="false" ht="15" hidden="false" customHeight="false" outlineLevel="0" collapsed="false">
      <c r="A725" s="9" t="s">
        <v>2088</v>
      </c>
      <c r="B725" s="9" t="s">
        <v>827</v>
      </c>
      <c r="C725" s="9" t="str">
        <f aca="false">IFERROR(INDEX(Destination!$B$2:$B$501,MATCH(B725,Destination!$A$2:$A$501,0)),"")</f>
        <v>Champhai</v>
      </c>
      <c r="D725" s="9" t="s">
        <v>837</v>
      </c>
      <c r="E725" s="9" t="str">
        <f aca="false">IFERROR(INDEX(Destination!$B$2:$B$501,MATCH(D725,Destination!$A$2:$A$501,0)),"")</f>
        <v>Loktak Lake</v>
      </c>
      <c r="F725" s="9" t="s">
        <v>1364</v>
      </c>
      <c r="G725" s="12" t="n">
        <f aca="false">INDEX(Destination!$F$2:$F$501,MATCH(B725,Destination!$A$2:$A$501,0))</f>
        <v>23.47</v>
      </c>
      <c r="H725" s="12" t="n">
        <f aca="false">INDEX(Destination!$G$2:$G$501,MATCH(B725,Destination!$A$2:$A$501,0))</f>
        <v>93.33</v>
      </c>
      <c r="I725" s="12" t="n">
        <f aca="false">INDEX(Destination!$F$2:$F$501,MATCH(D725,Destination!$A$2:$A$501,0))</f>
        <v>24.51</v>
      </c>
      <c r="J725" s="12" t="n">
        <f aca="false">INDEX(Destination!$G$2:$G$501,MATCH(D725,Destination!$A$2:$A$501,0))</f>
        <v>93.8</v>
      </c>
      <c r="K725" s="17" t="n">
        <f aca="false">Assumptions!$B$2*2*ASIN(SQRT(SIN(RADIANS(I725-G725)/2)^2+COS(RADIANS(G725))*COS(RADIANS(I725))*SIN(RADIANS(J725-H725)/2)^2))</f>
        <v>125.111631807613</v>
      </c>
      <c r="L725" s="18" t="n">
        <f aca="false">K725*Assumptions!$B$3</f>
        <v>162.645121349897</v>
      </c>
      <c r="M725" s="19" t="n">
        <f aca="false">L725/Assumptions!$B$4</f>
        <v>3.61433602999772</v>
      </c>
      <c r="N725" s="9" t="s">
        <v>1365</v>
      </c>
    </row>
    <row r="726" customFormat="false" ht="15" hidden="false" customHeight="false" outlineLevel="0" collapsed="false">
      <c r="A726" s="9" t="s">
        <v>2089</v>
      </c>
      <c r="B726" s="9" t="s">
        <v>827</v>
      </c>
      <c r="C726" s="9" t="str">
        <f aca="false">IFERROR(INDEX(Destination!$B$2:$B$501,MATCH(B726,Destination!$A$2:$A$501,0)),"")</f>
        <v>Champhai</v>
      </c>
      <c r="D726" s="9" t="s">
        <v>844</v>
      </c>
      <c r="E726" s="9" t="str">
        <f aca="false">IFERROR(INDEX(Destination!$B$2:$B$501,MATCH(D726,Destination!$A$2:$A$501,0)),"")</f>
        <v>Unakoti</v>
      </c>
      <c r="F726" s="9" t="s">
        <v>1364</v>
      </c>
      <c r="G726" s="12" t="n">
        <f aca="false">INDEX(Destination!$F$2:$F$501,MATCH(B726,Destination!$A$2:$A$501,0))</f>
        <v>23.47</v>
      </c>
      <c r="H726" s="12" t="n">
        <f aca="false">INDEX(Destination!$G$2:$G$501,MATCH(B726,Destination!$A$2:$A$501,0))</f>
        <v>93.33</v>
      </c>
      <c r="I726" s="12" t="n">
        <f aca="false">INDEX(Destination!$F$2:$F$501,MATCH(D726,Destination!$A$2:$A$501,0))</f>
        <v>24.32</v>
      </c>
      <c r="J726" s="12" t="n">
        <f aca="false">INDEX(Destination!$G$2:$G$501,MATCH(D726,Destination!$A$2:$A$501,0))</f>
        <v>92.06</v>
      </c>
      <c r="K726" s="17" t="n">
        <f aca="false">Assumptions!$B$2*2*ASIN(SQRT(SIN(RADIANS(I726-G726)/2)^2+COS(RADIANS(G726))*COS(RADIANS(I726))*SIN(RADIANS(J726-H726)/2)^2))</f>
        <v>160.009267000317</v>
      </c>
      <c r="L726" s="18" t="n">
        <f aca="false">K726*Assumptions!$B$3</f>
        <v>208.012047100412</v>
      </c>
      <c r="M726" s="19" t="n">
        <f aca="false">L726/Assumptions!$B$4</f>
        <v>4.62248993556471</v>
      </c>
      <c r="N726" s="9" t="s">
        <v>1365</v>
      </c>
    </row>
    <row r="727" customFormat="false" ht="15" hidden="false" customHeight="false" outlineLevel="0" collapsed="false">
      <c r="A727" s="9" t="s">
        <v>2090</v>
      </c>
      <c r="B727" s="9" t="s">
        <v>829</v>
      </c>
      <c r="C727" s="9" t="str">
        <f aca="false">IFERROR(INDEX(Destination!$B$2:$B$501,MATCH(B727,Destination!$A$2:$A$501,0)),"")</f>
        <v>Kohima</v>
      </c>
      <c r="D727" s="9" t="s">
        <v>832</v>
      </c>
      <c r="E727" s="9" t="str">
        <f aca="false">IFERROR(INDEX(Destination!$B$2:$B$501,MATCH(D727,Destination!$A$2:$A$501,0)),"")</f>
        <v>Dzukou Valley</v>
      </c>
      <c r="F727" s="9" t="s">
        <v>1364</v>
      </c>
      <c r="G727" s="12" t="n">
        <f aca="false">INDEX(Destination!$F$2:$F$501,MATCH(B727,Destination!$A$2:$A$501,0))</f>
        <v>25.67</v>
      </c>
      <c r="H727" s="12" t="n">
        <f aca="false">INDEX(Destination!$G$2:$G$501,MATCH(B727,Destination!$A$2:$A$501,0))</f>
        <v>94.11</v>
      </c>
      <c r="I727" s="12" t="n">
        <f aca="false">INDEX(Destination!$F$2:$F$501,MATCH(D727,Destination!$A$2:$A$501,0))</f>
        <v>25.55</v>
      </c>
      <c r="J727" s="12" t="n">
        <f aca="false">INDEX(Destination!$G$2:$G$501,MATCH(D727,Destination!$A$2:$A$501,0))</f>
        <v>94.06</v>
      </c>
      <c r="K727" s="17" t="n">
        <f aca="false">Assumptions!$B$2*2*ASIN(SQRT(SIN(RADIANS(I727-G727)/2)^2+COS(RADIANS(G727))*COS(RADIANS(I727))*SIN(RADIANS(J727-H727)/2)^2))</f>
        <v>14.2541805601493</v>
      </c>
      <c r="L727" s="18" t="n">
        <f aca="false">K727*Assumptions!$B$3</f>
        <v>18.5304347281941</v>
      </c>
      <c r="M727" s="19" t="n">
        <f aca="false">L727/Assumptions!$B$4</f>
        <v>0.411787438404314</v>
      </c>
      <c r="N727" s="9" t="s">
        <v>1365</v>
      </c>
    </row>
    <row r="728" customFormat="false" ht="15" hidden="false" customHeight="false" outlineLevel="0" collapsed="false">
      <c r="A728" s="9" t="s">
        <v>2091</v>
      </c>
      <c r="B728" s="9" t="s">
        <v>829</v>
      </c>
      <c r="C728" s="9" t="str">
        <f aca="false">IFERROR(INDEX(Destination!$B$2:$B$501,MATCH(B728,Destination!$A$2:$A$501,0)),"")</f>
        <v>Kohima</v>
      </c>
      <c r="D728" s="9" t="s">
        <v>834</v>
      </c>
      <c r="E728" s="9" t="str">
        <f aca="false">IFERROR(INDEX(Destination!$B$2:$B$501,MATCH(D728,Destination!$A$2:$A$501,0)),"")</f>
        <v>Imphal</v>
      </c>
      <c r="F728" s="9" t="s">
        <v>1364</v>
      </c>
      <c r="G728" s="12" t="n">
        <f aca="false">INDEX(Destination!$F$2:$F$501,MATCH(B728,Destination!$A$2:$A$501,0))</f>
        <v>25.67</v>
      </c>
      <c r="H728" s="12" t="n">
        <f aca="false">INDEX(Destination!$G$2:$G$501,MATCH(B728,Destination!$A$2:$A$501,0))</f>
        <v>94.11</v>
      </c>
      <c r="I728" s="12" t="n">
        <f aca="false">INDEX(Destination!$F$2:$F$501,MATCH(D728,Destination!$A$2:$A$501,0))</f>
        <v>24.82</v>
      </c>
      <c r="J728" s="12" t="n">
        <f aca="false">INDEX(Destination!$G$2:$G$501,MATCH(D728,Destination!$A$2:$A$501,0))</f>
        <v>93.94</v>
      </c>
      <c r="K728" s="17" t="n">
        <f aca="false">Assumptions!$B$2*2*ASIN(SQRT(SIN(RADIANS(I728-G728)/2)^2+COS(RADIANS(G728))*COS(RADIANS(I728))*SIN(RADIANS(J728-H728)/2)^2))</f>
        <v>96.0496698137804</v>
      </c>
      <c r="L728" s="18" t="n">
        <f aca="false">K728*Assumptions!$B$3</f>
        <v>124.864570757914</v>
      </c>
      <c r="M728" s="19" t="n">
        <f aca="false">L728/Assumptions!$B$4</f>
        <v>2.77476823906477</v>
      </c>
      <c r="N728" s="9" t="s">
        <v>1365</v>
      </c>
    </row>
    <row r="729" customFormat="false" ht="15" hidden="false" customHeight="false" outlineLevel="0" collapsed="false">
      <c r="A729" s="9" t="s">
        <v>2092</v>
      </c>
      <c r="B729" s="9" t="s">
        <v>829</v>
      </c>
      <c r="C729" s="9" t="str">
        <f aca="false">IFERROR(INDEX(Destination!$B$2:$B$501,MATCH(B729,Destination!$A$2:$A$501,0)),"")</f>
        <v>Kohima</v>
      </c>
      <c r="D729" s="9" t="s">
        <v>839</v>
      </c>
      <c r="E729" s="9" t="str">
        <f aca="false">IFERROR(INDEX(Destination!$B$2:$B$501,MATCH(D729,Destination!$A$2:$A$501,0)),"")</f>
        <v>Ukhrul</v>
      </c>
      <c r="F729" s="9" t="s">
        <v>1364</v>
      </c>
      <c r="G729" s="12" t="n">
        <f aca="false">INDEX(Destination!$F$2:$F$501,MATCH(B729,Destination!$A$2:$A$501,0))</f>
        <v>25.67</v>
      </c>
      <c r="H729" s="12" t="n">
        <f aca="false">INDEX(Destination!$G$2:$G$501,MATCH(B729,Destination!$A$2:$A$501,0))</f>
        <v>94.11</v>
      </c>
      <c r="I729" s="12" t="n">
        <f aca="false">INDEX(Destination!$F$2:$F$501,MATCH(D729,Destination!$A$2:$A$501,0))</f>
        <v>25.1</v>
      </c>
      <c r="J729" s="12" t="n">
        <f aca="false">INDEX(Destination!$G$2:$G$501,MATCH(D729,Destination!$A$2:$A$501,0))</f>
        <v>94.36</v>
      </c>
      <c r="K729" s="17" t="n">
        <f aca="false">Assumptions!$B$2*2*ASIN(SQRT(SIN(RADIANS(I729-G729)/2)^2+COS(RADIANS(G729))*COS(RADIANS(I729))*SIN(RADIANS(J729-H729)/2)^2))</f>
        <v>68.1755376979321</v>
      </c>
      <c r="L729" s="18" t="n">
        <f aca="false">K729*Assumptions!$B$3</f>
        <v>88.6281990073118</v>
      </c>
      <c r="M729" s="19" t="n">
        <f aca="false">L729/Assumptions!$B$4</f>
        <v>1.96951553349582</v>
      </c>
      <c r="N729" s="9" t="s">
        <v>1365</v>
      </c>
    </row>
    <row r="730" customFormat="false" ht="15" hidden="false" customHeight="false" outlineLevel="0" collapsed="false">
      <c r="A730" s="9" t="s">
        <v>2093</v>
      </c>
      <c r="B730" s="9" t="s">
        <v>832</v>
      </c>
      <c r="C730" s="9" t="str">
        <f aca="false">IFERROR(INDEX(Destination!$B$2:$B$501,MATCH(B730,Destination!$A$2:$A$501,0)),"")</f>
        <v>Dzukou Valley</v>
      </c>
      <c r="D730" s="9" t="s">
        <v>834</v>
      </c>
      <c r="E730" s="9" t="str">
        <f aca="false">IFERROR(INDEX(Destination!$B$2:$B$501,MATCH(D730,Destination!$A$2:$A$501,0)),"")</f>
        <v>Imphal</v>
      </c>
      <c r="F730" s="9" t="s">
        <v>1364</v>
      </c>
      <c r="G730" s="12" t="n">
        <f aca="false">INDEX(Destination!$F$2:$F$501,MATCH(B730,Destination!$A$2:$A$501,0))</f>
        <v>25.55</v>
      </c>
      <c r="H730" s="12" t="n">
        <f aca="false">INDEX(Destination!$G$2:$G$501,MATCH(B730,Destination!$A$2:$A$501,0))</f>
        <v>94.06</v>
      </c>
      <c r="I730" s="12" t="n">
        <f aca="false">INDEX(Destination!$F$2:$F$501,MATCH(D730,Destination!$A$2:$A$501,0))</f>
        <v>24.82</v>
      </c>
      <c r="J730" s="12" t="n">
        <f aca="false">INDEX(Destination!$G$2:$G$501,MATCH(D730,Destination!$A$2:$A$501,0))</f>
        <v>93.94</v>
      </c>
      <c r="K730" s="17" t="n">
        <f aca="false">Assumptions!$B$2*2*ASIN(SQRT(SIN(RADIANS(I730-G730)/2)^2+COS(RADIANS(G730))*COS(RADIANS(I730))*SIN(RADIANS(J730-H730)/2)^2))</f>
        <v>82.0654787143759</v>
      </c>
      <c r="L730" s="18" t="n">
        <f aca="false">K730*Assumptions!$B$3</f>
        <v>106.685122328689</v>
      </c>
      <c r="M730" s="19" t="n">
        <f aca="false">L730/Assumptions!$B$4</f>
        <v>2.37078049619308</v>
      </c>
      <c r="N730" s="9" t="s">
        <v>1365</v>
      </c>
    </row>
    <row r="731" customFormat="false" ht="15" hidden="false" customHeight="false" outlineLevel="0" collapsed="false">
      <c r="A731" s="9" t="s">
        <v>2094</v>
      </c>
      <c r="B731" s="9" t="s">
        <v>832</v>
      </c>
      <c r="C731" s="9" t="str">
        <f aca="false">IFERROR(INDEX(Destination!$B$2:$B$501,MATCH(B731,Destination!$A$2:$A$501,0)),"")</f>
        <v>Dzukou Valley</v>
      </c>
      <c r="D731" s="9" t="s">
        <v>839</v>
      </c>
      <c r="E731" s="9" t="str">
        <f aca="false">IFERROR(INDEX(Destination!$B$2:$B$501,MATCH(D731,Destination!$A$2:$A$501,0)),"")</f>
        <v>Ukhrul</v>
      </c>
      <c r="F731" s="9" t="s">
        <v>1364</v>
      </c>
      <c r="G731" s="12" t="n">
        <f aca="false">INDEX(Destination!$F$2:$F$501,MATCH(B731,Destination!$A$2:$A$501,0))</f>
        <v>25.55</v>
      </c>
      <c r="H731" s="12" t="n">
        <f aca="false">INDEX(Destination!$G$2:$G$501,MATCH(B731,Destination!$A$2:$A$501,0))</f>
        <v>94.06</v>
      </c>
      <c r="I731" s="12" t="n">
        <f aca="false">INDEX(Destination!$F$2:$F$501,MATCH(D731,Destination!$A$2:$A$501,0))</f>
        <v>25.1</v>
      </c>
      <c r="J731" s="12" t="n">
        <f aca="false">INDEX(Destination!$G$2:$G$501,MATCH(D731,Destination!$A$2:$A$501,0))</f>
        <v>94.36</v>
      </c>
      <c r="K731" s="17" t="n">
        <f aca="false">Assumptions!$B$2*2*ASIN(SQRT(SIN(RADIANS(I731-G731)/2)^2+COS(RADIANS(G731))*COS(RADIANS(I731))*SIN(RADIANS(J731-H731)/2)^2))</f>
        <v>58.4204064493292</v>
      </c>
      <c r="L731" s="18" t="n">
        <f aca="false">K731*Assumptions!$B$3</f>
        <v>75.946528384128</v>
      </c>
      <c r="M731" s="19" t="n">
        <f aca="false">L731/Assumptions!$B$4</f>
        <v>1.6877006307584</v>
      </c>
      <c r="N731" s="9" t="s">
        <v>1365</v>
      </c>
    </row>
    <row r="732" customFormat="false" ht="15" hidden="false" customHeight="false" outlineLevel="0" collapsed="false">
      <c r="A732" s="9" t="s">
        <v>2095</v>
      </c>
      <c r="B732" s="9" t="s">
        <v>834</v>
      </c>
      <c r="C732" s="9" t="str">
        <f aca="false">IFERROR(INDEX(Destination!$B$2:$B$501,MATCH(B732,Destination!$A$2:$A$501,0)),"")</f>
        <v>Imphal</v>
      </c>
      <c r="D732" s="9" t="s">
        <v>837</v>
      </c>
      <c r="E732" s="9" t="str">
        <f aca="false">IFERROR(INDEX(Destination!$B$2:$B$501,MATCH(D732,Destination!$A$2:$A$501,0)),"")</f>
        <v>Loktak Lake</v>
      </c>
      <c r="F732" s="9" t="s">
        <v>1364</v>
      </c>
      <c r="G732" s="12" t="n">
        <f aca="false">INDEX(Destination!$F$2:$F$501,MATCH(B732,Destination!$A$2:$A$501,0))</f>
        <v>24.82</v>
      </c>
      <c r="H732" s="12" t="n">
        <f aca="false">INDEX(Destination!$G$2:$G$501,MATCH(B732,Destination!$A$2:$A$501,0))</f>
        <v>93.94</v>
      </c>
      <c r="I732" s="12" t="n">
        <f aca="false">INDEX(Destination!$F$2:$F$501,MATCH(D732,Destination!$A$2:$A$501,0))</f>
        <v>24.51</v>
      </c>
      <c r="J732" s="12" t="n">
        <f aca="false">INDEX(Destination!$G$2:$G$501,MATCH(D732,Destination!$A$2:$A$501,0))</f>
        <v>93.8</v>
      </c>
      <c r="K732" s="17" t="n">
        <f aca="false">Assumptions!$B$2*2*ASIN(SQRT(SIN(RADIANS(I732-G732)/2)^2+COS(RADIANS(G732))*COS(RADIANS(I732))*SIN(RADIANS(J732-H732)/2)^2))</f>
        <v>37.2605235495134</v>
      </c>
      <c r="L732" s="18" t="n">
        <f aca="false">K732*Assumptions!$B$3</f>
        <v>48.4386806143675</v>
      </c>
      <c r="M732" s="19" t="n">
        <f aca="false">L732/Assumptions!$B$4</f>
        <v>1.07641512476372</v>
      </c>
      <c r="N732" s="9" t="s">
        <v>1365</v>
      </c>
    </row>
    <row r="733" customFormat="false" ht="15" hidden="false" customHeight="false" outlineLevel="0" collapsed="false">
      <c r="A733" s="9" t="s">
        <v>2096</v>
      </c>
      <c r="B733" s="9" t="s">
        <v>834</v>
      </c>
      <c r="C733" s="9" t="str">
        <f aca="false">IFERROR(INDEX(Destination!$B$2:$B$501,MATCH(B733,Destination!$A$2:$A$501,0)),"")</f>
        <v>Imphal</v>
      </c>
      <c r="D733" s="9" t="s">
        <v>839</v>
      </c>
      <c r="E733" s="9" t="str">
        <f aca="false">IFERROR(INDEX(Destination!$B$2:$B$501,MATCH(D733,Destination!$A$2:$A$501,0)),"")</f>
        <v>Ukhrul</v>
      </c>
      <c r="F733" s="9" t="s">
        <v>1364</v>
      </c>
      <c r="G733" s="12" t="n">
        <f aca="false">INDEX(Destination!$F$2:$F$501,MATCH(B733,Destination!$A$2:$A$501,0))</f>
        <v>24.82</v>
      </c>
      <c r="H733" s="12" t="n">
        <f aca="false">INDEX(Destination!$G$2:$G$501,MATCH(B733,Destination!$A$2:$A$501,0))</f>
        <v>93.94</v>
      </c>
      <c r="I733" s="12" t="n">
        <f aca="false">INDEX(Destination!$F$2:$F$501,MATCH(D733,Destination!$A$2:$A$501,0))</f>
        <v>25.1</v>
      </c>
      <c r="J733" s="12" t="n">
        <f aca="false">INDEX(Destination!$G$2:$G$501,MATCH(D733,Destination!$A$2:$A$501,0))</f>
        <v>94.36</v>
      </c>
      <c r="K733" s="17" t="n">
        <f aca="false">Assumptions!$B$2*2*ASIN(SQRT(SIN(RADIANS(I733-G733)/2)^2+COS(RADIANS(G733))*COS(RADIANS(I733))*SIN(RADIANS(J733-H733)/2)^2))</f>
        <v>52.5550512359669</v>
      </c>
      <c r="L733" s="18" t="n">
        <f aca="false">K733*Assumptions!$B$3</f>
        <v>68.321566606757</v>
      </c>
      <c r="M733" s="19" t="n">
        <f aca="false">L733/Assumptions!$B$4</f>
        <v>1.51825703570571</v>
      </c>
      <c r="N733" s="9" t="s">
        <v>1365</v>
      </c>
    </row>
    <row r="734" customFormat="false" ht="15" hidden="false" customHeight="false" outlineLevel="0" collapsed="false">
      <c r="A734" s="9" t="s">
        <v>2097</v>
      </c>
      <c r="B734" s="9" t="s">
        <v>837</v>
      </c>
      <c r="C734" s="9" t="str">
        <f aca="false">IFERROR(INDEX(Destination!$B$2:$B$501,MATCH(B734,Destination!$A$2:$A$501,0)),"")</f>
        <v>Loktak Lake</v>
      </c>
      <c r="D734" s="9" t="s">
        <v>839</v>
      </c>
      <c r="E734" s="9" t="str">
        <f aca="false">IFERROR(INDEX(Destination!$B$2:$B$501,MATCH(D734,Destination!$A$2:$A$501,0)),"")</f>
        <v>Ukhrul</v>
      </c>
      <c r="F734" s="9" t="s">
        <v>1364</v>
      </c>
      <c r="G734" s="12" t="n">
        <f aca="false">INDEX(Destination!$F$2:$F$501,MATCH(B734,Destination!$A$2:$A$501,0))</f>
        <v>24.51</v>
      </c>
      <c r="H734" s="12" t="n">
        <f aca="false">INDEX(Destination!$G$2:$G$501,MATCH(B734,Destination!$A$2:$A$501,0))</f>
        <v>93.8</v>
      </c>
      <c r="I734" s="12" t="n">
        <f aca="false">INDEX(Destination!$F$2:$F$501,MATCH(D734,Destination!$A$2:$A$501,0))</f>
        <v>25.1</v>
      </c>
      <c r="J734" s="12" t="n">
        <f aca="false">INDEX(Destination!$G$2:$G$501,MATCH(D734,Destination!$A$2:$A$501,0))</f>
        <v>94.36</v>
      </c>
      <c r="K734" s="17" t="n">
        <f aca="false">Assumptions!$B$2*2*ASIN(SQRT(SIN(RADIANS(I734-G734)/2)^2+COS(RADIANS(G734))*COS(RADIANS(I734))*SIN(RADIANS(J734-H734)/2)^2))</f>
        <v>86.5965249717451</v>
      </c>
      <c r="L734" s="18" t="n">
        <f aca="false">K734*Assumptions!$B$3</f>
        <v>112.575482463269</v>
      </c>
      <c r="M734" s="19" t="n">
        <f aca="false">L734/Assumptions!$B$4</f>
        <v>2.50167738807264</v>
      </c>
      <c r="N734" s="9" t="s">
        <v>1365</v>
      </c>
    </row>
    <row r="735" customFormat="false" ht="15" hidden="false" customHeight="false" outlineLevel="0" collapsed="false">
      <c r="A735" s="9" t="s">
        <v>2098</v>
      </c>
      <c r="B735" s="9" t="s">
        <v>841</v>
      </c>
      <c r="C735" s="9" t="str">
        <f aca="false">IFERROR(INDEX(Destination!$B$2:$B$501,MATCH(B735,Destination!$A$2:$A$501,0)),"")</f>
        <v>Agartala</v>
      </c>
      <c r="D735" s="9" t="s">
        <v>844</v>
      </c>
      <c r="E735" s="9" t="str">
        <f aca="false">IFERROR(INDEX(Destination!$B$2:$B$501,MATCH(D735,Destination!$A$2:$A$501,0)),"")</f>
        <v>Unakoti</v>
      </c>
      <c r="F735" s="9" t="s">
        <v>1364</v>
      </c>
      <c r="G735" s="12" t="n">
        <f aca="false">INDEX(Destination!$F$2:$F$501,MATCH(B735,Destination!$A$2:$A$501,0))</f>
        <v>23.83</v>
      </c>
      <c r="H735" s="12" t="n">
        <f aca="false">INDEX(Destination!$G$2:$G$501,MATCH(B735,Destination!$A$2:$A$501,0))</f>
        <v>91.28</v>
      </c>
      <c r="I735" s="12" t="n">
        <f aca="false">INDEX(Destination!$F$2:$F$501,MATCH(D735,Destination!$A$2:$A$501,0))</f>
        <v>24.32</v>
      </c>
      <c r="J735" s="12" t="n">
        <f aca="false">INDEX(Destination!$G$2:$G$501,MATCH(D735,Destination!$A$2:$A$501,0))</f>
        <v>92.06</v>
      </c>
      <c r="K735" s="17" t="n">
        <f aca="false">Assumptions!$B$2*2*ASIN(SQRT(SIN(RADIANS(I735-G735)/2)^2+COS(RADIANS(G735))*COS(RADIANS(I735))*SIN(RADIANS(J735-H735)/2)^2))</f>
        <v>96.1209718220645</v>
      </c>
      <c r="L735" s="18" t="n">
        <f aca="false">K735*Assumptions!$B$3</f>
        <v>124.957263368684</v>
      </c>
      <c r="M735" s="19" t="n">
        <f aca="false">L735/Assumptions!$B$4</f>
        <v>2.77682807485964</v>
      </c>
      <c r="N735" s="9" t="s">
        <v>1365</v>
      </c>
    </row>
    <row r="736" customFormat="false" ht="15" hidden="false" customHeight="false" outlineLevel="0" collapsed="false">
      <c r="A736" s="9" t="s">
        <v>2099</v>
      </c>
      <c r="B736" s="9" t="s">
        <v>846</v>
      </c>
      <c r="C736" s="9" t="str">
        <f aca="false">IFERROR(INDEX(Destination!$B$2:$B$501,MATCH(B736,Destination!$A$2:$A$501,0)),"")</f>
        <v>Gangtok</v>
      </c>
      <c r="D736" s="9" t="s">
        <v>851</v>
      </c>
      <c r="E736" s="9" t="str">
        <f aca="false">IFERROR(INDEX(Destination!$B$2:$B$501,MATCH(D736,Destination!$A$2:$A$501,0)),"")</f>
        <v>Lachung</v>
      </c>
      <c r="F736" s="9" t="s">
        <v>1364</v>
      </c>
      <c r="G736" s="12" t="n">
        <f aca="false">INDEX(Destination!$F$2:$F$501,MATCH(B736,Destination!$A$2:$A$501,0))</f>
        <v>27.33</v>
      </c>
      <c r="H736" s="12" t="n">
        <f aca="false">INDEX(Destination!$G$2:$G$501,MATCH(B736,Destination!$A$2:$A$501,0))</f>
        <v>88.61</v>
      </c>
      <c r="I736" s="12" t="n">
        <f aca="false">INDEX(Destination!$F$2:$F$501,MATCH(D736,Destination!$A$2:$A$501,0))</f>
        <v>27.69</v>
      </c>
      <c r="J736" s="12" t="n">
        <f aca="false">INDEX(Destination!$G$2:$G$501,MATCH(D736,Destination!$A$2:$A$501,0))</f>
        <v>88.74</v>
      </c>
      <c r="K736" s="17" t="n">
        <f aca="false">Assumptions!$B$2*2*ASIN(SQRT(SIN(RADIANS(I736-G736)/2)^2+COS(RADIANS(G736))*COS(RADIANS(I736))*SIN(RADIANS(J736-H736)/2)^2))</f>
        <v>42.0331860054432</v>
      </c>
      <c r="L736" s="18" t="n">
        <f aca="false">K736*Assumptions!$B$3</f>
        <v>54.6431418070761</v>
      </c>
      <c r="M736" s="19" t="n">
        <f aca="false">L736/Assumptions!$B$4</f>
        <v>1.21429204015725</v>
      </c>
      <c r="N736" s="9" t="s">
        <v>1365</v>
      </c>
    </row>
    <row r="737" customFormat="false" ht="15" hidden="false" customHeight="false" outlineLevel="0" collapsed="false">
      <c r="A737" s="9" t="s">
        <v>2100</v>
      </c>
      <c r="B737" s="9" t="s">
        <v>846</v>
      </c>
      <c r="C737" s="9" t="str">
        <f aca="false">IFERROR(INDEX(Destination!$B$2:$B$501,MATCH(B737,Destination!$A$2:$A$501,0)),"")</f>
        <v>Gangtok</v>
      </c>
      <c r="D737" s="9" t="s">
        <v>853</v>
      </c>
      <c r="E737" s="9" t="str">
        <f aca="false">IFERROR(INDEX(Destination!$B$2:$B$501,MATCH(D737,Destination!$A$2:$A$501,0)),"")</f>
        <v>Yumthang Valley</v>
      </c>
      <c r="F737" s="9" t="s">
        <v>1364</v>
      </c>
      <c r="G737" s="12" t="n">
        <f aca="false">INDEX(Destination!$F$2:$F$501,MATCH(B737,Destination!$A$2:$A$501,0))</f>
        <v>27.33</v>
      </c>
      <c r="H737" s="12" t="n">
        <f aca="false">INDEX(Destination!$G$2:$G$501,MATCH(B737,Destination!$A$2:$A$501,0))</f>
        <v>88.61</v>
      </c>
      <c r="I737" s="12" t="n">
        <f aca="false">INDEX(Destination!$F$2:$F$501,MATCH(D737,Destination!$A$2:$A$501,0))</f>
        <v>27.82</v>
      </c>
      <c r="J737" s="12" t="n">
        <f aca="false">INDEX(Destination!$G$2:$G$501,MATCH(D737,Destination!$A$2:$A$501,0))</f>
        <v>88.7</v>
      </c>
      <c r="K737" s="17" t="n">
        <f aca="false">Assumptions!$B$2*2*ASIN(SQRT(SIN(RADIANS(I737-G737)/2)^2+COS(RADIANS(G737))*COS(RADIANS(I737))*SIN(RADIANS(J737-H737)/2)^2))</f>
        <v>55.2029025258503</v>
      </c>
      <c r="L737" s="18" t="n">
        <f aca="false">K737*Assumptions!$B$3</f>
        <v>71.7637732836054</v>
      </c>
      <c r="M737" s="19" t="n">
        <f aca="false">L737/Assumptions!$B$4</f>
        <v>1.59475051741345</v>
      </c>
      <c r="N737" s="9" t="s">
        <v>1365</v>
      </c>
    </row>
    <row r="738" customFormat="false" ht="15" hidden="false" customHeight="false" outlineLevel="0" collapsed="false">
      <c r="A738" s="9" t="s">
        <v>2101</v>
      </c>
      <c r="B738" s="9" t="s">
        <v>846</v>
      </c>
      <c r="C738" s="9" t="str">
        <f aca="false">IFERROR(INDEX(Destination!$B$2:$B$501,MATCH(B738,Destination!$A$2:$A$501,0)),"")</f>
        <v>Gangtok</v>
      </c>
      <c r="D738" s="9" t="s">
        <v>855</v>
      </c>
      <c r="E738" s="9" t="str">
        <f aca="false">IFERROR(INDEX(Destination!$B$2:$B$501,MATCH(D738,Destination!$A$2:$A$501,0)),"")</f>
        <v>Nathula</v>
      </c>
      <c r="F738" s="9" t="s">
        <v>1364</v>
      </c>
      <c r="G738" s="12" t="n">
        <f aca="false">INDEX(Destination!$F$2:$F$501,MATCH(B738,Destination!$A$2:$A$501,0))</f>
        <v>27.33</v>
      </c>
      <c r="H738" s="12" t="n">
        <f aca="false">INDEX(Destination!$G$2:$G$501,MATCH(B738,Destination!$A$2:$A$501,0))</f>
        <v>88.61</v>
      </c>
      <c r="I738" s="12" t="n">
        <f aca="false">INDEX(Destination!$F$2:$F$501,MATCH(D738,Destination!$A$2:$A$501,0))</f>
        <v>27.39</v>
      </c>
      <c r="J738" s="12" t="n">
        <f aca="false">INDEX(Destination!$G$2:$G$501,MATCH(D738,Destination!$A$2:$A$501,0))</f>
        <v>88.83</v>
      </c>
      <c r="K738" s="17" t="n">
        <f aca="false">Assumptions!$B$2*2*ASIN(SQRT(SIN(RADIANS(I738-G738)/2)^2+COS(RADIANS(G738))*COS(RADIANS(I738))*SIN(RADIANS(J738-H738)/2)^2))</f>
        <v>22.7276672289863</v>
      </c>
      <c r="L738" s="18" t="n">
        <f aca="false">K738*Assumptions!$B$3</f>
        <v>29.5459673976822</v>
      </c>
      <c r="M738" s="19" t="n">
        <f aca="false">L738/Assumptions!$B$4</f>
        <v>0.656577053281827</v>
      </c>
      <c r="N738" s="9" t="s">
        <v>1365</v>
      </c>
    </row>
    <row r="739" customFormat="false" ht="15" hidden="false" customHeight="false" outlineLevel="0" collapsed="false">
      <c r="A739" s="9" t="s">
        <v>2102</v>
      </c>
      <c r="B739" s="9" t="s">
        <v>846</v>
      </c>
      <c r="C739" s="9" t="str">
        <f aca="false">IFERROR(INDEX(Destination!$B$2:$B$501,MATCH(B739,Destination!$A$2:$A$501,0)),"")</f>
        <v>Gangtok</v>
      </c>
      <c r="D739" s="9" t="s">
        <v>857</v>
      </c>
      <c r="E739" s="9" t="str">
        <f aca="false">IFERROR(INDEX(Destination!$B$2:$B$501,MATCH(D739,Destination!$A$2:$A$501,0)),"")</f>
        <v>Ravangla</v>
      </c>
      <c r="F739" s="9" t="s">
        <v>1364</v>
      </c>
      <c r="G739" s="12" t="n">
        <f aca="false">INDEX(Destination!$F$2:$F$501,MATCH(B739,Destination!$A$2:$A$501,0))</f>
        <v>27.33</v>
      </c>
      <c r="H739" s="12" t="n">
        <f aca="false">INDEX(Destination!$G$2:$G$501,MATCH(B739,Destination!$A$2:$A$501,0))</f>
        <v>88.61</v>
      </c>
      <c r="I739" s="12" t="n">
        <f aca="false">INDEX(Destination!$F$2:$F$501,MATCH(D739,Destination!$A$2:$A$501,0))</f>
        <v>27.3</v>
      </c>
      <c r="J739" s="12" t="n">
        <f aca="false">INDEX(Destination!$G$2:$G$501,MATCH(D739,Destination!$A$2:$A$501,0))</f>
        <v>88.36</v>
      </c>
      <c r="K739" s="17" t="n">
        <f aca="false">Assumptions!$B$2*2*ASIN(SQRT(SIN(RADIANS(I739-G739)/2)^2+COS(RADIANS(G739))*COS(RADIANS(I739))*SIN(RADIANS(J739-H739)/2)^2))</f>
        <v>24.9233396379993</v>
      </c>
      <c r="L739" s="18" t="n">
        <f aca="false">K739*Assumptions!$B$3</f>
        <v>32.4003415293992</v>
      </c>
      <c r="M739" s="19" t="n">
        <f aca="false">L739/Assumptions!$B$4</f>
        <v>0.720007589542203</v>
      </c>
      <c r="N739" s="9" t="s">
        <v>1365</v>
      </c>
    </row>
    <row r="740" customFormat="false" ht="15" hidden="false" customHeight="false" outlineLevel="0" collapsed="false">
      <c r="A740" s="9" t="s">
        <v>2103</v>
      </c>
      <c r="B740" s="9" t="s">
        <v>846</v>
      </c>
      <c r="C740" s="9" t="str">
        <f aca="false">IFERROR(INDEX(Destination!$B$2:$B$501,MATCH(B740,Destination!$A$2:$A$501,0)),"")</f>
        <v>Gangtok</v>
      </c>
      <c r="D740" s="9" t="s">
        <v>859</v>
      </c>
      <c r="E740" s="9" t="str">
        <f aca="false">IFERROR(INDEX(Destination!$B$2:$B$501,MATCH(D740,Destination!$A$2:$A$501,0)),"")</f>
        <v>Namchi</v>
      </c>
      <c r="F740" s="9" t="s">
        <v>1364</v>
      </c>
      <c r="G740" s="12" t="n">
        <f aca="false">INDEX(Destination!$F$2:$F$501,MATCH(B740,Destination!$A$2:$A$501,0))</f>
        <v>27.33</v>
      </c>
      <c r="H740" s="12" t="n">
        <f aca="false">INDEX(Destination!$G$2:$G$501,MATCH(B740,Destination!$A$2:$A$501,0))</f>
        <v>88.61</v>
      </c>
      <c r="I740" s="12" t="n">
        <f aca="false">INDEX(Destination!$F$2:$F$501,MATCH(D740,Destination!$A$2:$A$501,0))</f>
        <v>27.17</v>
      </c>
      <c r="J740" s="12" t="n">
        <f aca="false">INDEX(Destination!$G$2:$G$501,MATCH(D740,Destination!$A$2:$A$501,0))</f>
        <v>88.36</v>
      </c>
      <c r="K740" s="17" t="n">
        <f aca="false">Assumptions!$B$2*2*ASIN(SQRT(SIN(RADIANS(I740-G740)/2)^2+COS(RADIANS(G740))*COS(RADIANS(I740))*SIN(RADIANS(J740-H740)/2)^2))</f>
        <v>30.4513540918922</v>
      </c>
      <c r="L740" s="18" t="n">
        <f aca="false">K740*Assumptions!$B$3</f>
        <v>39.5867603194598</v>
      </c>
      <c r="M740" s="19" t="n">
        <f aca="false">L740/Assumptions!$B$4</f>
        <v>0.879705784876885</v>
      </c>
      <c r="N740" s="9" t="s">
        <v>1365</v>
      </c>
    </row>
    <row r="741" customFormat="false" ht="15" hidden="false" customHeight="false" outlineLevel="0" collapsed="false">
      <c r="A741" s="9" t="s">
        <v>2104</v>
      </c>
      <c r="B741" s="9" t="s">
        <v>849</v>
      </c>
      <c r="C741" s="9" t="str">
        <f aca="false">IFERROR(INDEX(Destination!$B$2:$B$501,MATCH(B741,Destination!$A$2:$A$501,0)),"")</f>
        <v>Pelling</v>
      </c>
      <c r="D741" s="9" t="s">
        <v>857</v>
      </c>
      <c r="E741" s="9" t="str">
        <f aca="false">IFERROR(INDEX(Destination!$B$2:$B$501,MATCH(D741,Destination!$A$2:$A$501,0)),"")</f>
        <v>Ravangla</v>
      </c>
      <c r="F741" s="9" t="s">
        <v>1364</v>
      </c>
      <c r="G741" s="12" t="n">
        <f aca="false">INDEX(Destination!$F$2:$F$501,MATCH(B741,Destination!$A$2:$A$501,0))</f>
        <v>27.3</v>
      </c>
      <c r="H741" s="12" t="n">
        <f aca="false">INDEX(Destination!$G$2:$G$501,MATCH(B741,Destination!$A$2:$A$501,0))</f>
        <v>88.24</v>
      </c>
      <c r="I741" s="12" t="n">
        <f aca="false">INDEX(Destination!$F$2:$F$501,MATCH(D741,Destination!$A$2:$A$501,0))</f>
        <v>27.3</v>
      </c>
      <c r="J741" s="12" t="n">
        <f aca="false">INDEX(Destination!$G$2:$G$501,MATCH(D741,Destination!$A$2:$A$501,0))</f>
        <v>88.36</v>
      </c>
      <c r="K741" s="17" t="n">
        <f aca="false">Assumptions!$B$2*2*ASIN(SQRT(SIN(RADIANS(I741-G741)/2)^2+COS(RADIANS(G741))*COS(RADIANS(I741))*SIN(RADIANS(J741-H741)/2)^2))</f>
        <v>11.857166904141</v>
      </c>
      <c r="L741" s="18" t="n">
        <f aca="false">K741*Assumptions!$B$3</f>
        <v>15.4143169753833</v>
      </c>
      <c r="M741" s="19" t="n">
        <f aca="false">L741/Assumptions!$B$4</f>
        <v>0.342540377230739</v>
      </c>
      <c r="N741" s="9" t="s">
        <v>1365</v>
      </c>
    </row>
    <row r="742" customFormat="false" ht="15" hidden="false" customHeight="false" outlineLevel="0" collapsed="false">
      <c r="A742" s="9" t="s">
        <v>2105</v>
      </c>
      <c r="B742" s="9" t="s">
        <v>849</v>
      </c>
      <c r="C742" s="9" t="str">
        <f aca="false">IFERROR(INDEX(Destination!$B$2:$B$501,MATCH(B742,Destination!$A$2:$A$501,0)),"")</f>
        <v>Pelling</v>
      </c>
      <c r="D742" s="9" t="s">
        <v>859</v>
      </c>
      <c r="E742" s="9" t="str">
        <f aca="false">IFERROR(INDEX(Destination!$B$2:$B$501,MATCH(D742,Destination!$A$2:$A$501,0)),"")</f>
        <v>Namchi</v>
      </c>
      <c r="F742" s="9" t="s">
        <v>1364</v>
      </c>
      <c r="G742" s="12" t="n">
        <f aca="false">INDEX(Destination!$F$2:$F$501,MATCH(B742,Destination!$A$2:$A$501,0))</f>
        <v>27.3</v>
      </c>
      <c r="H742" s="12" t="n">
        <f aca="false">INDEX(Destination!$G$2:$G$501,MATCH(B742,Destination!$A$2:$A$501,0))</f>
        <v>88.24</v>
      </c>
      <c r="I742" s="12" t="n">
        <f aca="false">INDEX(Destination!$F$2:$F$501,MATCH(D742,Destination!$A$2:$A$501,0))</f>
        <v>27.17</v>
      </c>
      <c r="J742" s="12" t="n">
        <f aca="false">INDEX(Destination!$G$2:$G$501,MATCH(D742,Destination!$A$2:$A$501,0))</f>
        <v>88.36</v>
      </c>
      <c r="K742" s="17" t="n">
        <f aca="false">Assumptions!$B$2*2*ASIN(SQRT(SIN(RADIANS(I742-G742)/2)^2+COS(RADIANS(G742))*COS(RADIANS(I742))*SIN(RADIANS(J742-H742)/2)^2))</f>
        <v>18.7006331126508</v>
      </c>
      <c r="L742" s="18" t="n">
        <f aca="false">K742*Assumptions!$B$3</f>
        <v>24.310823046446</v>
      </c>
      <c r="M742" s="19" t="n">
        <f aca="false">L742/Assumptions!$B$4</f>
        <v>0.540240512143244</v>
      </c>
      <c r="N742" s="9" t="s">
        <v>1365</v>
      </c>
    </row>
    <row r="743" customFormat="false" ht="15" hidden="false" customHeight="false" outlineLevel="0" collapsed="false">
      <c r="A743" s="9" t="s">
        <v>2106</v>
      </c>
      <c r="B743" s="9" t="s">
        <v>851</v>
      </c>
      <c r="C743" s="9" t="str">
        <f aca="false">IFERROR(INDEX(Destination!$B$2:$B$501,MATCH(B743,Destination!$A$2:$A$501,0)),"")</f>
        <v>Lachung</v>
      </c>
      <c r="D743" s="9" t="s">
        <v>853</v>
      </c>
      <c r="E743" s="9" t="str">
        <f aca="false">IFERROR(INDEX(Destination!$B$2:$B$501,MATCH(D743,Destination!$A$2:$A$501,0)),"")</f>
        <v>Yumthang Valley</v>
      </c>
      <c r="F743" s="9" t="s">
        <v>1364</v>
      </c>
      <c r="G743" s="12" t="n">
        <f aca="false">INDEX(Destination!$F$2:$F$501,MATCH(B743,Destination!$A$2:$A$501,0))</f>
        <v>27.69</v>
      </c>
      <c r="H743" s="12" t="n">
        <f aca="false">INDEX(Destination!$G$2:$G$501,MATCH(B743,Destination!$A$2:$A$501,0))</f>
        <v>88.74</v>
      </c>
      <c r="I743" s="12" t="n">
        <f aca="false">INDEX(Destination!$F$2:$F$501,MATCH(D743,Destination!$A$2:$A$501,0))</f>
        <v>27.82</v>
      </c>
      <c r="J743" s="12" t="n">
        <f aca="false">INDEX(Destination!$G$2:$G$501,MATCH(D743,Destination!$A$2:$A$501,0))</f>
        <v>88.7</v>
      </c>
      <c r="K743" s="17" t="n">
        <f aca="false">Assumptions!$B$2*2*ASIN(SQRT(SIN(RADIANS(I743-G743)/2)^2+COS(RADIANS(G743))*COS(RADIANS(I743))*SIN(RADIANS(J743-H743)/2)^2))</f>
        <v>14.9816374525797</v>
      </c>
      <c r="L743" s="18" t="n">
        <f aca="false">K743*Assumptions!$B$3</f>
        <v>19.4761286883537</v>
      </c>
      <c r="M743" s="19" t="n">
        <f aca="false">L743/Assumptions!$B$4</f>
        <v>0.432802859741193</v>
      </c>
      <c r="N743" s="9" t="s">
        <v>1365</v>
      </c>
    </row>
    <row r="744" customFormat="false" ht="15" hidden="false" customHeight="false" outlineLevel="0" collapsed="false">
      <c r="A744" s="9" t="s">
        <v>2107</v>
      </c>
      <c r="B744" s="9" t="s">
        <v>851</v>
      </c>
      <c r="C744" s="9" t="str">
        <f aca="false">IFERROR(INDEX(Destination!$B$2:$B$501,MATCH(B744,Destination!$A$2:$A$501,0)),"")</f>
        <v>Lachung</v>
      </c>
      <c r="D744" s="9" t="s">
        <v>855</v>
      </c>
      <c r="E744" s="9" t="str">
        <f aca="false">IFERROR(INDEX(Destination!$B$2:$B$501,MATCH(D744,Destination!$A$2:$A$501,0)),"")</f>
        <v>Nathula</v>
      </c>
      <c r="F744" s="9" t="s">
        <v>1364</v>
      </c>
      <c r="G744" s="12" t="n">
        <f aca="false">INDEX(Destination!$F$2:$F$501,MATCH(B744,Destination!$A$2:$A$501,0))</f>
        <v>27.69</v>
      </c>
      <c r="H744" s="12" t="n">
        <f aca="false">INDEX(Destination!$G$2:$G$501,MATCH(B744,Destination!$A$2:$A$501,0))</f>
        <v>88.74</v>
      </c>
      <c r="I744" s="12" t="n">
        <f aca="false">INDEX(Destination!$F$2:$F$501,MATCH(D744,Destination!$A$2:$A$501,0))</f>
        <v>27.39</v>
      </c>
      <c r="J744" s="12" t="n">
        <f aca="false">INDEX(Destination!$G$2:$G$501,MATCH(D744,Destination!$A$2:$A$501,0))</f>
        <v>88.83</v>
      </c>
      <c r="K744" s="17" t="n">
        <f aca="false">Assumptions!$B$2*2*ASIN(SQRT(SIN(RADIANS(I744-G744)/2)^2+COS(RADIANS(G744))*COS(RADIANS(I744))*SIN(RADIANS(J744-H744)/2)^2))</f>
        <v>34.5185166217338</v>
      </c>
      <c r="L744" s="18" t="n">
        <f aca="false">K744*Assumptions!$B$3</f>
        <v>44.874071608254</v>
      </c>
      <c r="M744" s="19" t="n">
        <f aca="false">L744/Assumptions!$B$4</f>
        <v>0.997201591294533</v>
      </c>
      <c r="N744" s="9" t="s">
        <v>1365</v>
      </c>
    </row>
    <row r="745" customFormat="false" ht="15" hidden="false" customHeight="false" outlineLevel="0" collapsed="false">
      <c r="A745" s="9" t="s">
        <v>2108</v>
      </c>
      <c r="B745" s="9" t="s">
        <v>853</v>
      </c>
      <c r="C745" s="9" t="str">
        <f aca="false">IFERROR(INDEX(Destination!$B$2:$B$501,MATCH(B745,Destination!$A$2:$A$501,0)),"")</f>
        <v>Yumthang Valley</v>
      </c>
      <c r="D745" s="9" t="s">
        <v>855</v>
      </c>
      <c r="E745" s="9" t="str">
        <f aca="false">IFERROR(INDEX(Destination!$B$2:$B$501,MATCH(D745,Destination!$A$2:$A$501,0)),"")</f>
        <v>Nathula</v>
      </c>
      <c r="F745" s="9" t="s">
        <v>1364</v>
      </c>
      <c r="G745" s="12" t="n">
        <f aca="false">INDEX(Destination!$F$2:$F$501,MATCH(B745,Destination!$A$2:$A$501,0))</f>
        <v>27.82</v>
      </c>
      <c r="H745" s="12" t="n">
        <f aca="false">INDEX(Destination!$G$2:$G$501,MATCH(B745,Destination!$A$2:$A$501,0))</f>
        <v>88.7</v>
      </c>
      <c r="I745" s="12" t="n">
        <f aca="false">INDEX(Destination!$F$2:$F$501,MATCH(D745,Destination!$A$2:$A$501,0))</f>
        <v>27.39</v>
      </c>
      <c r="J745" s="12" t="n">
        <f aca="false">INDEX(Destination!$G$2:$G$501,MATCH(D745,Destination!$A$2:$A$501,0))</f>
        <v>88.83</v>
      </c>
      <c r="K745" s="17" t="n">
        <f aca="false">Assumptions!$B$2*2*ASIN(SQRT(SIN(RADIANS(I745-G745)/2)^2+COS(RADIANS(G745))*COS(RADIANS(I745))*SIN(RADIANS(J745-H745)/2)^2))</f>
        <v>49.5000054307572</v>
      </c>
      <c r="L745" s="18" t="n">
        <f aca="false">K745*Assumptions!$B$3</f>
        <v>64.3500070599844</v>
      </c>
      <c r="M745" s="19" t="n">
        <f aca="false">L745/Assumptions!$B$4</f>
        <v>1.43000015688854</v>
      </c>
      <c r="N745" s="9" t="s">
        <v>1365</v>
      </c>
    </row>
    <row r="746" customFormat="false" ht="15" hidden="false" customHeight="false" outlineLevel="0" collapsed="false">
      <c r="A746" s="9" t="s">
        <v>2109</v>
      </c>
      <c r="B746" s="9" t="s">
        <v>855</v>
      </c>
      <c r="C746" s="9" t="str">
        <f aca="false">IFERROR(INDEX(Destination!$B$2:$B$501,MATCH(B746,Destination!$A$2:$A$501,0)),"")</f>
        <v>Nathula</v>
      </c>
      <c r="D746" s="9" t="s">
        <v>857</v>
      </c>
      <c r="E746" s="9" t="str">
        <f aca="false">IFERROR(INDEX(Destination!$B$2:$B$501,MATCH(D746,Destination!$A$2:$A$501,0)),"")</f>
        <v>Ravangla</v>
      </c>
      <c r="F746" s="9" t="s">
        <v>1364</v>
      </c>
      <c r="G746" s="12" t="n">
        <f aca="false">INDEX(Destination!$F$2:$F$501,MATCH(B746,Destination!$A$2:$A$501,0))</f>
        <v>27.39</v>
      </c>
      <c r="H746" s="12" t="n">
        <f aca="false">INDEX(Destination!$G$2:$G$501,MATCH(B746,Destination!$A$2:$A$501,0))</f>
        <v>88.83</v>
      </c>
      <c r="I746" s="12" t="n">
        <f aca="false">INDEX(Destination!$F$2:$F$501,MATCH(D746,Destination!$A$2:$A$501,0))</f>
        <v>27.3</v>
      </c>
      <c r="J746" s="12" t="n">
        <f aca="false">INDEX(Destination!$G$2:$G$501,MATCH(D746,Destination!$A$2:$A$501,0))</f>
        <v>88.36</v>
      </c>
      <c r="K746" s="17" t="n">
        <f aca="false">Assumptions!$B$2*2*ASIN(SQRT(SIN(RADIANS(I746-G746)/2)^2+COS(RADIANS(G746))*COS(RADIANS(I746))*SIN(RADIANS(J746-H746)/2)^2))</f>
        <v>47.4881541123095</v>
      </c>
      <c r="L746" s="18" t="n">
        <f aca="false">K746*Assumptions!$B$3</f>
        <v>61.7346003460023</v>
      </c>
      <c r="M746" s="19" t="n">
        <f aca="false">L746/Assumptions!$B$4</f>
        <v>1.37188000768894</v>
      </c>
      <c r="N746" s="9" t="s">
        <v>1365</v>
      </c>
    </row>
    <row r="747" customFormat="false" ht="15" hidden="false" customHeight="false" outlineLevel="0" collapsed="false">
      <c r="A747" s="9" t="s">
        <v>2110</v>
      </c>
      <c r="B747" s="9" t="s">
        <v>857</v>
      </c>
      <c r="C747" s="9" t="str">
        <f aca="false">IFERROR(INDEX(Destination!$B$2:$B$501,MATCH(B747,Destination!$A$2:$A$501,0)),"")</f>
        <v>Ravangla</v>
      </c>
      <c r="D747" s="9" t="s">
        <v>859</v>
      </c>
      <c r="E747" s="9" t="str">
        <f aca="false">IFERROR(INDEX(Destination!$B$2:$B$501,MATCH(D747,Destination!$A$2:$A$501,0)),"")</f>
        <v>Namchi</v>
      </c>
      <c r="F747" s="9" t="s">
        <v>1364</v>
      </c>
      <c r="G747" s="12" t="n">
        <f aca="false">INDEX(Destination!$F$2:$F$501,MATCH(B747,Destination!$A$2:$A$501,0))</f>
        <v>27.3</v>
      </c>
      <c r="H747" s="12" t="n">
        <f aca="false">INDEX(Destination!$G$2:$G$501,MATCH(B747,Destination!$A$2:$A$501,0))</f>
        <v>88.36</v>
      </c>
      <c r="I747" s="12" t="n">
        <f aca="false">INDEX(Destination!$F$2:$F$501,MATCH(D747,Destination!$A$2:$A$501,0))</f>
        <v>27.17</v>
      </c>
      <c r="J747" s="12" t="n">
        <f aca="false">INDEX(Destination!$G$2:$G$501,MATCH(D747,Destination!$A$2:$A$501,0))</f>
        <v>88.36</v>
      </c>
      <c r="K747" s="17" t="n">
        <f aca="false">Assumptions!$B$2*2*ASIN(SQRT(SIN(RADIANS(I747-G747)/2)^2+COS(RADIANS(G747))*COS(RADIANS(I747))*SIN(RADIANS(J747-H747)/2)^2))</f>
        <v>14.4553404637925</v>
      </c>
      <c r="L747" s="18" t="n">
        <f aca="false">K747*Assumptions!$B$3</f>
        <v>18.7919426029303</v>
      </c>
      <c r="M747" s="19" t="n">
        <f aca="false">L747/Assumptions!$B$4</f>
        <v>0.417598724509562</v>
      </c>
      <c r="N747" s="9" t="s">
        <v>1365</v>
      </c>
    </row>
    <row r="748" customFormat="false" ht="15" hidden="false" customHeight="false" outlineLevel="0" collapsed="false">
      <c r="A748" s="9" t="s">
        <v>2111</v>
      </c>
      <c r="B748" s="9" t="s">
        <v>861</v>
      </c>
      <c r="C748" s="9" t="str">
        <f aca="false">IFERROR(INDEX(Destination!$B$2:$B$501,MATCH(B748,Destination!$A$2:$A$501,0)),"")</f>
        <v>Auli</v>
      </c>
      <c r="D748" s="9" t="s">
        <v>863</v>
      </c>
      <c r="E748" s="9" t="str">
        <f aca="false">IFERROR(INDEX(Destination!$B$2:$B$501,MATCH(D748,Destination!$A$2:$A$501,0)),"")</f>
        <v>Chopta</v>
      </c>
      <c r="F748" s="9" t="s">
        <v>1364</v>
      </c>
      <c r="G748" s="12" t="n">
        <f aca="false">INDEX(Destination!$F$2:$F$501,MATCH(B748,Destination!$A$2:$A$501,0))</f>
        <v>30.53</v>
      </c>
      <c r="H748" s="12" t="n">
        <f aca="false">INDEX(Destination!$G$2:$G$501,MATCH(B748,Destination!$A$2:$A$501,0))</f>
        <v>79.57</v>
      </c>
      <c r="I748" s="12" t="n">
        <f aca="false">INDEX(Destination!$F$2:$F$501,MATCH(D748,Destination!$A$2:$A$501,0))</f>
        <v>30.49</v>
      </c>
      <c r="J748" s="12" t="n">
        <f aca="false">INDEX(Destination!$G$2:$G$501,MATCH(D748,Destination!$A$2:$A$501,0))</f>
        <v>79.02</v>
      </c>
      <c r="K748" s="17" t="n">
        <f aca="false">Assumptions!$B$2*2*ASIN(SQRT(SIN(RADIANS(I748-G748)/2)^2+COS(RADIANS(G748))*COS(RADIANS(I748))*SIN(RADIANS(J748-H748)/2)^2))</f>
        <v>52.8767608162476</v>
      </c>
      <c r="L748" s="18" t="n">
        <f aca="false">K748*Assumptions!$B$3</f>
        <v>68.7397890611219</v>
      </c>
      <c r="M748" s="19" t="n">
        <f aca="false">L748/Assumptions!$B$4</f>
        <v>1.52755086802493</v>
      </c>
      <c r="N748" s="9" t="s">
        <v>1365</v>
      </c>
    </row>
    <row r="749" customFormat="false" ht="15" hidden="false" customHeight="false" outlineLevel="0" collapsed="false">
      <c r="A749" s="9" t="s">
        <v>2112</v>
      </c>
      <c r="B749" s="9" t="s">
        <v>867</v>
      </c>
      <c r="C749" s="9" t="str">
        <f aca="false">IFERROR(INDEX(Destination!$B$2:$B$501,MATCH(B749,Destination!$A$2:$A$501,0)),"")</f>
        <v>Ranikhet</v>
      </c>
      <c r="D749" s="9" t="s">
        <v>869</v>
      </c>
      <c r="E749" s="9" t="str">
        <f aca="false">IFERROR(INDEX(Destination!$B$2:$B$501,MATCH(D749,Destination!$A$2:$A$501,0)),"")</f>
        <v>Almora</v>
      </c>
      <c r="F749" s="9" t="s">
        <v>1364</v>
      </c>
      <c r="G749" s="12" t="n">
        <f aca="false">INDEX(Destination!$F$2:$F$501,MATCH(B749,Destination!$A$2:$A$501,0))</f>
        <v>29.64</v>
      </c>
      <c r="H749" s="12" t="n">
        <f aca="false">INDEX(Destination!$G$2:$G$501,MATCH(B749,Destination!$A$2:$A$501,0))</f>
        <v>79.43</v>
      </c>
      <c r="I749" s="12" t="n">
        <f aca="false">INDEX(Destination!$F$2:$F$501,MATCH(D749,Destination!$A$2:$A$501,0))</f>
        <v>29.6</v>
      </c>
      <c r="J749" s="12" t="n">
        <f aca="false">INDEX(Destination!$G$2:$G$501,MATCH(D749,Destination!$A$2:$A$501,0))</f>
        <v>79.66</v>
      </c>
      <c r="K749" s="17" t="n">
        <f aca="false">Assumptions!$B$2*2*ASIN(SQRT(SIN(RADIANS(I749-G749)/2)^2+COS(RADIANS(G749))*COS(RADIANS(I749))*SIN(RADIANS(J749-H749)/2)^2))</f>
        <v>22.673311657937</v>
      </c>
      <c r="L749" s="18" t="n">
        <f aca="false">K749*Assumptions!$B$3</f>
        <v>29.4753051553181</v>
      </c>
      <c r="M749" s="19" t="n">
        <f aca="false">L749/Assumptions!$B$4</f>
        <v>0.655006781229291</v>
      </c>
      <c r="N749" s="9" t="s">
        <v>1365</v>
      </c>
    </row>
    <row r="750" customFormat="false" ht="15" hidden="false" customHeight="false" outlineLevel="0" collapsed="false">
      <c r="A750" s="9" t="s">
        <v>2113</v>
      </c>
      <c r="B750" s="9" t="s">
        <v>867</v>
      </c>
      <c r="C750" s="9" t="str">
        <f aca="false">IFERROR(INDEX(Destination!$B$2:$B$501,MATCH(B750,Destination!$A$2:$A$501,0)),"")</f>
        <v>Ranikhet</v>
      </c>
      <c r="D750" s="9" t="s">
        <v>871</v>
      </c>
      <c r="E750" s="9" t="str">
        <f aca="false">IFERROR(INDEX(Destination!$B$2:$B$501,MATCH(D750,Destination!$A$2:$A$501,0)),"")</f>
        <v>Mukteshwar</v>
      </c>
      <c r="F750" s="9" t="s">
        <v>1364</v>
      </c>
      <c r="G750" s="12" t="n">
        <f aca="false">INDEX(Destination!$F$2:$F$501,MATCH(B750,Destination!$A$2:$A$501,0))</f>
        <v>29.64</v>
      </c>
      <c r="H750" s="12" t="n">
        <f aca="false">INDEX(Destination!$G$2:$G$501,MATCH(B750,Destination!$A$2:$A$501,0))</f>
        <v>79.43</v>
      </c>
      <c r="I750" s="12" t="n">
        <f aca="false">INDEX(Destination!$F$2:$F$501,MATCH(D750,Destination!$A$2:$A$501,0))</f>
        <v>29.47</v>
      </c>
      <c r="J750" s="12" t="n">
        <f aca="false">INDEX(Destination!$G$2:$G$501,MATCH(D750,Destination!$A$2:$A$501,0))</f>
        <v>79.65</v>
      </c>
      <c r="K750" s="17" t="n">
        <f aca="false">Assumptions!$B$2*2*ASIN(SQRT(SIN(RADIANS(I750-G750)/2)^2+COS(RADIANS(G750))*COS(RADIANS(I750))*SIN(RADIANS(J750-H750)/2)^2))</f>
        <v>28.4632971797534</v>
      </c>
      <c r="L750" s="18" t="n">
        <f aca="false">K750*Assumptions!$B$3</f>
        <v>37.0022863336794</v>
      </c>
      <c r="M750" s="19" t="n">
        <f aca="false">L750/Assumptions!$B$4</f>
        <v>0.82227302963732</v>
      </c>
      <c r="N750" s="9" t="s">
        <v>1365</v>
      </c>
    </row>
    <row r="751" customFormat="false" ht="15" hidden="false" customHeight="false" outlineLevel="0" collapsed="false">
      <c r="A751" s="9" t="s">
        <v>2114</v>
      </c>
      <c r="B751" s="9" t="s">
        <v>867</v>
      </c>
      <c r="C751" s="9" t="str">
        <f aca="false">IFERROR(INDEX(Destination!$B$2:$B$501,MATCH(B751,Destination!$A$2:$A$501,0)),"")</f>
        <v>Ranikhet</v>
      </c>
      <c r="D751" s="9" t="s">
        <v>873</v>
      </c>
      <c r="E751" s="9" t="str">
        <f aca="false">IFERROR(INDEX(Destination!$B$2:$B$501,MATCH(D751,Destination!$A$2:$A$501,0)),"")</f>
        <v>Kausani</v>
      </c>
      <c r="F751" s="9" t="s">
        <v>1364</v>
      </c>
      <c r="G751" s="12" t="n">
        <f aca="false">INDEX(Destination!$F$2:$F$501,MATCH(B751,Destination!$A$2:$A$501,0))</f>
        <v>29.64</v>
      </c>
      <c r="H751" s="12" t="n">
        <f aca="false">INDEX(Destination!$G$2:$G$501,MATCH(B751,Destination!$A$2:$A$501,0))</f>
        <v>79.43</v>
      </c>
      <c r="I751" s="12" t="n">
        <f aca="false">INDEX(Destination!$F$2:$F$501,MATCH(D751,Destination!$A$2:$A$501,0))</f>
        <v>29.84</v>
      </c>
      <c r="J751" s="12" t="n">
        <f aca="false">INDEX(Destination!$G$2:$G$501,MATCH(D751,Destination!$A$2:$A$501,0))</f>
        <v>79.6</v>
      </c>
      <c r="K751" s="17" t="n">
        <f aca="false">Assumptions!$B$2*2*ASIN(SQRT(SIN(RADIANS(I751-G751)/2)^2+COS(RADIANS(G751))*COS(RADIANS(I751))*SIN(RADIANS(J751-H751)/2)^2))</f>
        <v>27.6399873669798</v>
      </c>
      <c r="L751" s="18" t="n">
        <f aca="false">K751*Assumptions!$B$3</f>
        <v>35.9319835770737</v>
      </c>
      <c r="M751" s="19" t="n">
        <f aca="false">L751/Assumptions!$B$4</f>
        <v>0.798488523934971</v>
      </c>
      <c r="N751" s="9" t="s">
        <v>1365</v>
      </c>
    </row>
    <row r="752" customFormat="false" ht="15" hidden="false" customHeight="false" outlineLevel="0" collapsed="false">
      <c r="A752" s="9" t="s">
        <v>2115</v>
      </c>
      <c r="B752" s="9" t="s">
        <v>869</v>
      </c>
      <c r="C752" s="9" t="str">
        <f aca="false">IFERROR(INDEX(Destination!$B$2:$B$501,MATCH(B752,Destination!$A$2:$A$501,0)),"")</f>
        <v>Almora</v>
      </c>
      <c r="D752" s="9" t="s">
        <v>871</v>
      </c>
      <c r="E752" s="9" t="str">
        <f aca="false">IFERROR(INDEX(Destination!$B$2:$B$501,MATCH(D752,Destination!$A$2:$A$501,0)),"")</f>
        <v>Mukteshwar</v>
      </c>
      <c r="F752" s="9" t="s">
        <v>1364</v>
      </c>
      <c r="G752" s="12" t="n">
        <f aca="false">INDEX(Destination!$F$2:$F$501,MATCH(B752,Destination!$A$2:$A$501,0))</f>
        <v>29.6</v>
      </c>
      <c r="H752" s="12" t="n">
        <f aca="false">INDEX(Destination!$G$2:$G$501,MATCH(B752,Destination!$A$2:$A$501,0))</f>
        <v>79.66</v>
      </c>
      <c r="I752" s="12" t="n">
        <f aca="false">INDEX(Destination!$F$2:$F$501,MATCH(D752,Destination!$A$2:$A$501,0))</f>
        <v>29.47</v>
      </c>
      <c r="J752" s="12" t="n">
        <f aca="false">INDEX(Destination!$G$2:$G$501,MATCH(D752,Destination!$A$2:$A$501,0))</f>
        <v>79.65</v>
      </c>
      <c r="K752" s="17" t="n">
        <f aca="false">Assumptions!$B$2*2*ASIN(SQRT(SIN(RADIANS(I752-G752)/2)^2+COS(RADIANS(G752))*COS(RADIANS(I752))*SIN(RADIANS(J752-H752)/2)^2))</f>
        <v>14.4876788905688</v>
      </c>
      <c r="L752" s="18" t="n">
        <f aca="false">K752*Assumptions!$B$3</f>
        <v>18.8339825577394</v>
      </c>
      <c r="M752" s="19" t="n">
        <f aca="false">L752/Assumptions!$B$4</f>
        <v>0.418532945727543</v>
      </c>
      <c r="N752" s="9" t="s">
        <v>1365</v>
      </c>
    </row>
    <row r="753" customFormat="false" ht="15" hidden="false" customHeight="false" outlineLevel="0" collapsed="false">
      <c r="A753" s="9" t="s">
        <v>2116</v>
      </c>
      <c r="B753" s="9" t="s">
        <v>869</v>
      </c>
      <c r="C753" s="9" t="str">
        <f aca="false">IFERROR(INDEX(Destination!$B$2:$B$501,MATCH(B753,Destination!$A$2:$A$501,0)),"")</f>
        <v>Almora</v>
      </c>
      <c r="D753" s="9" t="s">
        <v>873</v>
      </c>
      <c r="E753" s="9" t="str">
        <f aca="false">IFERROR(INDEX(Destination!$B$2:$B$501,MATCH(D753,Destination!$A$2:$A$501,0)),"")</f>
        <v>Kausani</v>
      </c>
      <c r="F753" s="9" t="s">
        <v>1364</v>
      </c>
      <c r="G753" s="12" t="n">
        <f aca="false">INDEX(Destination!$F$2:$F$501,MATCH(B753,Destination!$A$2:$A$501,0))</f>
        <v>29.6</v>
      </c>
      <c r="H753" s="12" t="n">
        <f aca="false">INDEX(Destination!$G$2:$G$501,MATCH(B753,Destination!$A$2:$A$501,0))</f>
        <v>79.66</v>
      </c>
      <c r="I753" s="12" t="n">
        <f aca="false">INDEX(Destination!$F$2:$F$501,MATCH(D753,Destination!$A$2:$A$501,0))</f>
        <v>29.84</v>
      </c>
      <c r="J753" s="12" t="n">
        <f aca="false">INDEX(Destination!$G$2:$G$501,MATCH(D753,Destination!$A$2:$A$501,0))</f>
        <v>79.6</v>
      </c>
      <c r="K753" s="17" t="n">
        <f aca="false">Assumptions!$B$2*2*ASIN(SQRT(SIN(RADIANS(I753-G753)/2)^2+COS(RADIANS(G753))*COS(RADIANS(I753))*SIN(RADIANS(J753-H753)/2)^2))</f>
        <v>27.3085288044611</v>
      </c>
      <c r="L753" s="18" t="n">
        <f aca="false">K753*Assumptions!$B$3</f>
        <v>35.5010874457995</v>
      </c>
      <c r="M753" s="19" t="n">
        <f aca="false">L753/Assumptions!$B$4</f>
        <v>0.7889130543511</v>
      </c>
      <c r="N753" s="9" t="s">
        <v>1365</v>
      </c>
    </row>
    <row r="754" customFormat="false" ht="15" hidden="false" customHeight="false" outlineLevel="0" collapsed="false">
      <c r="A754" s="9" t="s">
        <v>2117</v>
      </c>
      <c r="B754" s="9" t="s">
        <v>871</v>
      </c>
      <c r="C754" s="9" t="str">
        <f aca="false">IFERROR(INDEX(Destination!$B$2:$B$501,MATCH(B754,Destination!$A$2:$A$501,0)),"")</f>
        <v>Mukteshwar</v>
      </c>
      <c r="D754" s="9" t="s">
        <v>873</v>
      </c>
      <c r="E754" s="9" t="str">
        <f aca="false">IFERROR(INDEX(Destination!$B$2:$B$501,MATCH(D754,Destination!$A$2:$A$501,0)),"")</f>
        <v>Kausani</v>
      </c>
      <c r="F754" s="9" t="s">
        <v>1364</v>
      </c>
      <c r="G754" s="12" t="n">
        <f aca="false">INDEX(Destination!$F$2:$F$501,MATCH(B754,Destination!$A$2:$A$501,0))</f>
        <v>29.47</v>
      </c>
      <c r="H754" s="12" t="n">
        <f aca="false">INDEX(Destination!$G$2:$G$501,MATCH(B754,Destination!$A$2:$A$501,0))</f>
        <v>79.65</v>
      </c>
      <c r="I754" s="12" t="n">
        <f aca="false">INDEX(Destination!$F$2:$F$501,MATCH(D754,Destination!$A$2:$A$501,0))</f>
        <v>29.84</v>
      </c>
      <c r="J754" s="12" t="n">
        <f aca="false">INDEX(Destination!$G$2:$G$501,MATCH(D754,Destination!$A$2:$A$501,0))</f>
        <v>79.6</v>
      </c>
      <c r="K754" s="17" t="n">
        <f aca="false">Assumptions!$B$2*2*ASIN(SQRT(SIN(RADIANS(I754-G754)/2)^2+COS(RADIANS(G754))*COS(RADIANS(I754))*SIN(RADIANS(J754-H754)/2)^2))</f>
        <v>41.4248454763475</v>
      </c>
      <c r="L754" s="18" t="n">
        <f aca="false">K754*Assumptions!$B$3</f>
        <v>53.8522991192518</v>
      </c>
      <c r="M754" s="19" t="n">
        <f aca="false">L754/Assumptions!$B$4</f>
        <v>1.1967177582056</v>
      </c>
      <c r="N754" s="9" t="s">
        <v>1365</v>
      </c>
    </row>
    <row r="755" customFormat="false" ht="15" hidden="false" customHeight="false" outlineLevel="0" collapsed="false">
      <c r="A755" s="9" t="s">
        <v>2118</v>
      </c>
      <c r="B755" s="9" t="s">
        <v>875</v>
      </c>
      <c r="C755" s="9" t="str">
        <f aca="false">IFERROR(INDEX(Destination!$B$2:$B$501,MATCH(B755,Destination!$A$2:$A$501,0)),"")</f>
        <v>Dhanaulti</v>
      </c>
      <c r="D755" s="9" t="s">
        <v>877</v>
      </c>
      <c r="E755" s="9" t="str">
        <f aca="false">IFERROR(INDEX(Destination!$B$2:$B$501,MATCH(D755,Destination!$A$2:$A$501,0)),"")</f>
        <v>Chakrata</v>
      </c>
      <c r="F755" s="9" t="s">
        <v>1364</v>
      </c>
      <c r="G755" s="12" t="n">
        <f aca="false">INDEX(Destination!$F$2:$F$501,MATCH(B755,Destination!$A$2:$A$501,0))</f>
        <v>30.42</v>
      </c>
      <c r="H755" s="12" t="n">
        <f aca="false">INDEX(Destination!$G$2:$G$501,MATCH(B755,Destination!$A$2:$A$501,0))</f>
        <v>78.26</v>
      </c>
      <c r="I755" s="12" t="n">
        <f aca="false">INDEX(Destination!$F$2:$F$501,MATCH(D755,Destination!$A$2:$A$501,0))</f>
        <v>30.7</v>
      </c>
      <c r="J755" s="12" t="n">
        <f aca="false">INDEX(Destination!$G$2:$G$501,MATCH(D755,Destination!$A$2:$A$501,0))</f>
        <v>77.87</v>
      </c>
      <c r="K755" s="17" t="n">
        <f aca="false">Assumptions!$B$2*2*ASIN(SQRT(SIN(RADIANS(I755-G755)/2)^2+COS(RADIANS(G755))*COS(RADIANS(I755))*SIN(RADIANS(J755-H755)/2)^2))</f>
        <v>48.6189960099106</v>
      </c>
      <c r="L755" s="18" t="n">
        <f aca="false">K755*Assumptions!$B$3</f>
        <v>63.2046948128838</v>
      </c>
      <c r="M755" s="19" t="n">
        <f aca="false">L755/Assumptions!$B$4</f>
        <v>1.40454877361964</v>
      </c>
      <c r="N755" s="9" t="s">
        <v>1365</v>
      </c>
    </row>
    <row r="756" customFormat="false" ht="15" hidden="false" customHeight="false" outlineLevel="0" collapsed="false">
      <c r="A756" s="9" t="s">
        <v>2119</v>
      </c>
      <c r="B756" s="9" t="s">
        <v>879</v>
      </c>
      <c r="C756" s="9" t="str">
        <f aca="false">IFERROR(INDEX(Destination!$B$2:$B$501,MATCH(B756,Destination!$A$2:$A$501,0)),"")</f>
        <v>McLeod Ganj</v>
      </c>
      <c r="D756" s="9" t="s">
        <v>891</v>
      </c>
      <c r="E756" s="9" t="str">
        <f aca="false">IFERROR(INDEX(Destination!$B$2:$B$501,MATCH(D756,Destination!$A$2:$A$501,0)),"")</f>
        <v>Chamba</v>
      </c>
      <c r="F756" s="9" t="s">
        <v>1364</v>
      </c>
      <c r="G756" s="12" t="n">
        <f aca="false">INDEX(Destination!$F$2:$F$501,MATCH(B756,Destination!$A$2:$A$501,0))</f>
        <v>32.24</v>
      </c>
      <c r="H756" s="12" t="n">
        <f aca="false">INDEX(Destination!$G$2:$G$501,MATCH(B756,Destination!$A$2:$A$501,0))</f>
        <v>76.32</v>
      </c>
      <c r="I756" s="12" t="n">
        <f aca="false">INDEX(Destination!$F$2:$F$501,MATCH(D756,Destination!$A$2:$A$501,0))</f>
        <v>32.55</v>
      </c>
      <c r="J756" s="12" t="n">
        <f aca="false">INDEX(Destination!$G$2:$G$501,MATCH(D756,Destination!$A$2:$A$501,0))</f>
        <v>76.13</v>
      </c>
      <c r="K756" s="17" t="n">
        <f aca="false">Assumptions!$B$2*2*ASIN(SQRT(SIN(RADIANS(I756-G756)/2)^2+COS(RADIANS(G756))*COS(RADIANS(I756))*SIN(RADIANS(J756-H756)/2)^2))</f>
        <v>38.8129266150031</v>
      </c>
      <c r="L756" s="18" t="n">
        <f aca="false">K756*Assumptions!$B$3</f>
        <v>50.4568045995041</v>
      </c>
      <c r="M756" s="19" t="n">
        <f aca="false">L756/Assumptions!$B$4</f>
        <v>1.12126232443342</v>
      </c>
      <c r="N756" s="9" t="s">
        <v>1365</v>
      </c>
    </row>
    <row r="757" customFormat="false" ht="15" hidden="false" customHeight="false" outlineLevel="0" collapsed="false">
      <c r="A757" s="9" t="s">
        <v>2120</v>
      </c>
      <c r="B757" s="9" t="s">
        <v>879</v>
      </c>
      <c r="C757" s="9" t="str">
        <f aca="false">IFERROR(INDEX(Destination!$B$2:$B$501,MATCH(B757,Destination!$A$2:$A$501,0)),"")</f>
        <v>McLeod Ganj</v>
      </c>
      <c r="D757" s="9" t="s">
        <v>893</v>
      </c>
      <c r="E757" s="9" t="str">
        <f aca="false">IFERROR(INDEX(Destination!$B$2:$B$501,MATCH(D757,Destination!$A$2:$A$501,0)),"")</f>
        <v>Khajjiar</v>
      </c>
      <c r="F757" s="9" t="s">
        <v>1364</v>
      </c>
      <c r="G757" s="12" t="n">
        <f aca="false">INDEX(Destination!$F$2:$F$501,MATCH(B757,Destination!$A$2:$A$501,0))</f>
        <v>32.24</v>
      </c>
      <c r="H757" s="12" t="n">
        <f aca="false">INDEX(Destination!$G$2:$G$501,MATCH(B757,Destination!$A$2:$A$501,0))</f>
        <v>76.32</v>
      </c>
      <c r="I757" s="12" t="n">
        <f aca="false">INDEX(Destination!$F$2:$F$501,MATCH(D757,Destination!$A$2:$A$501,0))</f>
        <v>32.55</v>
      </c>
      <c r="J757" s="12" t="n">
        <f aca="false">INDEX(Destination!$G$2:$G$501,MATCH(D757,Destination!$A$2:$A$501,0))</f>
        <v>76.06</v>
      </c>
      <c r="K757" s="17" t="n">
        <f aca="false">Assumptions!$B$2*2*ASIN(SQRT(SIN(RADIANS(I757-G757)/2)^2+COS(RADIANS(G757))*COS(RADIANS(I757))*SIN(RADIANS(J757-H757)/2)^2))</f>
        <v>42.2389109448188</v>
      </c>
      <c r="L757" s="18" t="n">
        <f aca="false">K757*Assumptions!$B$3</f>
        <v>54.9105842282644</v>
      </c>
      <c r="M757" s="19" t="n">
        <f aca="false">L757/Assumptions!$B$4</f>
        <v>1.22023520507254</v>
      </c>
      <c r="N757" s="9" t="s">
        <v>1365</v>
      </c>
    </row>
    <row r="758" customFormat="false" ht="15" hidden="false" customHeight="false" outlineLevel="0" collapsed="false">
      <c r="A758" s="9" t="s">
        <v>2121</v>
      </c>
      <c r="B758" s="9" t="s">
        <v>879</v>
      </c>
      <c r="C758" s="9" t="str">
        <f aca="false">IFERROR(INDEX(Destination!$B$2:$B$501,MATCH(B758,Destination!$A$2:$A$501,0)),"")</f>
        <v>McLeod Ganj</v>
      </c>
      <c r="D758" s="9" t="s">
        <v>895</v>
      </c>
      <c r="E758" s="9" t="str">
        <f aca="false">IFERROR(INDEX(Destination!$B$2:$B$501,MATCH(D758,Destination!$A$2:$A$501,0)),"")</f>
        <v>Bir Billing</v>
      </c>
      <c r="F758" s="9" t="s">
        <v>1364</v>
      </c>
      <c r="G758" s="12" t="n">
        <f aca="false">INDEX(Destination!$F$2:$F$501,MATCH(B758,Destination!$A$2:$A$501,0))</f>
        <v>32.24</v>
      </c>
      <c r="H758" s="12" t="n">
        <f aca="false">INDEX(Destination!$G$2:$G$501,MATCH(B758,Destination!$A$2:$A$501,0))</f>
        <v>76.32</v>
      </c>
      <c r="I758" s="12" t="n">
        <f aca="false">INDEX(Destination!$F$2:$F$501,MATCH(D758,Destination!$A$2:$A$501,0))</f>
        <v>32.04</v>
      </c>
      <c r="J758" s="12" t="n">
        <f aca="false">INDEX(Destination!$G$2:$G$501,MATCH(D758,Destination!$A$2:$A$501,0))</f>
        <v>76.72</v>
      </c>
      <c r="K758" s="17" t="n">
        <f aca="false">Assumptions!$B$2*2*ASIN(SQRT(SIN(RADIANS(I758-G758)/2)^2+COS(RADIANS(G758))*COS(RADIANS(I758))*SIN(RADIANS(J758-H758)/2)^2))</f>
        <v>43.7375743709189</v>
      </c>
      <c r="L758" s="18" t="n">
        <f aca="false">K758*Assumptions!$B$3</f>
        <v>56.8588466821946</v>
      </c>
      <c r="M758" s="19" t="n">
        <f aca="false">L758/Assumptions!$B$4</f>
        <v>1.26352992627099</v>
      </c>
      <c r="N758" s="9" t="s">
        <v>1365</v>
      </c>
    </row>
    <row r="759" customFormat="false" ht="15" hidden="false" customHeight="false" outlineLevel="0" collapsed="false">
      <c r="A759" s="9" t="s">
        <v>2122</v>
      </c>
      <c r="B759" s="9" t="s">
        <v>881</v>
      </c>
      <c r="C759" s="9" t="str">
        <f aca="false">IFERROR(INDEX(Destination!$B$2:$B$501,MATCH(B759,Destination!$A$2:$A$501,0)),"")</f>
        <v>Kasol</v>
      </c>
      <c r="D759" s="9" t="s">
        <v>883</v>
      </c>
      <c r="E759" s="9" t="str">
        <f aca="false">IFERROR(INDEX(Destination!$B$2:$B$501,MATCH(D759,Destination!$A$2:$A$501,0)),"")</f>
        <v>Spiti Valley</v>
      </c>
      <c r="F759" s="9" t="s">
        <v>1364</v>
      </c>
      <c r="G759" s="12" t="n">
        <f aca="false">INDEX(Destination!$F$2:$F$501,MATCH(B759,Destination!$A$2:$A$501,0))</f>
        <v>32.01</v>
      </c>
      <c r="H759" s="12" t="n">
        <f aca="false">INDEX(Destination!$G$2:$G$501,MATCH(B759,Destination!$A$2:$A$501,0))</f>
        <v>77.31</v>
      </c>
      <c r="I759" s="12" t="n">
        <f aca="false">INDEX(Destination!$F$2:$F$501,MATCH(D759,Destination!$A$2:$A$501,0))</f>
        <v>32.25</v>
      </c>
      <c r="J759" s="12" t="n">
        <f aca="false">INDEX(Destination!$G$2:$G$501,MATCH(D759,Destination!$A$2:$A$501,0))</f>
        <v>78.03</v>
      </c>
      <c r="K759" s="17" t="n">
        <f aca="false">Assumptions!$B$2*2*ASIN(SQRT(SIN(RADIANS(I759-G759)/2)^2+COS(RADIANS(G759))*COS(RADIANS(I759))*SIN(RADIANS(J759-H759)/2)^2))</f>
        <v>72.8615218051106</v>
      </c>
      <c r="L759" s="18" t="n">
        <f aca="false">K759*Assumptions!$B$3</f>
        <v>94.7199783466438</v>
      </c>
      <c r="M759" s="19" t="n">
        <f aca="false">L759/Assumptions!$B$4</f>
        <v>2.1048884077032</v>
      </c>
      <c r="N759" s="9" t="s">
        <v>1365</v>
      </c>
    </row>
    <row r="760" customFormat="false" ht="15" hidden="false" customHeight="false" outlineLevel="0" collapsed="false">
      <c r="A760" s="9" t="s">
        <v>2123</v>
      </c>
      <c r="B760" s="9" t="s">
        <v>881</v>
      </c>
      <c r="C760" s="9" t="str">
        <f aca="false">IFERROR(INDEX(Destination!$B$2:$B$501,MATCH(B760,Destination!$A$2:$A$501,0)),"")</f>
        <v>Kasol</v>
      </c>
      <c r="D760" s="9" t="s">
        <v>889</v>
      </c>
      <c r="E760" s="9" t="str">
        <f aca="false">IFERROR(INDEX(Destination!$B$2:$B$501,MATCH(D760,Destination!$A$2:$A$501,0)),"")</f>
        <v>Kullu</v>
      </c>
      <c r="F760" s="9" t="s">
        <v>1364</v>
      </c>
      <c r="G760" s="12" t="n">
        <f aca="false">INDEX(Destination!$F$2:$F$501,MATCH(B760,Destination!$A$2:$A$501,0))</f>
        <v>32.01</v>
      </c>
      <c r="H760" s="12" t="n">
        <f aca="false">INDEX(Destination!$G$2:$G$501,MATCH(B760,Destination!$A$2:$A$501,0))</f>
        <v>77.31</v>
      </c>
      <c r="I760" s="12" t="n">
        <f aca="false">INDEX(Destination!$F$2:$F$501,MATCH(D760,Destination!$A$2:$A$501,0))</f>
        <v>31.96</v>
      </c>
      <c r="J760" s="12" t="n">
        <f aca="false">INDEX(Destination!$G$2:$G$501,MATCH(D760,Destination!$A$2:$A$501,0))</f>
        <v>77.11</v>
      </c>
      <c r="K760" s="17" t="n">
        <f aca="false">Assumptions!$B$2*2*ASIN(SQRT(SIN(RADIANS(I760-G760)/2)^2+COS(RADIANS(G760))*COS(RADIANS(I760))*SIN(RADIANS(J760-H760)/2)^2))</f>
        <v>19.6651054690135</v>
      </c>
      <c r="L760" s="18" t="n">
        <f aca="false">K760*Assumptions!$B$3</f>
        <v>25.5646371097176</v>
      </c>
      <c r="M760" s="19" t="n">
        <f aca="false">L760/Assumptions!$B$4</f>
        <v>0.568103046882614</v>
      </c>
      <c r="N760" s="9" t="s">
        <v>1365</v>
      </c>
    </row>
    <row r="761" customFormat="false" ht="15" hidden="false" customHeight="false" outlineLevel="0" collapsed="false">
      <c r="A761" s="9" t="s">
        <v>2124</v>
      </c>
      <c r="B761" s="9" t="s">
        <v>881</v>
      </c>
      <c r="C761" s="9" t="str">
        <f aca="false">IFERROR(INDEX(Destination!$B$2:$B$501,MATCH(B761,Destination!$A$2:$A$501,0)),"")</f>
        <v>Kasol</v>
      </c>
      <c r="D761" s="9" t="s">
        <v>897</v>
      </c>
      <c r="E761" s="9" t="str">
        <f aca="false">IFERROR(INDEX(Destination!$B$2:$B$501,MATCH(D761,Destination!$A$2:$A$501,0)),"")</f>
        <v>Tirthan Valley</v>
      </c>
      <c r="F761" s="9" t="s">
        <v>1364</v>
      </c>
      <c r="G761" s="12" t="n">
        <f aca="false">INDEX(Destination!$F$2:$F$501,MATCH(B761,Destination!$A$2:$A$501,0))</f>
        <v>32.01</v>
      </c>
      <c r="H761" s="12" t="n">
        <f aca="false">INDEX(Destination!$G$2:$G$501,MATCH(B761,Destination!$A$2:$A$501,0))</f>
        <v>77.31</v>
      </c>
      <c r="I761" s="12" t="n">
        <f aca="false">INDEX(Destination!$F$2:$F$501,MATCH(D761,Destination!$A$2:$A$501,0))</f>
        <v>31.62</v>
      </c>
      <c r="J761" s="12" t="n">
        <f aca="false">INDEX(Destination!$G$2:$G$501,MATCH(D761,Destination!$A$2:$A$501,0))</f>
        <v>77.35</v>
      </c>
      <c r="K761" s="17" t="n">
        <f aca="false">Assumptions!$B$2*2*ASIN(SQRT(SIN(RADIANS(I761-G761)/2)^2+COS(RADIANS(G761))*COS(RADIANS(I761))*SIN(RADIANS(J761-H761)/2)^2))</f>
        <v>43.530409927092</v>
      </c>
      <c r="L761" s="18" t="n">
        <f aca="false">K761*Assumptions!$B$3</f>
        <v>56.5895329052196</v>
      </c>
      <c r="M761" s="19" t="n">
        <f aca="false">L761/Assumptions!$B$4</f>
        <v>1.25754517567155</v>
      </c>
      <c r="N761" s="9" t="s">
        <v>1365</v>
      </c>
    </row>
    <row r="762" customFormat="false" ht="15" hidden="false" customHeight="false" outlineLevel="0" collapsed="false">
      <c r="A762" s="9" t="s">
        <v>2125</v>
      </c>
      <c r="B762" s="9" t="s">
        <v>881</v>
      </c>
      <c r="C762" s="9" t="str">
        <f aca="false">IFERROR(INDEX(Destination!$B$2:$B$501,MATCH(B762,Destination!$A$2:$A$501,0)),"")</f>
        <v>Kasol</v>
      </c>
      <c r="D762" s="9" t="s">
        <v>907</v>
      </c>
      <c r="E762" s="9" t="str">
        <f aca="false">IFERROR(INDEX(Destination!$B$2:$B$501,MATCH(D762,Destination!$A$2:$A$501,0)),"")</f>
        <v>Solang Valley</v>
      </c>
      <c r="F762" s="9" t="s">
        <v>1364</v>
      </c>
      <c r="G762" s="12" t="n">
        <f aca="false">INDEX(Destination!$F$2:$F$501,MATCH(B762,Destination!$A$2:$A$501,0))</f>
        <v>32.01</v>
      </c>
      <c r="H762" s="12" t="n">
        <f aca="false">INDEX(Destination!$G$2:$G$501,MATCH(B762,Destination!$A$2:$A$501,0))</f>
        <v>77.31</v>
      </c>
      <c r="I762" s="12" t="n">
        <f aca="false">INDEX(Destination!$F$2:$F$501,MATCH(D762,Destination!$A$2:$A$501,0))</f>
        <v>32.32</v>
      </c>
      <c r="J762" s="12" t="n">
        <f aca="false">INDEX(Destination!$G$2:$G$501,MATCH(D762,Destination!$A$2:$A$501,0))</f>
        <v>77.16</v>
      </c>
      <c r="K762" s="17" t="n">
        <f aca="false">Assumptions!$B$2*2*ASIN(SQRT(SIN(RADIANS(I762-G762)/2)^2+COS(RADIANS(G762))*COS(RADIANS(I762))*SIN(RADIANS(J762-H762)/2)^2))</f>
        <v>37.2500129181659</v>
      </c>
      <c r="L762" s="18" t="n">
        <f aca="false">K762*Assumptions!$B$3</f>
        <v>48.4250167936156</v>
      </c>
      <c r="M762" s="19" t="n">
        <f aca="false">L762/Assumptions!$B$4</f>
        <v>1.07611148430257</v>
      </c>
      <c r="N762" s="9" t="s">
        <v>1365</v>
      </c>
    </row>
    <row r="763" customFormat="false" ht="15" hidden="false" customHeight="false" outlineLevel="0" collapsed="false">
      <c r="A763" s="9" t="s">
        <v>2126</v>
      </c>
      <c r="B763" s="9" t="s">
        <v>881</v>
      </c>
      <c r="C763" s="9" t="str">
        <f aca="false">IFERROR(INDEX(Destination!$B$2:$B$501,MATCH(B763,Destination!$A$2:$A$501,0)),"")</f>
        <v>Kasol</v>
      </c>
      <c r="D763" s="9" t="s">
        <v>911</v>
      </c>
      <c r="E763" s="9" t="str">
        <f aca="false">IFERROR(INDEX(Destination!$B$2:$B$501,MATCH(D763,Destination!$A$2:$A$501,0)),"")</f>
        <v>Great Himalayan National Park</v>
      </c>
      <c r="F763" s="9" t="s">
        <v>1364</v>
      </c>
      <c r="G763" s="12" t="n">
        <f aca="false">INDEX(Destination!$F$2:$F$501,MATCH(B763,Destination!$A$2:$A$501,0))</f>
        <v>32.01</v>
      </c>
      <c r="H763" s="12" t="n">
        <f aca="false">INDEX(Destination!$G$2:$G$501,MATCH(B763,Destination!$A$2:$A$501,0))</f>
        <v>77.31</v>
      </c>
      <c r="I763" s="12" t="n">
        <f aca="false">INDEX(Destination!$F$2:$F$501,MATCH(D763,Destination!$A$2:$A$501,0))</f>
        <v>31.73</v>
      </c>
      <c r="J763" s="12" t="n">
        <f aca="false">INDEX(Destination!$G$2:$G$501,MATCH(D763,Destination!$A$2:$A$501,0))</f>
        <v>77.45</v>
      </c>
      <c r="K763" s="17" t="n">
        <f aca="false">Assumptions!$B$2*2*ASIN(SQRT(SIN(RADIANS(I763-G763)/2)^2+COS(RADIANS(G763))*COS(RADIANS(I763))*SIN(RADIANS(J763-H763)/2)^2))</f>
        <v>33.8251787461279</v>
      </c>
      <c r="L763" s="18" t="n">
        <f aca="false">K763*Assumptions!$B$3</f>
        <v>43.9727323699663</v>
      </c>
      <c r="M763" s="19" t="n">
        <f aca="false">L763/Assumptions!$B$4</f>
        <v>0.977171830443695</v>
      </c>
      <c r="N763" s="9" t="s">
        <v>1365</v>
      </c>
    </row>
    <row r="764" customFormat="false" ht="15" hidden="false" customHeight="false" outlineLevel="0" collapsed="false">
      <c r="A764" s="9" t="s">
        <v>2127</v>
      </c>
      <c r="B764" s="9" t="s">
        <v>883</v>
      </c>
      <c r="C764" s="9" t="str">
        <f aca="false">IFERROR(INDEX(Destination!$B$2:$B$501,MATCH(B764,Destination!$A$2:$A$501,0)),"")</f>
        <v>Spiti Valley</v>
      </c>
      <c r="D764" s="9" t="s">
        <v>886</v>
      </c>
      <c r="E764" s="9" t="str">
        <f aca="false">IFERROR(INDEX(Destination!$B$2:$B$501,MATCH(D764,Destination!$A$2:$A$501,0)),"")</f>
        <v>Kinnaur</v>
      </c>
      <c r="F764" s="9" t="s">
        <v>1364</v>
      </c>
      <c r="G764" s="12" t="n">
        <f aca="false">INDEX(Destination!$F$2:$F$501,MATCH(B764,Destination!$A$2:$A$501,0))</f>
        <v>32.25</v>
      </c>
      <c r="H764" s="12" t="n">
        <f aca="false">INDEX(Destination!$G$2:$G$501,MATCH(B764,Destination!$A$2:$A$501,0))</f>
        <v>78.03</v>
      </c>
      <c r="I764" s="12" t="n">
        <f aca="false">INDEX(Destination!$F$2:$F$501,MATCH(D764,Destination!$A$2:$A$501,0))</f>
        <v>31.54</v>
      </c>
      <c r="J764" s="12" t="n">
        <f aca="false">INDEX(Destination!$G$2:$G$501,MATCH(D764,Destination!$A$2:$A$501,0))</f>
        <v>78.27</v>
      </c>
      <c r="K764" s="17" t="n">
        <f aca="false">Assumptions!$B$2*2*ASIN(SQRT(SIN(RADIANS(I764-G764)/2)^2+COS(RADIANS(G764))*COS(RADIANS(I764))*SIN(RADIANS(J764-H764)/2)^2))</f>
        <v>82.1352533447586</v>
      </c>
      <c r="L764" s="18" t="n">
        <f aca="false">K764*Assumptions!$B$3</f>
        <v>106.775829348186</v>
      </c>
      <c r="M764" s="19" t="n">
        <f aca="false">L764/Assumptions!$B$4</f>
        <v>2.37279620773747</v>
      </c>
      <c r="N764" s="9" t="s">
        <v>1365</v>
      </c>
    </row>
    <row r="765" customFormat="false" ht="15" hidden="false" customHeight="false" outlineLevel="0" collapsed="false">
      <c r="A765" s="9" t="s">
        <v>2128</v>
      </c>
      <c r="B765" s="9" t="s">
        <v>883</v>
      </c>
      <c r="C765" s="9" t="str">
        <f aca="false">IFERROR(INDEX(Destination!$B$2:$B$501,MATCH(B765,Destination!$A$2:$A$501,0)),"")</f>
        <v>Spiti Valley</v>
      </c>
      <c r="D765" s="9" t="s">
        <v>899</v>
      </c>
      <c r="E765" s="9" t="str">
        <f aca="false">IFERROR(INDEX(Destination!$B$2:$B$501,MATCH(D765,Destination!$A$2:$A$501,0)),"")</f>
        <v>Manikaran</v>
      </c>
      <c r="F765" s="9" t="s">
        <v>1364</v>
      </c>
      <c r="G765" s="12" t="n">
        <f aca="false">INDEX(Destination!$F$2:$F$501,MATCH(B765,Destination!$A$2:$A$501,0))</f>
        <v>32.25</v>
      </c>
      <c r="H765" s="12" t="n">
        <f aca="false">INDEX(Destination!$G$2:$G$501,MATCH(B765,Destination!$A$2:$A$501,0))</f>
        <v>78.03</v>
      </c>
      <c r="I765" s="12" t="n">
        <f aca="false">INDEX(Destination!$F$2:$F$501,MATCH(D765,Destination!$A$2:$A$501,0))</f>
        <v>32.03</v>
      </c>
      <c r="J765" s="12" t="n">
        <f aca="false">INDEX(Destination!$G$2:$G$501,MATCH(D765,Destination!$A$2:$A$501,0))</f>
        <v>77.35</v>
      </c>
      <c r="K765" s="17" t="n">
        <f aca="false">Assumptions!$B$2*2*ASIN(SQRT(SIN(RADIANS(I765-G765)/2)^2+COS(RADIANS(G765))*COS(RADIANS(I765))*SIN(RADIANS(J765-H765)/2)^2))</f>
        <v>68.5390865011652</v>
      </c>
      <c r="L765" s="18" t="n">
        <f aca="false">K765*Assumptions!$B$3</f>
        <v>89.1008124515148</v>
      </c>
      <c r="M765" s="19" t="n">
        <f aca="false">L765/Assumptions!$B$4</f>
        <v>1.98001805447811</v>
      </c>
      <c r="N765" s="9" t="s">
        <v>1365</v>
      </c>
    </row>
    <row r="766" customFormat="false" ht="15" hidden="false" customHeight="false" outlineLevel="0" collapsed="false">
      <c r="A766" s="9" t="s">
        <v>2129</v>
      </c>
      <c r="B766" s="9" t="s">
        <v>883</v>
      </c>
      <c r="C766" s="9" t="str">
        <f aca="false">IFERROR(INDEX(Destination!$B$2:$B$501,MATCH(B766,Destination!$A$2:$A$501,0)),"")</f>
        <v>Spiti Valley</v>
      </c>
      <c r="D766" s="9" t="s">
        <v>901</v>
      </c>
      <c r="E766" s="9" t="str">
        <f aca="false">IFERROR(INDEX(Destination!$B$2:$B$501,MATCH(D766,Destination!$A$2:$A$501,0)),"")</f>
        <v>Kalpa</v>
      </c>
      <c r="F766" s="9" t="s">
        <v>1364</v>
      </c>
      <c r="G766" s="12" t="n">
        <f aca="false">INDEX(Destination!$F$2:$F$501,MATCH(B766,Destination!$A$2:$A$501,0))</f>
        <v>32.25</v>
      </c>
      <c r="H766" s="12" t="n">
        <f aca="false">INDEX(Destination!$G$2:$G$501,MATCH(B766,Destination!$A$2:$A$501,0))</f>
        <v>78.03</v>
      </c>
      <c r="I766" s="12" t="n">
        <f aca="false">INDEX(Destination!$F$2:$F$501,MATCH(D766,Destination!$A$2:$A$501,0))</f>
        <v>31.54</v>
      </c>
      <c r="J766" s="12" t="n">
        <f aca="false">INDEX(Destination!$G$2:$G$501,MATCH(D766,Destination!$A$2:$A$501,0))</f>
        <v>78.26</v>
      </c>
      <c r="K766" s="17" t="n">
        <f aca="false">Assumptions!$B$2*2*ASIN(SQRT(SIN(RADIANS(I766-G766)/2)^2+COS(RADIANS(G766))*COS(RADIANS(I766))*SIN(RADIANS(J766-H766)/2)^2))</f>
        <v>81.8798625947293</v>
      </c>
      <c r="L766" s="18" t="n">
        <f aca="false">K766*Assumptions!$B$3</f>
        <v>106.443821373148</v>
      </c>
      <c r="M766" s="19" t="n">
        <f aca="false">L766/Assumptions!$B$4</f>
        <v>2.36541825273662</v>
      </c>
      <c r="N766" s="9" t="s">
        <v>1365</v>
      </c>
    </row>
    <row r="767" customFormat="false" ht="15" hidden="false" customHeight="false" outlineLevel="0" collapsed="false">
      <c r="A767" s="9" t="s">
        <v>2130</v>
      </c>
      <c r="B767" s="9" t="s">
        <v>883</v>
      </c>
      <c r="C767" s="9" t="str">
        <f aca="false">IFERROR(INDEX(Destination!$B$2:$B$501,MATCH(B767,Destination!$A$2:$A$501,0)),"")</f>
        <v>Spiti Valley</v>
      </c>
      <c r="D767" s="9" t="s">
        <v>909</v>
      </c>
      <c r="E767" s="9" t="str">
        <f aca="false">IFERROR(INDEX(Destination!$B$2:$B$501,MATCH(D767,Destination!$A$2:$A$501,0)),"")</f>
        <v>Rohtang Pass</v>
      </c>
      <c r="F767" s="9" t="s">
        <v>1364</v>
      </c>
      <c r="G767" s="12" t="n">
        <f aca="false">INDEX(Destination!$F$2:$F$501,MATCH(B767,Destination!$A$2:$A$501,0))</f>
        <v>32.25</v>
      </c>
      <c r="H767" s="12" t="n">
        <f aca="false">INDEX(Destination!$G$2:$G$501,MATCH(B767,Destination!$A$2:$A$501,0))</f>
        <v>78.03</v>
      </c>
      <c r="I767" s="12" t="n">
        <f aca="false">INDEX(Destination!$F$2:$F$501,MATCH(D767,Destination!$A$2:$A$501,0))</f>
        <v>32.37</v>
      </c>
      <c r="J767" s="12" t="n">
        <f aca="false">INDEX(Destination!$G$2:$G$501,MATCH(D767,Destination!$A$2:$A$501,0))</f>
        <v>77.25</v>
      </c>
      <c r="K767" s="17" t="n">
        <f aca="false">Assumptions!$B$2*2*ASIN(SQRT(SIN(RADIANS(I767-G767)/2)^2+COS(RADIANS(G767))*COS(RADIANS(I767))*SIN(RADIANS(J767-H767)/2)^2))</f>
        <v>74.5075602704703</v>
      </c>
      <c r="L767" s="18" t="n">
        <f aca="false">K767*Assumptions!$B$3</f>
        <v>96.8598283516114</v>
      </c>
      <c r="M767" s="19" t="n">
        <f aca="false">L767/Assumptions!$B$4</f>
        <v>2.15244063003581</v>
      </c>
      <c r="N767" s="9" t="s">
        <v>1365</v>
      </c>
    </row>
    <row r="768" customFormat="false" ht="15" hidden="false" customHeight="false" outlineLevel="0" collapsed="false">
      <c r="A768" s="9" t="s">
        <v>2131</v>
      </c>
      <c r="B768" s="9" t="s">
        <v>883</v>
      </c>
      <c r="C768" s="9" t="str">
        <f aca="false">IFERROR(INDEX(Destination!$B$2:$B$501,MATCH(B768,Destination!$A$2:$A$501,0)),"")</f>
        <v>Spiti Valley</v>
      </c>
      <c r="D768" s="9" t="s">
        <v>913</v>
      </c>
      <c r="E768" s="9" t="str">
        <f aca="false">IFERROR(INDEX(Destination!$B$2:$B$501,MATCH(D768,Destination!$A$2:$A$501,0)),"")</f>
        <v>Tso Moriri</v>
      </c>
      <c r="F768" s="9" t="s">
        <v>1364</v>
      </c>
      <c r="G768" s="12" t="n">
        <f aca="false">INDEX(Destination!$F$2:$F$501,MATCH(B768,Destination!$A$2:$A$501,0))</f>
        <v>32.25</v>
      </c>
      <c r="H768" s="12" t="n">
        <f aca="false">INDEX(Destination!$G$2:$G$501,MATCH(B768,Destination!$A$2:$A$501,0))</f>
        <v>78.03</v>
      </c>
      <c r="I768" s="12" t="n">
        <f aca="false">INDEX(Destination!$F$2:$F$501,MATCH(D768,Destination!$A$2:$A$501,0))</f>
        <v>32.9</v>
      </c>
      <c r="J768" s="12" t="n">
        <f aca="false">INDEX(Destination!$G$2:$G$501,MATCH(D768,Destination!$A$2:$A$501,0))</f>
        <v>78.3</v>
      </c>
      <c r="K768" s="17" t="n">
        <f aca="false">Assumptions!$B$2*2*ASIN(SQRT(SIN(RADIANS(I768-G768)/2)^2+COS(RADIANS(G768))*COS(RADIANS(I768))*SIN(RADIANS(J768-H768)/2)^2))</f>
        <v>76.5766315997</v>
      </c>
      <c r="L768" s="18" t="n">
        <f aca="false">K768*Assumptions!$B$3</f>
        <v>99.5496210796099</v>
      </c>
      <c r="M768" s="19" t="n">
        <f aca="false">L768/Assumptions!$B$4</f>
        <v>2.21221380176911</v>
      </c>
      <c r="N768" s="9" t="s">
        <v>1365</v>
      </c>
    </row>
    <row r="769" customFormat="false" ht="15" hidden="false" customHeight="false" outlineLevel="0" collapsed="false">
      <c r="A769" s="9" t="s">
        <v>2132</v>
      </c>
      <c r="B769" s="9" t="s">
        <v>886</v>
      </c>
      <c r="C769" s="9" t="str">
        <f aca="false">IFERROR(INDEX(Destination!$B$2:$B$501,MATCH(B769,Destination!$A$2:$A$501,0)),"")</f>
        <v>Kinnaur</v>
      </c>
      <c r="D769" s="9" t="s">
        <v>911</v>
      </c>
      <c r="E769" s="9" t="str">
        <f aca="false">IFERROR(INDEX(Destination!$B$2:$B$501,MATCH(D769,Destination!$A$2:$A$501,0)),"")</f>
        <v>Great Himalayan National Park</v>
      </c>
      <c r="F769" s="9" t="s">
        <v>1364</v>
      </c>
      <c r="G769" s="12" t="n">
        <f aca="false">INDEX(Destination!$F$2:$F$501,MATCH(B769,Destination!$A$2:$A$501,0))</f>
        <v>31.54</v>
      </c>
      <c r="H769" s="12" t="n">
        <f aca="false">INDEX(Destination!$G$2:$G$501,MATCH(B769,Destination!$A$2:$A$501,0))</f>
        <v>78.27</v>
      </c>
      <c r="I769" s="12" t="n">
        <f aca="false">INDEX(Destination!$F$2:$F$501,MATCH(D769,Destination!$A$2:$A$501,0))</f>
        <v>31.73</v>
      </c>
      <c r="J769" s="12" t="n">
        <f aca="false">INDEX(Destination!$G$2:$G$501,MATCH(D769,Destination!$A$2:$A$501,0))</f>
        <v>77.45</v>
      </c>
      <c r="K769" s="17" t="n">
        <f aca="false">Assumptions!$B$2*2*ASIN(SQRT(SIN(RADIANS(I769-G769)/2)^2+COS(RADIANS(G769))*COS(RADIANS(I769))*SIN(RADIANS(J769-H769)/2)^2))</f>
        <v>80.4543548697797</v>
      </c>
      <c r="L769" s="18" t="n">
        <f aca="false">K769*Assumptions!$B$3</f>
        <v>104.590661330714</v>
      </c>
      <c r="M769" s="19" t="n">
        <f aca="false">L769/Assumptions!$B$4</f>
        <v>2.3242369184603</v>
      </c>
      <c r="N769" s="9" t="s">
        <v>1365</v>
      </c>
    </row>
    <row r="770" customFormat="false" ht="15" hidden="false" customHeight="false" outlineLevel="0" collapsed="false">
      <c r="A770" s="9" t="s">
        <v>2133</v>
      </c>
      <c r="B770" s="9" t="s">
        <v>889</v>
      </c>
      <c r="C770" s="9" t="str">
        <f aca="false">IFERROR(INDEX(Destination!$B$2:$B$501,MATCH(B770,Destination!$A$2:$A$501,0)),"")</f>
        <v>Kullu</v>
      </c>
      <c r="D770" s="9" t="s">
        <v>895</v>
      </c>
      <c r="E770" s="9" t="str">
        <f aca="false">IFERROR(INDEX(Destination!$B$2:$B$501,MATCH(D770,Destination!$A$2:$A$501,0)),"")</f>
        <v>Bir Billing</v>
      </c>
      <c r="F770" s="9" t="s">
        <v>1364</v>
      </c>
      <c r="G770" s="12" t="n">
        <f aca="false">INDEX(Destination!$F$2:$F$501,MATCH(B770,Destination!$A$2:$A$501,0))</f>
        <v>31.96</v>
      </c>
      <c r="H770" s="12" t="n">
        <f aca="false">INDEX(Destination!$G$2:$G$501,MATCH(B770,Destination!$A$2:$A$501,0))</f>
        <v>77.11</v>
      </c>
      <c r="I770" s="12" t="n">
        <f aca="false">INDEX(Destination!$F$2:$F$501,MATCH(D770,Destination!$A$2:$A$501,0))</f>
        <v>32.04</v>
      </c>
      <c r="J770" s="12" t="n">
        <f aca="false">INDEX(Destination!$G$2:$G$501,MATCH(D770,Destination!$A$2:$A$501,0))</f>
        <v>76.72</v>
      </c>
      <c r="K770" s="17" t="n">
        <f aca="false">Assumptions!$B$2*2*ASIN(SQRT(SIN(RADIANS(I770-G770)/2)^2+COS(RADIANS(G770))*COS(RADIANS(I770))*SIN(RADIANS(J770-H770)/2)^2))</f>
        <v>37.8369995539765</v>
      </c>
      <c r="L770" s="18" t="n">
        <f aca="false">K770*Assumptions!$B$3</f>
        <v>49.1880994201695</v>
      </c>
      <c r="M770" s="19" t="n">
        <f aca="false">L770/Assumptions!$B$4</f>
        <v>1.09306887600377</v>
      </c>
      <c r="N770" s="9" t="s">
        <v>1365</v>
      </c>
    </row>
    <row r="771" customFormat="false" ht="15" hidden="false" customHeight="false" outlineLevel="0" collapsed="false">
      <c r="A771" s="9" t="s">
        <v>2134</v>
      </c>
      <c r="B771" s="9" t="s">
        <v>889</v>
      </c>
      <c r="C771" s="9" t="str">
        <f aca="false">IFERROR(INDEX(Destination!$B$2:$B$501,MATCH(B771,Destination!$A$2:$A$501,0)),"")</f>
        <v>Kullu</v>
      </c>
      <c r="D771" s="9" t="s">
        <v>899</v>
      </c>
      <c r="E771" s="9" t="str">
        <f aca="false">IFERROR(INDEX(Destination!$B$2:$B$501,MATCH(D771,Destination!$A$2:$A$501,0)),"")</f>
        <v>Manikaran</v>
      </c>
      <c r="F771" s="9" t="s">
        <v>1364</v>
      </c>
      <c r="G771" s="12" t="n">
        <f aca="false">INDEX(Destination!$F$2:$F$501,MATCH(B771,Destination!$A$2:$A$501,0))</f>
        <v>31.96</v>
      </c>
      <c r="H771" s="12" t="n">
        <f aca="false">INDEX(Destination!$G$2:$G$501,MATCH(B771,Destination!$A$2:$A$501,0))</f>
        <v>77.11</v>
      </c>
      <c r="I771" s="12" t="n">
        <f aca="false">INDEX(Destination!$F$2:$F$501,MATCH(D771,Destination!$A$2:$A$501,0))</f>
        <v>32.03</v>
      </c>
      <c r="J771" s="12" t="n">
        <f aca="false">INDEX(Destination!$G$2:$G$501,MATCH(D771,Destination!$A$2:$A$501,0))</f>
        <v>77.35</v>
      </c>
      <c r="K771" s="17" t="n">
        <f aca="false">Assumptions!$B$2*2*ASIN(SQRT(SIN(RADIANS(I771-G771)/2)^2+COS(RADIANS(G771))*COS(RADIANS(I771))*SIN(RADIANS(J771-H771)/2)^2))</f>
        <v>23.9339371961011</v>
      </c>
      <c r="L771" s="18" t="n">
        <f aca="false">K771*Assumptions!$B$3</f>
        <v>31.1141183549315</v>
      </c>
      <c r="M771" s="19" t="n">
        <f aca="false">L771/Assumptions!$B$4</f>
        <v>0.69142485233181</v>
      </c>
      <c r="N771" s="9" t="s">
        <v>1365</v>
      </c>
    </row>
    <row r="772" customFormat="false" ht="15" hidden="false" customHeight="false" outlineLevel="0" collapsed="false">
      <c r="A772" s="9" t="s">
        <v>2135</v>
      </c>
      <c r="B772" s="9" t="s">
        <v>893</v>
      </c>
      <c r="C772" s="9" t="str">
        <f aca="false">IFERROR(INDEX(Destination!$B$2:$B$501,MATCH(B772,Destination!$A$2:$A$501,0)),"")</f>
        <v>Khajjiar</v>
      </c>
      <c r="D772" s="9" t="s">
        <v>895</v>
      </c>
      <c r="E772" s="9" t="str">
        <f aca="false">IFERROR(INDEX(Destination!$B$2:$B$501,MATCH(D772,Destination!$A$2:$A$501,0)),"")</f>
        <v>Bir Billing</v>
      </c>
      <c r="F772" s="9" t="s">
        <v>1364</v>
      </c>
      <c r="G772" s="12" t="n">
        <f aca="false">INDEX(Destination!$F$2:$F$501,MATCH(B772,Destination!$A$2:$A$501,0))</f>
        <v>32.55</v>
      </c>
      <c r="H772" s="12" t="n">
        <f aca="false">INDEX(Destination!$G$2:$G$501,MATCH(B772,Destination!$A$2:$A$501,0))</f>
        <v>76.06</v>
      </c>
      <c r="I772" s="12" t="n">
        <f aca="false">INDEX(Destination!$F$2:$F$501,MATCH(D772,Destination!$A$2:$A$501,0))</f>
        <v>32.04</v>
      </c>
      <c r="J772" s="12" t="n">
        <f aca="false">INDEX(Destination!$G$2:$G$501,MATCH(D772,Destination!$A$2:$A$501,0))</f>
        <v>76.72</v>
      </c>
      <c r="K772" s="17" t="n">
        <f aca="false">Assumptions!$B$2*2*ASIN(SQRT(SIN(RADIANS(I772-G772)/2)^2+COS(RADIANS(G772))*COS(RADIANS(I772))*SIN(RADIANS(J772-H772)/2)^2))</f>
        <v>84.0497515349017</v>
      </c>
      <c r="L772" s="18" t="n">
        <f aca="false">K772*Assumptions!$B$3</f>
        <v>109.264676995372</v>
      </c>
      <c r="M772" s="19" t="n">
        <f aca="false">L772/Assumptions!$B$4</f>
        <v>2.4281039332305</v>
      </c>
      <c r="N772" s="9" t="s">
        <v>1365</v>
      </c>
    </row>
    <row r="773" customFormat="false" ht="15" hidden="false" customHeight="false" outlineLevel="0" collapsed="false">
      <c r="A773" s="9" t="s">
        <v>2136</v>
      </c>
      <c r="B773" s="9" t="s">
        <v>897</v>
      </c>
      <c r="C773" s="9" t="str">
        <f aca="false">IFERROR(INDEX(Destination!$B$2:$B$501,MATCH(B773,Destination!$A$2:$A$501,0)),"")</f>
        <v>Tirthan Valley</v>
      </c>
      <c r="D773" s="9" t="s">
        <v>903</v>
      </c>
      <c r="E773" s="9" t="str">
        <f aca="false">IFERROR(INDEX(Destination!$B$2:$B$501,MATCH(D773,Destination!$A$2:$A$501,0)),"")</f>
        <v>Narkanda</v>
      </c>
      <c r="F773" s="9" t="s">
        <v>1364</v>
      </c>
      <c r="G773" s="12" t="n">
        <f aca="false">INDEX(Destination!$F$2:$F$501,MATCH(B773,Destination!$A$2:$A$501,0))</f>
        <v>31.62</v>
      </c>
      <c r="H773" s="12" t="n">
        <f aca="false">INDEX(Destination!$G$2:$G$501,MATCH(B773,Destination!$A$2:$A$501,0))</f>
        <v>77.35</v>
      </c>
      <c r="I773" s="12" t="n">
        <f aca="false">INDEX(Destination!$F$2:$F$501,MATCH(D773,Destination!$A$2:$A$501,0))</f>
        <v>31.26</v>
      </c>
      <c r="J773" s="12" t="n">
        <f aca="false">INDEX(Destination!$G$2:$G$501,MATCH(D773,Destination!$A$2:$A$501,0))</f>
        <v>77.45</v>
      </c>
      <c r="K773" s="17" t="n">
        <f aca="false">Assumptions!$B$2*2*ASIN(SQRT(SIN(RADIANS(I773-G773)/2)^2+COS(RADIANS(G773))*COS(RADIANS(I773))*SIN(RADIANS(J773-H773)/2)^2))</f>
        <v>41.1390012894065</v>
      </c>
      <c r="L773" s="18" t="n">
        <f aca="false">K773*Assumptions!$B$3</f>
        <v>53.4807016762284</v>
      </c>
      <c r="M773" s="19" t="n">
        <f aca="false">L773/Assumptions!$B$4</f>
        <v>1.18846003724952</v>
      </c>
      <c r="N773" s="9" t="s">
        <v>1365</v>
      </c>
    </row>
    <row r="774" customFormat="false" ht="15" hidden="false" customHeight="false" outlineLevel="0" collapsed="false">
      <c r="A774" s="9" t="s">
        <v>2137</v>
      </c>
      <c r="B774" s="9" t="s">
        <v>897</v>
      </c>
      <c r="C774" s="9" t="str">
        <f aca="false">IFERROR(INDEX(Destination!$B$2:$B$501,MATCH(B774,Destination!$A$2:$A$501,0)),"")</f>
        <v>Tirthan Valley</v>
      </c>
      <c r="D774" s="9" t="s">
        <v>911</v>
      </c>
      <c r="E774" s="9" t="str">
        <f aca="false">IFERROR(INDEX(Destination!$B$2:$B$501,MATCH(D774,Destination!$A$2:$A$501,0)),"")</f>
        <v>Great Himalayan National Park</v>
      </c>
      <c r="F774" s="9" t="s">
        <v>1364</v>
      </c>
      <c r="G774" s="12" t="n">
        <f aca="false">INDEX(Destination!$F$2:$F$501,MATCH(B774,Destination!$A$2:$A$501,0))</f>
        <v>31.62</v>
      </c>
      <c r="H774" s="12" t="n">
        <f aca="false">INDEX(Destination!$G$2:$G$501,MATCH(B774,Destination!$A$2:$A$501,0))</f>
        <v>77.35</v>
      </c>
      <c r="I774" s="12" t="n">
        <f aca="false">INDEX(Destination!$F$2:$F$501,MATCH(D774,Destination!$A$2:$A$501,0))</f>
        <v>31.73</v>
      </c>
      <c r="J774" s="12" t="n">
        <f aca="false">INDEX(Destination!$G$2:$G$501,MATCH(D774,Destination!$A$2:$A$501,0))</f>
        <v>77.45</v>
      </c>
      <c r="K774" s="17" t="n">
        <f aca="false">Assumptions!$B$2*2*ASIN(SQRT(SIN(RADIANS(I774-G774)/2)^2+COS(RADIANS(G774))*COS(RADIANS(I774))*SIN(RADIANS(J774-H774)/2)^2))</f>
        <v>15.4647682931974</v>
      </c>
      <c r="L774" s="18" t="n">
        <f aca="false">K774*Assumptions!$B$3</f>
        <v>20.1041987811566</v>
      </c>
      <c r="M774" s="19" t="n">
        <f aca="false">L774/Assumptions!$B$4</f>
        <v>0.446759972914591</v>
      </c>
      <c r="N774" s="9" t="s">
        <v>1365</v>
      </c>
    </row>
    <row r="775" customFormat="false" ht="15" hidden="false" customHeight="false" outlineLevel="0" collapsed="false">
      <c r="A775" s="9" t="s">
        <v>2138</v>
      </c>
      <c r="B775" s="9" t="s">
        <v>899</v>
      </c>
      <c r="C775" s="9" t="str">
        <f aca="false">IFERROR(INDEX(Destination!$B$2:$B$501,MATCH(B775,Destination!$A$2:$A$501,0)),"")</f>
        <v>Manikaran</v>
      </c>
      <c r="D775" s="9" t="s">
        <v>907</v>
      </c>
      <c r="E775" s="9" t="str">
        <f aca="false">IFERROR(INDEX(Destination!$B$2:$B$501,MATCH(D775,Destination!$A$2:$A$501,0)),"")</f>
        <v>Solang Valley</v>
      </c>
      <c r="F775" s="9" t="s">
        <v>1364</v>
      </c>
      <c r="G775" s="12" t="n">
        <f aca="false">INDEX(Destination!$F$2:$F$501,MATCH(B775,Destination!$A$2:$A$501,0))</f>
        <v>32.03</v>
      </c>
      <c r="H775" s="12" t="n">
        <f aca="false">INDEX(Destination!$G$2:$G$501,MATCH(B775,Destination!$A$2:$A$501,0))</f>
        <v>77.35</v>
      </c>
      <c r="I775" s="12" t="n">
        <f aca="false">INDEX(Destination!$F$2:$F$501,MATCH(D775,Destination!$A$2:$A$501,0))</f>
        <v>32.32</v>
      </c>
      <c r="J775" s="12" t="n">
        <f aca="false">INDEX(Destination!$G$2:$G$501,MATCH(D775,Destination!$A$2:$A$501,0))</f>
        <v>77.16</v>
      </c>
      <c r="K775" s="17" t="n">
        <f aca="false">Assumptions!$B$2*2*ASIN(SQRT(SIN(RADIANS(I775-G775)/2)^2+COS(RADIANS(G775))*COS(RADIANS(I775))*SIN(RADIANS(J775-H775)/2)^2))</f>
        <v>36.8730194182577</v>
      </c>
      <c r="L775" s="18" t="n">
        <f aca="false">K775*Assumptions!$B$3</f>
        <v>47.934925243735</v>
      </c>
      <c r="M775" s="19" t="n">
        <f aca="false">L775/Assumptions!$B$4</f>
        <v>1.06522056097189</v>
      </c>
      <c r="N775" s="9" t="s">
        <v>1365</v>
      </c>
    </row>
    <row r="776" customFormat="false" ht="15" hidden="false" customHeight="false" outlineLevel="0" collapsed="false">
      <c r="A776" s="9" t="s">
        <v>2139</v>
      </c>
      <c r="B776" s="9" t="s">
        <v>899</v>
      </c>
      <c r="C776" s="9" t="str">
        <f aca="false">IFERROR(INDEX(Destination!$B$2:$B$501,MATCH(B776,Destination!$A$2:$A$501,0)),"")</f>
        <v>Manikaran</v>
      </c>
      <c r="D776" s="9" t="s">
        <v>909</v>
      </c>
      <c r="E776" s="9" t="str">
        <f aca="false">IFERROR(INDEX(Destination!$B$2:$B$501,MATCH(D776,Destination!$A$2:$A$501,0)),"")</f>
        <v>Rohtang Pass</v>
      </c>
      <c r="F776" s="9" t="s">
        <v>1364</v>
      </c>
      <c r="G776" s="12" t="n">
        <f aca="false">INDEX(Destination!$F$2:$F$501,MATCH(B776,Destination!$A$2:$A$501,0))</f>
        <v>32.03</v>
      </c>
      <c r="H776" s="12" t="n">
        <f aca="false">INDEX(Destination!$G$2:$G$501,MATCH(B776,Destination!$A$2:$A$501,0))</f>
        <v>77.35</v>
      </c>
      <c r="I776" s="12" t="n">
        <f aca="false">INDEX(Destination!$F$2:$F$501,MATCH(D776,Destination!$A$2:$A$501,0))</f>
        <v>32.37</v>
      </c>
      <c r="J776" s="12" t="n">
        <f aca="false">INDEX(Destination!$G$2:$G$501,MATCH(D776,Destination!$A$2:$A$501,0))</f>
        <v>77.25</v>
      </c>
      <c r="K776" s="17" t="n">
        <f aca="false">Assumptions!$B$2*2*ASIN(SQRT(SIN(RADIANS(I776-G776)/2)^2+COS(RADIANS(G776))*COS(RADIANS(I776))*SIN(RADIANS(J776-H776)/2)^2))</f>
        <v>38.9595640576268</v>
      </c>
      <c r="L776" s="18" t="n">
        <f aca="false">K776*Assumptions!$B$3</f>
        <v>50.6474332749148</v>
      </c>
      <c r="M776" s="19" t="n">
        <f aca="false">L776/Assumptions!$B$4</f>
        <v>1.12549851722033</v>
      </c>
      <c r="N776" s="9" t="s">
        <v>1365</v>
      </c>
    </row>
    <row r="777" customFormat="false" ht="15" hidden="false" customHeight="false" outlineLevel="0" collapsed="false">
      <c r="A777" s="9" t="s">
        <v>2140</v>
      </c>
      <c r="B777" s="9" t="s">
        <v>899</v>
      </c>
      <c r="C777" s="9" t="str">
        <f aca="false">IFERROR(INDEX(Destination!$B$2:$B$501,MATCH(B777,Destination!$A$2:$A$501,0)),"")</f>
        <v>Manikaran</v>
      </c>
      <c r="D777" s="9" t="s">
        <v>911</v>
      </c>
      <c r="E777" s="9" t="str">
        <f aca="false">IFERROR(INDEX(Destination!$B$2:$B$501,MATCH(D777,Destination!$A$2:$A$501,0)),"")</f>
        <v>Great Himalayan National Park</v>
      </c>
      <c r="F777" s="9" t="s">
        <v>1364</v>
      </c>
      <c r="G777" s="12" t="n">
        <f aca="false">INDEX(Destination!$F$2:$F$501,MATCH(B777,Destination!$A$2:$A$501,0))</f>
        <v>32.03</v>
      </c>
      <c r="H777" s="12" t="n">
        <f aca="false">INDEX(Destination!$G$2:$G$501,MATCH(B777,Destination!$A$2:$A$501,0))</f>
        <v>77.35</v>
      </c>
      <c r="I777" s="12" t="n">
        <f aca="false">INDEX(Destination!$F$2:$F$501,MATCH(D777,Destination!$A$2:$A$501,0))</f>
        <v>31.73</v>
      </c>
      <c r="J777" s="12" t="n">
        <f aca="false">INDEX(Destination!$G$2:$G$501,MATCH(D777,Destination!$A$2:$A$501,0))</f>
        <v>77.45</v>
      </c>
      <c r="K777" s="17" t="n">
        <f aca="false">Assumptions!$B$2*2*ASIN(SQRT(SIN(RADIANS(I777-G777)/2)^2+COS(RADIANS(G777))*COS(RADIANS(I777))*SIN(RADIANS(J777-H777)/2)^2))</f>
        <v>34.6690418787952</v>
      </c>
      <c r="L777" s="18" t="n">
        <f aca="false">K777*Assumptions!$B$3</f>
        <v>45.0697544424338</v>
      </c>
      <c r="M777" s="19" t="n">
        <f aca="false">L777/Assumptions!$B$4</f>
        <v>1.00155009872075</v>
      </c>
      <c r="N777" s="9" t="s">
        <v>1365</v>
      </c>
    </row>
    <row r="778" customFormat="false" ht="15" hidden="false" customHeight="false" outlineLevel="0" collapsed="false">
      <c r="A778" s="9" t="s">
        <v>2141</v>
      </c>
      <c r="B778" s="9" t="s">
        <v>901</v>
      </c>
      <c r="C778" s="9" t="str">
        <f aca="false">IFERROR(INDEX(Destination!$B$2:$B$501,MATCH(B778,Destination!$A$2:$A$501,0)),"")</f>
        <v>Kalpa</v>
      </c>
      <c r="D778" s="9" t="s">
        <v>911</v>
      </c>
      <c r="E778" s="9" t="str">
        <f aca="false">IFERROR(INDEX(Destination!$B$2:$B$501,MATCH(D778,Destination!$A$2:$A$501,0)),"")</f>
        <v>Great Himalayan National Park</v>
      </c>
      <c r="F778" s="9" t="s">
        <v>1364</v>
      </c>
      <c r="G778" s="12" t="n">
        <f aca="false">INDEX(Destination!$F$2:$F$501,MATCH(B778,Destination!$A$2:$A$501,0))</f>
        <v>31.54</v>
      </c>
      <c r="H778" s="12" t="n">
        <f aca="false">INDEX(Destination!$G$2:$G$501,MATCH(B778,Destination!$A$2:$A$501,0))</f>
        <v>78.26</v>
      </c>
      <c r="I778" s="12" t="n">
        <f aca="false">INDEX(Destination!$F$2:$F$501,MATCH(D778,Destination!$A$2:$A$501,0))</f>
        <v>31.73</v>
      </c>
      <c r="J778" s="12" t="n">
        <f aca="false">INDEX(Destination!$G$2:$G$501,MATCH(D778,Destination!$A$2:$A$501,0))</f>
        <v>77.45</v>
      </c>
      <c r="K778" s="17" t="n">
        <f aca="false">Assumptions!$B$2*2*ASIN(SQRT(SIN(RADIANS(I778-G778)/2)^2+COS(RADIANS(G778))*COS(RADIANS(I778))*SIN(RADIANS(J778-H778)/2)^2))</f>
        <v>79.5412540706606</v>
      </c>
      <c r="L778" s="18" t="n">
        <f aca="false">K778*Assumptions!$B$3</f>
        <v>103.403630291859</v>
      </c>
      <c r="M778" s="19" t="n">
        <f aca="false">L778/Assumptions!$B$4</f>
        <v>2.29785845093019</v>
      </c>
      <c r="N778" s="9" t="s">
        <v>1365</v>
      </c>
    </row>
    <row r="779" customFormat="false" ht="15" hidden="false" customHeight="false" outlineLevel="0" collapsed="false">
      <c r="A779" s="9" t="s">
        <v>2142</v>
      </c>
      <c r="B779" s="9" t="s">
        <v>903</v>
      </c>
      <c r="C779" s="9" t="str">
        <f aca="false">IFERROR(INDEX(Destination!$B$2:$B$501,MATCH(B779,Destination!$A$2:$A$501,0)),"")</f>
        <v>Narkanda</v>
      </c>
      <c r="D779" s="9" t="s">
        <v>905</v>
      </c>
      <c r="E779" s="9" t="str">
        <f aca="false">IFERROR(INDEX(Destination!$B$2:$B$501,MATCH(D779,Destination!$A$2:$A$501,0)),"")</f>
        <v>Kasauli</v>
      </c>
      <c r="F779" s="9" t="s">
        <v>1364</v>
      </c>
      <c r="G779" s="12" t="n">
        <f aca="false">INDEX(Destination!$F$2:$F$501,MATCH(B779,Destination!$A$2:$A$501,0))</f>
        <v>31.26</v>
      </c>
      <c r="H779" s="12" t="n">
        <f aca="false">INDEX(Destination!$G$2:$G$501,MATCH(B779,Destination!$A$2:$A$501,0))</f>
        <v>77.45</v>
      </c>
      <c r="I779" s="12" t="n">
        <f aca="false">INDEX(Destination!$F$2:$F$501,MATCH(D779,Destination!$A$2:$A$501,0))</f>
        <v>30.9</v>
      </c>
      <c r="J779" s="12" t="n">
        <f aca="false">INDEX(Destination!$G$2:$G$501,MATCH(D779,Destination!$A$2:$A$501,0))</f>
        <v>76.96</v>
      </c>
      <c r="K779" s="17" t="n">
        <f aca="false">Assumptions!$B$2*2*ASIN(SQRT(SIN(RADIANS(I779-G779)/2)^2+COS(RADIANS(G779))*COS(RADIANS(I779))*SIN(RADIANS(J779-H779)/2)^2))</f>
        <v>61.4810759648698</v>
      </c>
      <c r="L779" s="18" t="n">
        <f aca="false">K779*Assumptions!$B$3</f>
        <v>79.9253987543308</v>
      </c>
      <c r="M779" s="19" t="n">
        <f aca="false">L779/Assumptions!$B$4</f>
        <v>1.77611997231846</v>
      </c>
      <c r="N779" s="9" t="s">
        <v>1365</v>
      </c>
    </row>
    <row r="780" customFormat="false" ht="15" hidden="false" customHeight="false" outlineLevel="0" collapsed="false">
      <c r="A780" s="9" t="s">
        <v>2143</v>
      </c>
      <c r="B780" s="9" t="s">
        <v>903</v>
      </c>
      <c r="C780" s="9" t="str">
        <f aca="false">IFERROR(INDEX(Destination!$B$2:$B$501,MATCH(B780,Destination!$A$2:$A$501,0)),"")</f>
        <v>Narkanda</v>
      </c>
      <c r="D780" s="9" t="s">
        <v>911</v>
      </c>
      <c r="E780" s="9" t="str">
        <f aca="false">IFERROR(INDEX(Destination!$B$2:$B$501,MATCH(D780,Destination!$A$2:$A$501,0)),"")</f>
        <v>Great Himalayan National Park</v>
      </c>
      <c r="F780" s="9" t="s">
        <v>1364</v>
      </c>
      <c r="G780" s="12" t="n">
        <f aca="false">INDEX(Destination!$F$2:$F$501,MATCH(B780,Destination!$A$2:$A$501,0))</f>
        <v>31.26</v>
      </c>
      <c r="H780" s="12" t="n">
        <f aca="false">INDEX(Destination!$G$2:$G$501,MATCH(B780,Destination!$A$2:$A$501,0))</f>
        <v>77.45</v>
      </c>
      <c r="I780" s="12" t="n">
        <f aca="false">INDEX(Destination!$F$2:$F$501,MATCH(D780,Destination!$A$2:$A$501,0))</f>
        <v>31.73</v>
      </c>
      <c r="J780" s="12" t="n">
        <f aca="false">INDEX(Destination!$G$2:$G$501,MATCH(D780,Destination!$A$2:$A$501,0))</f>
        <v>77.45</v>
      </c>
      <c r="K780" s="17" t="n">
        <f aca="false">Assumptions!$B$2*2*ASIN(SQRT(SIN(RADIANS(I780-G780)/2)^2+COS(RADIANS(G780))*COS(RADIANS(I780))*SIN(RADIANS(J780-H780)/2)^2))</f>
        <v>52.2616155229425</v>
      </c>
      <c r="L780" s="18" t="n">
        <f aca="false">K780*Assumptions!$B$3</f>
        <v>67.9401001798252</v>
      </c>
      <c r="M780" s="19" t="n">
        <f aca="false">L780/Assumptions!$B$4</f>
        <v>1.50978000399612</v>
      </c>
      <c r="N780" s="9" t="s">
        <v>1365</v>
      </c>
    </row>
    <row r="781" customFormat="false" ht="15" hidden="false" customHeight="false" outlineLevel="0" collapsed="false">
      <c r="A781" s="9" t="s">
        <v>2144</v>
      </c>
      <c r="B781" s="9" t="s">
        <v>907</v>
      </c>
      <c r="C781" s="9" t="str">
        <f aca="false">IFERROR(INDEX(Destination!$B$2:$B$501,MATCH(B781,Destination!$A$2:$A$501,0)),"")</f>
        <v>Solang Valley</v>
      </c>
      <c r="D781" s="9" t="s">
        <v>909</v>
      </c>
      <c r="E781" s="9" t="str">
        <f aca="false">IFERROR(INDEX(Destination!$B$2:$B$501,MATCH(D781,Destination!$A$2:$A$501,0)),"")</f>
        <v>Rohtang Pass</v>
      </c>
      <c r="F781" s="9" t="s">
        <v>1364</v>
      </c>
      <c r="G781" s="12" t="n">
        <f aca="false">INDEX(Destination!$F$2:$F$501,MATCH(B781,Destination!$A$2:$A$501,0))</f>
        <v>32.32</v>
      </c>
      <c r="H781" s="12" t="n">
        <f aca="false">INDEX(Destination!$G$2:$G$501,MATCH(B781,Destination!$A$2:$A$501,0))</f>
        <v>77.16</v>
      </c>
      <c r="I781" s="12" t="n">
        <f aca="false">INDEX(Destination!$F$2:$F$501,MATCH(D781,Destination!$A$2:$A$501,0))</f>
        <v>32.37</v>
      </c>
      <c r="J781" s="12" t="n">
        <f aca="false">INDEX(Destination!$G$2:$G$501,MATCH(D781,Destination!$A$2:$A$501,0))</f>
        <v>77.25</v>
      </c>
      <c r="K781" s="17" t="n">
        <f aca="false">Assumptions!$B$2*2*ASIN(SQRT(SIN(RADIANS(I781-G781)/2)^2+COS(RADIANS(G781))*COS(RADIANS(I781))*SIN(RADIANS(J781-H781)/2)^2))</f>
        <v>10.1190054516989</v>
      </c>
      <c r="L781" s="18" t="n">
        <f aca="false">K781*Assumptions!$B$3</f>
        <v>13.1547070872086</v>
      </c>
      <c r="M781" s="19" t="n">
        <f aca="false">L781/Assumptions!$B$4</f>
        <v>0.292326824160192</v>
      </c>
      <c r="N781" s="9" t="s">
        <v>1365</v>
      </c>
    </row>
    <row r="782" customFormat="false" ht="15" hidden="false" customHeight="false" outlineLevel="0" collapsed="false">
      <c r="A782" s="9" t="s">
        <v>2145</v>
      </c>
      <c r="B782" s="9" t="s">
        <v>909</v>
      </c>
      <c r="C782" s="9" t="str">
        <f aca="false">IFERROR(INDEX(Destination!$B$2:$B$501,MATCH(B782,Destination!$A$2:$A$501,0)),"")</f>
        <v>Rohtang Pass</v>
      </c>
      <c r="D782" s="9" t="s">
        <v>913</v>
      </c>
      <c r="E782" s="9" t="str">
        <f aca="false">IFERROR(INDEX(Destination!$B$2:$B$501,MATCH(D782,Destination!$A$2:$A$501,0)),"")</f>
        <v>Tso Moriri</v>
      </c>
      <c r="F782" s="9" t="s">
        <v>1364</v>
      </c>
      <c r="G782" s="12" t="n">
        <f aca="false">INDEX(Destination!$F$2:$F$501,MATCH(B782,Destination!$A$2:$A$501,0))</f>
        <v>32.37</v>
      </c>
      <c r="H782" s="12" t="n">
        <f aca="false">INDEX(Destination!$G$2:$G$501,MATCH(B782,Destination!$A$2:$A$501,0))</f>
        <v>77.25</v>
      </c>
      <c r="I782" s="12" t="n">
        <f aca="false">INDEX(Destination!$F$2:$F$501,MATCH(D782,Destination!$A$2:$A$501,0))</f>
        <v>32.9</v>
      </c>
      <c r="J782" s="12" t="n">
        <f aca="false">INDEX(Destination!$G$2:$G$501,MATCH(D782,Destination!$A$2:$A$501,0))</f>
        <v>78.3</v>
      </c>
      <c r="K782" s="17" t="n">
        <f aca="false">Assumptions!$B$2*2*ASIN(SQRT(SIN(RADIANS(I782-G782)/2)^2+COS(RADIANS(G782))*COS(RADIANS(I782))*SIN(RADIANS(J782-H782)/2)^2))</f>
        <v>114.630192500324</v>
      </c>
      <c r="L782" s="18" t="n">
        <f aca="false">K782*Assumptions!$B$3</f>
        <v>149.019250250421</v>
      </c>
      <c r="M782" s="19" t="n">
        <f aca="false">L782/Assumptions!$B$4</f>
        <v>3.3115388944538</v>
      </c>
      <c r="N782" s="9" t="s">
        <v>1365</v>
      </c>
    </row>
    <row r="783" customFormat="false" ht="15" hidden="false" customHeight="false" outlineLevel="0" collapsed="false">
      <c r="A783" s="9" t="s">
        <v>2146</v>
      </c>
      <c r="B783" s="9" t="s">
        <v>915</v>
      </c>
      <c r="C783" s="9" t="str">
        <f aca="false">IFERROR(INDEX(Destination!$B$2:$B$501,MATCH(B783,Destination!$A$2:$A$501,0)),"")</f>
        <v>Zanskar</v>
      </c>
      <c r="D783" s="9" t="s">
        <v>919</v>
      </c>
      <c r="E783" s="9" t="str">
        <f aca="false">IFERROR(INDEX(Destination!$B$2:$B$501,MATCH(D783,Destination!$A$2:$A$501,0)),"")</f>
        <v>Alchi</v>
      </c>
      <c r="F783" s="9" t="s">
        <v>1364</v>
      </c>
      <c r="G783" s="12" t="n">
        <f aca="false">INDEX(Destination!$F$2:$F$501,MATCH(B783,Destination!$A$2:$A$501,0))</f>
        <v>33.47</v>
      </c>
      <c r="H783" s="12" t="n">
        <f aca="false">INDEX(Destination!$G$2:$G$501,MATCH(B783,Destination!$A$2:$A$501,0))</f>
        <v>76.88</v>
      </c>
      <c r="I783" s="12" t="n">
        <f aca="false">INDEX(Destination!$F$2:$F$501,MATCH(D783,Destination!$A$2:$A$501,0))</f>
        <v>34.22</v>
      </c>
      <c r="J783" s="12" t="n">
        <f aca="false">INDEX(Destination!$G$2:$G$501,MATCH(D783,Destination!$A$2:$A$501,0))</f>
        <v>77.17</v>
      </c>
      <c r="K783" s="17" t="n">
        <f aca="false">Assumptions!$B$2*2*ASIN(SQRT(SIN(RADIANS(I783-G783)/2)^2+COS(RADIANS(G783))*COS(RADIANS(I783))*SIN(RADIANS(J783-H783)/2)^2))</f>
        <v>87.591042052557</v>
      </c>
      <c r="L783" s="18" t="n">
        <f aca="false">K783*Assumptions!$B$3</f>
        <v>113.868354668324</v>
      </c>
      <c r="M783" s="19" t="n">
        <f aca="false">L783/Assumptions!$B$4</f>
        <v>2.53040788151831</v>
      </c>
      <c r="N783" s="9" t="s">
        <v>1365</v>
      </c>
    </row>
    <row r="784" customFormat="false" ht="15" hidden="false" customHeight="false" outlineLevel="0" collapsed="false">
      <c r="A784" s="9" t="s">
        <v>2147</v>
      </c>
      <c r="B784" s="9" t="s">
        <v>915</v>
      </c>
      <c r="C784" s="9" t="str">
        <f aca="false">IFERROR(INDEX(Destination!$B$2:$B$501,MATCH(B784,Destination!$A$2:$A$501,0)),"")</f>
        <v>Zanskar</v>
      </c>
      <c r="D784" s="9" t="s">
        <v>923</v>
      </c>
      <c r="E784" s="9" t="str">
        <f aca="false">IFERROR(INDEX(Destination!$B$2:$B$501,MATCH(D784,Destination!$A$2:$A$501,0)),"")</f>
        <v>Hemis</v>
      </c>
      <c r="F784" s="9" t="s">
        <v>1364</v>
      </c>
      <c r="G784" s="12" t="n">
        <f aca="false">INDEX(Destination!$F$2:$F$501,MATCH(B784,Destination!$A$2:$A$501,0))</f>
        <v>33.47</v>
      </c>
      <c r="H784" s="12" t="n">
        <f aca="false">INDEX(Destination!$G$2:$G$501,MATCH(B784,Destination!$A$2:$A$501,0))</f>
        <v>76.88</v>
      </c>
      <c r="I784" s="12" t="n">
        <f aca="false">INDEX(Destination!$F$2:$F$501,MATCH(D784,Destination!$A$2:$A$501,0))</f>
        <v>33.91</v>
      </c>
      <c r="J784" s="12" t="n">
        <f aca="false">INDEX(Destination!$G$2:$G$501,MATCH(D784,Destination!$A$2:$A$501,0))</f>
        <v>77.7</v>
      </c>
      <c r="K784" s="17" t="n">
        <f aca="false">Assumptions!$B$2*2*ASIN(SQRT(SIN(RADIANS(I784-G784)/2)^2+COS(RADIANS(G784))*COS(RADIANS(I784))*SIN(RADIANS(J784-H784)/2)^2))</f>
        <v>90.2736161531203</v>
      </c>
      <c r="L784" s="18" t="n">
        <f aca="false">K784*Assumptions!$B$3</f>
        <v>117.355700999056</v>
      </c>
      <c r="M784" s="19" t="n">
        <f aca="false">L784/Assumptions!$B$4</f>
        <v>2.6079044666457</v>
      </c>
      <c r="N784" s="9" t="s">
        <v>1365</v>
      </c>
    </row>
    <row r="785" customFormat="false" ht="15" hidden="false" customHeight="false" outlineLevel="0" collapsed="false">
      <c r="A785" s="9" t="s">
        <v>2148</v>
      </c>
      <c r="B785" s="9" t="s">
        <v>915</v>
      </c>
      <c r="C785" s="9" t="str">
        <f aca="false">IFERROR(INDEX(Destination!$B$2:$B$501,MATCH(B785,Destination!$A$2:$A$501,0)),"")</f>
        <v>Zanskar</v>
      </c>
      <c r="D785" s="9" t="s">
        <v>927</v>
      </c>
      <c r="E785" s="9" t="str">
        <f aca="false">IFERROR(INDEX(Destination!$B$2:$B$501,MATCH(D785,Destination!$A$2:$A$501,0)),"")</f>
        <v>Magnetic Hill</v>
      </c>
      <c r="F785" s="9" t="s">
        <v>1364</v>
      </c>
      <c r="G785" s="12" t="n">
        <f aca="false">INDEX(Destination!$F$2:$F$501,MATCH(B785,Destination!$A$2:$A$501,0))</f>
        <v>33.47</v>
      </c>
      <c r="H785" s="12" t="n">
        <f aca="false">INDEX(Destination!$G$2:$G$501,MATCH(B785,Destination!$A$2:$A$501,0))</f>
        <v>76.88</v>
      </c>
      <c r="I785" s="12" t="n">
        <f aca="false">INDEX(Destination!$F$2:$F$501,MATCH(D785,Destination!$A$2:$A$501,0))</f>
        <v>34.16</v>
      </c>
      <c r="J785" s="12" t="n">
        <f aca="false">INDEX(Destination!$G$2:$G$501,MATCH(D785,Destination!$A$2:$A$501,0))</f>
        <v>77.35</v>
      </c>
      <c r="K785" s="17" t="n">
        <f aca="false">Assumptions!$B$2*2*ASIN(SQRT(SIN(RADIANS(I785-G785)/2)^2+COS(RADIANS(G785))*COS(RADIANS(I785))*SIN(RADIANS(J785-H785)/2)^2))</f>
        <v>88.1587965703709</v>
      </c>
      <c r="L785" s="18" t="n">
        <f aca="false">K785*Assumptions!$B$3</f>
        <v>114.606435541482</v>
      </c>
      <c r="M785" s="19" t="n">
        <f aca="false">L785/Assumptions!$B$4</f>
        <v>2.5468096786996</v>
      </c>
      <c r="N785" s="9" t="s">
        <v>1365</v>
      </c>
    </row>
    <row r="786" customFormat="false" ht="15" hidden="false" customHeight="false" outlineLevel="0" collapsed="false">
      <c r="A786" s="9" t="s">
        <v>2149</v>
      </c>
      <c r="B786" s="9" t="s">
        <v>917</v>
      </c>
      <c r="C786" s="9" t="str">
        <f aca="false">IFERROR(INDEX(Destination!$B$2:$B$501,MATCH(B786,Destination!$A$2:$A$501,0)),"")</f>
        <v>Kargil</v>
      </c>
      <c r="D786" s="9" t="s">
        <v>921</v>
      </c>
      <c r="E786" s="9" t="str">
        <f aca="false">IFERROR(INDEX(Destination!$B$2:$B$501,MATCH(D786,Destination!$A$2:$A$501,0)),"")</f>
        <v>Lamayuru</v>
      </c>
      <c r="F786" s="9" t="s">
        <v>1364</v>
      </c>
      <c r="G786" s="12" t="n">
        <f aca="false">INDEX(Destination!$F$2:$F$501,MATCH(B786,Destination!$A$2:$A$501,0))</f>
        <v>34.56</v>
      </c>
      <c r="H786" s="12" t="n">
        <f aca="false">INDEX(Destination!$G$2:$G$501,MATCH(B786,Destination!$A$2:$A$501,0))</f>
        <v>76.13</v>
      </c>
      <c r="I786" s="12" t="n">
        <f aca="false">INDEX(Destination!$F$2:$F$501,MATCH(D786,Destination!$A$2:$A$501,0))</f>
        <v>34.29</v>
      </c>
      <c r="J786" s="12" t="n">
        <f aca="false">INDEX(Destination!$G$2:$G$501,MATCH(D786,Destination!$A$2:$A$501,0))</f>
        <v>76.79</v>
      </c>
      <c r="K786" s="17" t="n">
        <f aca="false">Assumptions!$B$2*2*ASIN(SQRT(SIN(RADIANS(I786-G786)/2)^2+COS(RADIANS(G786))*COS(RADIANS(I786))*SIN(RADIANS(J786-H786)/2)^2))</f>
        <v>67.5715960430918</v>
      </c>
      <c r="L786" s="18" t="n">
        <f aca="false">K786*Assumptions!$B$3</f>
        <v>87.8430748560194</v>
      </c>
      <c r="M786" s="19" t="n">
        <f aca="false">L786/Assumptions!$B$4</f>
        <v>1.95206833013376</v>
      </c>
      <c r="N786" s="9" t="s">
        <v>1365</v>
      </c>
    </row>
    <row r="787" customFormat="false" ht="15" hidden="false" customHeight="false" outlineLevel="0" collapsed="false">
      <c r="A787" s="9" t="s">
        <v>2150</v>
      </c>
      <c r="B787" s="9" t="s">
        <v>919</v>
      </c>
      <c r="C787" s="9" t="str">
        <f aca="false">IFERROR(INDEX(Destination!$B$2:$B$501,MATCH(B787,Destination!$A$2:$A$501,0)),"")</f>
        <v>Alchi</v>
      </c>
      <c r="D787" s="9" t="s">
        <v>921</v>
      </c>
      <c r="E787" s="9" t="str">
        <f aca="false">IFERROR(INDEX(Destination!$B$2:$B$501,MATCH(D787,Destination!$A$2:$A$501,0)),"")</f>
        <v>Lamayuru</v>
      </c>
      <c r="F787" s="9" t="s">
        <v>1364</v>
      </c>
      <c r="G787" s="12" t="n">
        <f aca="false">INDEX(Destination!$F$2:$F$501,MATCH(B787,Destination!$A$2:$A$501,0))</f>
        <v>34.22</v>
      </c>
      <c r="H787" s="12" t="n">
        <f aca="false">INDEX(Destination!$G$2:$G$501,MATCH(B787,Destination!$A$2:$A$501,0))</f>
        <v>77.17</v>
      </c>
      <c r="I787" s="12" t="n">
        <f aca="false">INDEX(Destination!$F$2:$F$501,MATCH(D787,Destination!$A$2:$A$501,0))</f>
        <v>34.29</v>
      </c>
      <c r="J787" s="12" t="n">
        <f aca="false">INDEX(Destination!$G$2:$G$501,MATCH(D787,Destination!$A$2:$A$501,0))</f>
        <v>76.79</v>
      </c>
      <c r="K787" s="17" t="n">
        <f aca="false">Assumptions!$B$2*2*ASIN(SQRT(SIN(RADIANS(I787-G787)/2)^2+COS(RADIANS(G787))*COS(RADIANS(I787))*SIN(RADIANS(J787-H787)/2)^2))</f>
        <v>35.7815391012623</v>
      </c>
      <c r="L787" s="18" t="n">
        <f aca="false">K787*Assumptions!$B$3</f>
        <v>46.5160008316409</v>
      </c>
      <c r="M787" s="19" t="n">
        <f aca="false">L787/Assumptions!$B$4</f>
        <v>1.0336889073698</v>
      </c>
      <c r="N787" s="9" t="s">
        <v>1365</v>
      </c>
    </row>
    <row r="788" customFormat="false" ht="15" hidden="false" customHeight="false" outlineLevel="0" collapsed="false">
      <c r="A788" s="9" t="s">
        <v>2151</v>
      </c>
      <c r="B788" s="9" t="s">
        <v>919</v>
      </c>
      <c r="C788" s="9" t="str">
        <f aca="false">IFERROR(INDEX(Destination!$B$2:$B$501,MATCH(B788,Destination!$A$2:$A$501,0)),"")</f>
        <v>Alchi</v>
      </c>
      <c r="D788" s="9" t="s">
        <v>925</v>
      </c>
      <c r="E788" s="9" t="str">
        <f aca="false">IFERROR(INDEX(Destination!$B$2:$B$501,MATCH(D788,Destination!$A$2:$A$501,0)),"")</f>
        <v>Khardung La</v>
      </c>
      <c r="F788" s="9" t="s">
        <v>1364</v>
      </c>
      <c r="G788" s="12" t="n">
        <f aca="false">INDEX(Destination!$F$2:$F$501,MATCH(B788,Destination!$A$2:$A$501,0))</f>
        <v>34.22</v>
      </c>
      <c r="H788" s="12" t="n">
        <f aca="false">INDEX(Destination!$G$2:$G$501,MATCH(B788,Destination!$A$2:$A$501,0))</f>
        <v>77.17</v>
      </c>
      <c r="I788" s="12" t="n">
        <f aca="false">INDEX(Destination!$F$2:$F$501,MATCH(D788,Destination!$A$2:$A$501,0))</f>
        <v>34.28</v>
      </c>
      <c r="J788" s="12" t="n">
        <f aca="false">INDEX(Destination!$G$2:$G$501,MATCH(D788,Destination!$A$2:$A$501,0))</f>
        <v>77.6</v>
      </c>
      <c r="K788" s="17" t="n">
        <f aca="false">Assumptions!$B$2*2*ASIN(SQRT(SIN(RADIANS(I788-G788)/2)^2+COS(RADIANS(G788))*COS(RADIANS(I788))*SIN(RADIANS(J788-H788)/2)^2))</f>
        <v>40.0815409506386</v>
      </c>
      <c r="L788" s="18" t="n">
        <f aca="false">K788*Assumptions!$B$3</f>
        <v>52.1060032358301</v>
      </c>
      <c r="M788" s="19" t="n">
        <f aca="false">L788/Assumptions!$B$4</f>
        <v>1.15791118301845</v>
      </c>
      <c r="N788" s="9" t="s">
        <v>1365</v>
      </c>
    </row>
    <row r="789" customFormat="false" ht="15" hidden="false" customHeight="false" outlineLevel="0" collapsed="false">
      <c r="A789" s="9" t="s">
        <v>2152</v>
      </c>
      <c r="B789" s="9" t="s">
        <v>919</v>
      </c>
      <c r="C789" s="9" t="str">
        <f aca="false">IFERROR(INDEX(Destination!$B$2:$B$501,MATCH(B789,Destination!$A$2:$A$501,0)),"")</f>
        <v>Alchi</v>
      </c>
      <c r="D789" s="9" t="s">
        <v>927</v>
      </c>
      <c r="E789" s="9" t="str">
        <f aca="false">IFERROR(INDEX(Destination!$B$2:$B$501,MATCH(D789,Destination!$A$2:$A$501,0)),"")</f>
        <v>Magnetic Hill</v>
      </c>
      <c r="F789" s="9" t="s">
        <v>1364</v>
      </c>
      <c r="G789" s="12" t="n">
        <f aca="false">INDEX(Destination!$F$2:$F$501,MATCH(B789,Destination!$A$2:$A$501,0))</f>
        <v>34.22</v>
      </c>
      <c r="H789" s="12" t="n">
        <f aca="false">INDEX(Destination!$G$2:$G$501,MATCH(B789,Destination!$A$2:$A$501,0))</f>
        <v>77.17</v>
      </c>
      <c r="I789" s="12" t="n">
        <f aca="false">INDEX(Destination!$F$2:$F$501,MATCH(D789,Destination!$A$2:$A$501,0))</f>
        <v>34.16</v>
      </c>
      <c r="J789" s="12" t="n">
        <f aca="false">INDEX(Destination!$G$2:$G$501,MATCH(D789,Destination!$A$2:$A$501,0))</f>
        <v>77.35</v>
      </c>
      <c r="K789" s="17" t="n">
        <f aca="false">Assumptions!$B$2*2*ASIN(SQRT(SIN(RADIANS(I789-G789)/2)^2+COS(RADIANS(G789))*COS(RADIANS(I789))*SIN(RADIANS(J789-H789)/2)^2))</f>
        <v>17.8497695760462</v>
      </c>
      <c r="L789" s="18" t="n">
        <f aca="false">K789*Assumptions!$B$3</f>
        <v>23.20470044886</v>
      </c>
      <c r="M789" s="19" t="n">
        <f aca="false">L789/Assumptions!$B$4</f>
        <v>0.515660009974668</v>
      </c>
      <c r="N789" s="9" t="s">
        <v>1365</v>
      </c>
    </row>
    <row r="790" customFormat="false" ht="15" hidden="false" customHeight="false" outlineLevel="0" collapsed="false">
      <c r="A790" s="9" t="s">
        <v>2153</v>
      </c>
      <c r="B790" s="9" t="s">
        <v>921</v>
      </c>
      <c r="C790" s="9" t="str">
        <f aca="false">IFERROR(INDEX(Destination!$B$2:$B$501,MATCH(B790,Destination!$A$2:$A$501,0)),"")</f>
        <v>Lamayuru</v>
      </c>
      <c r="D790" s="9" t="s">
        <v>927</v>
      </c>
      <c r="E790" s="9" t="str">
        <f aca="false">IFERROR(INDEX(Destination!$B$2:$B$501,MATCH(D790,Destination!$A$2:$A$501,0)),"")</f>
        <v>Magnetic Hill</v>
      </c>
      <c r="F790" s="9" t="s">
        <v>1364</v>
      </c>
      <c r="G790" s="12" t="n">
        <f aca="false">INDEX(Destination!$F$2:$F$501,MATCH(B790,Destination!$A$2:$A$501,0))</f>
        <v>34.29</v>
      </c>
      <c r="H790" s="12" t="n">
        <f aca="false">INDEX(Destination!$G$2:$G$501,MATCH(B790,Destination!$A$2:$A$501,0))</f>
        <v>76.79</v>
      </c>
      <c r="I790" s="12" t="n">
        <f aca="false">INDEX(Destination!$F$2:$F$501,MATCH(D790,Destination!$A$2:$A$501,0))</f>
        <v>34.16</v>
      </c>
      <c r="J790" s="12" t="n">
        <f aca="false">INDEX(Destination!$G$2:$G$501,MATCH(D790,Destination!$A$2:$A$501,0))</f>
        <v>77.35</v>
      </c>
      <c r="K790" s="17" t="n">
        <f aca="false">Assumptions!$B$2*2*ASIN(SQRT(SIN(RADIANS(I790-G790)/2)^2+COS(RADIANS(G790))*COS(RADIANS(I790))*SIN(RADIANS(J790-H790)/2)^2))</f>
        <v>53.4770059626052</v>
      </c>
      <c r="L790" s="18" t="n">
        <f aca="false">K790*Assumptions!$B$3</f>
        <v>69.5201077513868</v>
      </c>
      <c r="M790" s="19" t="n">
        <f aca="false">L790/Assumptions!$B$4</f>
        <v>1.54489128336415</v>
      </c>
      <c r="N790" s="9" t="s">
        <v>1365</v>
      </c>
    </row>
    <row r="791" customFormat="false" ht="15" hidden="false" customHeight="false" outlineLevel="0" collapsed="false">
      <c r="A791" s="9" t="s">
        <v>2154</v>
      </c>
      <c r="B791" s="9" t="s">
        <v>923</v>
      </c>
      <c r="C791" s="9" t="str">
        <f aca="false">IFERROR(INDEX(Destination!$B$2:$B$501,MATCH(B791,Destination!$A$2:$A$501,0)),"")</f>
        <v>Hemis</v>
      </c>
      <c r="D791" s="9" t="s">
        <v>925</v>
      </c>
      <c r="E791" s="9" t="str">
        <f aca="false">IFERROR(INDEX(Destination!$B$2:$B$501,MATCH(D791,Destination!$A$2:$A$501,0)),"")</f>
        <v>Khardung La</v>
      </c>
      <c r="F791" s="9" t="s">
        <v>1364</v>
      </c>
      <c r="G791" s="12" t="n">
        <f aca="false">INDEX(Destination!$F$2:$F$501,MATCH(B791,Destination!$A$2:$A$501,0))</f>
        <v>33.91</v>
      </c>
      <c r="H791" s="12" t="n">
        <f aca="false">INDEX(Destination!$G$2:$G$501,MATCH(B791,Destination!$A$2:$A$501,0))</f>
        <v>77.7</v>
      </c>
      <c r="I791" s="12" t="n">
        <f aca="false">INDEX(Destination!$F$2:$F$501,MATCH(D791,Destination!$A$2:$A$501,0))</f>
        <v>34.28</v>
      </c>
      <c r="J791" s="12" t="n">
        <f aca="false">INDEX(Destination!$G$2:$G$501,MATCH(D791,Destination!$A$2:$A$501,0))</f>
        <v>77.6</v>
      </c>
      <c r="K791" s="17" t="n">
        <f aca="false">Assumptions!$B$2*2*ASIN(SQRT(SIN(RADIANS(I791-G791)/2)^2+COS(RADIANS(G791))*COS(RADIANS(I791))*SIN(RADIANS(J791-H791)/2)^2))</f>
        <v>42.1599772495225</v>
      </c>
      <c r="L791" s="18" t="n">
        <f aca="false">K791*Assumptions!$B$3</f>
        <v>54.8079704243792</v>
      </c>
      <c r="M791" s="19" t="n">
        <f aca="false">L791/Assumptions!$B$4</f>
        <v>1.21795489831954</v>
      </c>
      <c r="N791" s="9" t="s">
        <v>1365</v>
      </c>
    </row>
    <row r="792" customFormat="false" ht="15" hidden="false" customHeight="false" outlineLevel="0" collapsed="false">
      <c r="A792" s="9" t="s">
        <v>2155</v>
      </c>
      <c r="B792" s="9" t="s">
        <v>923</v>
      </c>
      <c r="C792" s="9" t="str">
        <f aca="false">IFERROR(INDEX(Destination!$B$2:$B$501,MATCH(B792,Destination!$A$2:$A$501,0)),"")</f>
        <v>Hemis</v>
      </c>
      <c r="D792" s="9" t="s">
        <v>927</v>
      </c>
      <c r="E792" s="9" t="str">
        <f aca="false">IFERROR(INDEX(Destination!$B$2:$B$501,MATCH(D792,Destination!$A$2:$A$501,0)),"")</f>
        <v>Magnetic Hill</v>
      </c>
      <c r="F792" s="9" t="s">
        <v>1364</v>
      </c>
      <c r="G792" s="12" t="n">
        <f aca="false">INDEX(Destination!$F$2:$F$501,MATCH(B792,Destination!$A$2:$A$501,0))</f>
        <v>33.91</v>
      </c>
      <c r="H792" s="12" t="n">
        <f aca="false">INDEX(Destination!$G$2:$G$501,MATCH(B792,Destination!$A$2:$A$501,0))</f>
        <v>77.7</v>
      </c>
      <c r="I792" s="12" t="n">
        <f aca="false">INDEX(Destination!$F$2:$F$501,MATCH(D792,Destination!$A$2:$A$501,0))</f>
        <v>34.16</v>
      </c>
      <c r="J792" s="12" t="n">
        <f aca="false">INDEX(Destination!$G$2:$G$501,MATCH(D792,Destination!$A$2:$A$501,0))</f>
        <v>77.35</v>
      </c>
      <c r="K792" s="17" t="n">
        <f aca="false">Assumptions!$B$2*2*ASIN(SQRT(SIN(RADIANS(I792-G792)/2)^2+COS(RADIANS(G792))*COS(RADIANS(I792))*SIN(RADIANS(J792-H792)/2)^2))</f>
        <v>42.5783446302647</v>
      </c>
      <c r="L792" s="18" t="n">
        <f aca="false">K792*Assumptions!$B$3</f>
        <v>55.3518480193441</v>
      </c>
      <c r="M792" s="19" t="n">
        <f aca="false">L792/Assumptions!$B$4</f>
        <v>1.23004106709653</v>
      </c>
      <c r="N792" s="9" t="s">
        <v>1365</v>
      </c>
    </row>
    <row r="793" customFormat="false" ht="15" hidden="false" customHeight="false" outlineLevel="0" collapsed="false">
      <c r="A793" s="9" t="s">
        <v>2156</v>
      </c>
      <c r="B793" s="9" t="s">
        <v>925</v>
      </c>
      <c r="C793" s="9" t="str">
        <f aca="false">IFERROR(INDEX(Destination!$B$2:$B$501,MATCH(B793,Destination!$A$2:$A$501,0)),"")</f>
        <v>Khardung La</v>
      </c>
      <c r="D793" s="9" t="s">
        <v>927</v>
      </c>
      <c r="E793" s="9" t="str">
        <f aca="false">IFERROR(INDEX(Destination!$B$2:$B$501,MATCH(D793,Destination!$A$2:$A$501,0)),"")</f>
        <v>Magnetic Hill</v>
      </c>
      <c r="F793" s="9" t="s">
        <v>1364</v>
      </c>
      <c r="G793" s="12" t="n">
        <f aca="false">INDEX(Destination!$F$2:$F$501,MATCH(B793,Destination!$A$2:$A$501,0))</f>
        <v>34.28</v>
      </c>
      <c r="H793" s="12" t="n">
        <f aca="false">INDEX(Destination!$G$2:$G$501,MATCH(B793,Destination!$A$2:$A$501,0))</f>
        <v>77.6</v>
      </c>
      <c r="I793" s="12" t="n">
        <f aca="false">INDEX(Destination!$F$2:$F$501,MATCH(D793,Destination!$A$2:$A$501,0))</f>
        <v>34.16</v>
      </c>
      <c r="J793" s="12" t="n">
        <f aca="false">INDEX(Destination!$G$2:$G$501,MATCH(D793,Destination!$A$2:$A$501,0))</f>
        <v>77.35</v>
      </c>
      <c r="K793" s="17" t="n">
        <f aca="false">Assumptions!$B$2*2*ASIN(SQRT(SIN(RADIANS(I793-G793)/2)^2+COS(RADIANS(G793))*COS(RADIANS(I793))*SIN(RADIANS(J793-H793)/2)^2))</f>
        <v>26.5785058615019</v>
      </c>
      <c r="L793" s="18" t="n">
        <f aca="false">K793*Assumptions!$B$3</f>
        <v>34.5520576199525</v>
      </c>
      <c r="M793" s="19" t="n">
        <f aca="false">L793/Assumptions!$B$4</f>
        <v>0.767823502665611</v>
      </c>
      <c r="N793" s="9" t="s">
        <v>1365</v>
      </c>
    </row>
    <row r="794" customFormat="false" ht="15" hidden="false" customHeight="false" outlineLevel="0" collapsed="false">
      <c r="A794" s="9" t="s">
        <v>2157</v>
      </c>
      <c r="B794" s="9" t="s">
        <v>929</v>
      </c>
      <c r="C794" s="9" t="str">
        <f aca="false">IFERROR(INDEX(Destination!$B$2:$B$501,MATCH(B794,Destination!$A$2:$A$501,0)),"")</f>
        <v>New Delhi</v>
      </c>
      <c r="D794" s="9" t="s">
        <v>935</v>
      </c>
      <c r="E794" s="9" t="str">
        <f aca="false">IFERROR(INDEX(Destination!$B$2:$B$501,MATCH(D794,Destination!$A$2:$A$501,0)),"")</f>
        <v>Mehrauli</v>
      </c>
      <c r="F794" s="9" t="s">
        <v>1364</v>
      </c>
      <c r="G794" s="12" t="n">
        <f aca="false">INDEX(Destination!$F$2:$F$501,MATCH(B794,Destination!$A$2:$A$501,0))</f>
        <v>28.61</v>
      </c>
      <c r="H794" s="12" t="n">
        <f aca="false">INDEX(Destination!$G$2:$G$501,MATCH(B794,Destination!$A$2:$A$501,0))</f>
        <v>77.21</v>
      </c>
      <c r="I794" s="12" t="n">
        <f aca="false">INDEX(Destination!$F$2:$F$501,MATCH(D794,Destination!$A$2:$A$501,0))</f>
        <v>28.52</v>
      </c>
      <c r="J794" s="12" t="n">
        <f aca="false">INDEX(Destination!$G$2:$G$501,MATCH(D794,Destination!$A$2:$A$501,0))</f>
        <v>77.18</v>
      </c>
      <c r="K794" s="17" t="n">
        <f aca="false">Assumptions!$B$2*2*ASIN(SQRT(SIN(RADIANS(I794-G794)/2)^2+COS(RADIANS(G794))*COS(RADIANS(I794))*SIN(RADIANS(J794-H794)/2)^2))</f>
        <v>10.4275886711352</v>
      </c>
      <c r="L794" s="18" t="n">
        <f aca="false">K794*Assumptions!$B$3</f>
        <v>13.5558652724758</v>
      </c>
      <c r="M794" s="19" t="n">
        <f aca="false">L794/Assumptions!$B$4</f>
        <v>0.301241450499461</v>
      </c>
      <c r="N794" s="9" t="s">
        <v>1365</v>
      </c>
    </row>
    <row r="795" customFormat="false" ht="15" hidden="false" customHeight="false" outlineLevel="0" collapsed="false">
      <c r="A795" s="9" t="s">
        <v>2158</v>
      </c>
      <c r="B795" s="9" t="s">
        <v>929</v>
      </c>
      <c r="C795" s="9" t="str">
        <f aca="false">IFERROR(INDEX(Destination!$B$2:$B$501,MATCH(B795,Destination!$A$2:$A$501,0)),"")</f>
        <v>New Delhi</v>
      </c>
      <c r="D795" s="9" t="s">
        <v>950</v>
      </c>
      <c r="E795" s="9" t="str">
        <f aca="false">IFERROR(INDEX(Destination!$B$2:$B$501,MATCH(D795,Destination!$A$2:$A$501,0)),"")</f>
        <v>Qutub Minar</v>
      </c>
      <c r="F795" s="9" t="s">
        <v>1364</v>
      </c>
      <c r="G795" s="12" t="n">
        <f aca="false">INDEX(Destination!$F$2:$F$501,MATCH(B795,Destination!$A$2:$A$501,0))</f>
        <v>28.61</v>
      </c>
      <c r="H795" s="12" t="n">
        <f aca="false">INDEX(Destination!$G$2:$G$501,MATCH(B795,Destination!$A$2:$A$501,0))</f>
        <v>77.21</v>
      </c>
      <c r="I795" s="12" t="n">
        <f aca="false">INDEX(Destination!$F$2:$F$501,MATCH(D795,Destination!$A$2:$A$501,0))</f>
        <v>28.52</v>
      </c>
      <c r="J795" s="12" t="n">
        <f aca="false">INDEX(Destination!$G$2:$G$501,MATCH(D795,Destination!$A$2:$A$501,0))</f>
        <v>77.19</v>
      </c>
      <c r="K795" s="17" t="n">
        <f aca="false">Assumptions!$B$2*2*ASIN(SQRT(SIN(RADIANS(I795-G795)/2)^2+COS(RADIANS(G795))*COS(RADIANS(I795))*SIN(RADIANS(J795-H795)/2)^2))</f>
        <v>10.1963667079804</v>
      </c>
      <c r="L795" s="18" t="n">
        <f aca="false">K795*Assumptions!$B$3</f>
        <v>13.2552767203745</v>
      </c>
      <c r="M795" s="19" t="n">
        <f aca="false">L795/Assumptions!$B$4</f>
        <v>0.294561704897211</v>
      </c>
      <c r="N795" s="9" t="s">
        <v>1365</v>
      </c>
    </row>
    <row r="796" customFormat="false" ht="15" hidden="false" customHeight="false" outlineLevel="0" collapsed="false">
      <c r="A796" s="9" t="s">
        <v>2159</v>
      </c>
      <c r="B796" s="9" t="s">
        <v>929</v>
      </c>
      <c r="C796" s="9" t="str">
        <f aca="false">IFERROR(INDEX(Destination!$B$2:$B$501,MATCH(B796,Destination!$A$2:$A$501,0)),"")</f>
        <v>New Delhi</v>
      </c>
      <c r="D796" s="9" t="s">
        <v>960</v>
      </c>
      <c r="E796" s="9" t="str">
        <f aca="false">IFERROR(INDEX(Destination!$B$2:$B$501,MATCH(D796,Destination!$A$2:$A$501,0)),"")</f>
        <v>Gurugram</v>
      </c>
      <c r="F796" s="9" t="s">
        <v>1364</v>
      </c>
      <c r="G796" s="12" t="n">
        <f aca="false">INDEX(Destination!$F$2:$F$501,MATCH(B796,Destination!$A$2:$A$501,0))</f>
        <v>28.61</v>
      </c>
      <c r="H796" s="12" t="n">
        <f aca="false">INDEX(Destination!$G$2:$G$501,MATCH(B796,Destination!$A$2:$A$501,0))</f>
        <v>77.21</v>
      </c>
      <c r="I796" s="12" t="n">
        <f aca="false">INDEX(Destination!$F$2:$F$501,MATCH(D796,Destination!$A$2:$A$501,0))</f>
        <v>28.46</v>
      </c>
      <c r="J796" s="12" t="n">
        <f aca="false">INDEX(Destination!$G$2:$G$501,MATCH(D796,Destination!$A$2:$A$501,0))</f>
        <v>77.03</v>
      </c>
      <c r="K796" s="17" t="n">
        <f aca="false">Assumptions!$B$2*2*ASIN(SQRT(SIN(RADIANS(I796-G796)/2)^2+COS(RADIANS(G796))*COS(RADIANS(I796))*SIN(RADIANS(J796-H796)/2)^2))</f>
        <v>24.2360343618959</v>
      </c>
      <c r="L796" s="18" t="n">
        <f aca="false">K796*Assumptions!$B$3</f>
        <v>31.5068446704647</v>
      </c>
      <c r="M796" s="19" t="n">
        <f aca="false">L796/Assumptions!$B$4</f>
        <v>0.700152103788104</v>
      </c>
      <c r="N796" s="9" t="s">
        <v>1365</v>
      </c>
    </row>
    <row r="797" customFormat="false" ht="15" hidden="false" customHeight="false" outlineLevel="0" collapsed="false">
      <c r="A797" s="9" t="s">
        <v>2160</v>
      </c>
      <c r="B797" s="9" t="s">
        <v>932</v>
      </c>
      <c r="C797" s="9" t="str">
        <f aca="false">IFERROR(INDEX(Destination!$B$2:$B$501,MATCH(B797,Destination!$A$2:$A$501,0)),"")</f>
        <v>Old Delhi</v>
      </c>
      <c r="D797" s="9" t="s">
        <v>937</v>
      </c>
      <c r="E797" s="9" t="str">
        <f aca="false">IFERROR(INDEX(Destination!$B$2:$B$501,MATCH(D797,Destination!$A$2:$A$501,0)),"")</f>
        <v>Hauz Khas</v>
      </c>
      <c r="F797" s="9" t="s">
        <v>1364</v>
      </c>
      <c r="G797" s="12" t="n">
        <f aca="false">INDEX(Destination!$F$2:$F$501,MATCH(B797,Destination!$A$2:$A$501,0))</f>
        <v>28.66</v>
      </c>
      <c r="H797" s="12" t="n">
        <f aca="false">INDEX(Destination!$G$2:$G$501,MATCH(B797,Destination!$A$2:$A$501,0))</f>
        <v>77.23</v>
      </c>
      <c r="I797" s="12" t="n">
        <f aca="false">INDEX(Destination!$F$2:$F$501,MATCH(D797,Destination!$A$2:$A$501,0))</f>
        <v>28.55</v>
      </c>
      <c r="J797" s="12" t="n">
        <f aca="false">INDEX(Destination!$G$2:$G$501,MATCH(D797,Destination!$A$2:$A$501,0))</f>
        <v>77.2</v>
      </c>
      <c r="K797" s="17" t="n">
        <f aca="false">Assumptions!$B$2*2*ASIN(SQRT(SIN(RADIANS(I797-G797)/2)^2+COS(RADIANS(G797))*COS(RADIANS(I797))*SIN(RADIANS(J797-H797)/2)^2))</f>
        <v>12.5771746733053</v>
      </c>
      <c r="L797" s="18" t="n">
        <f aca="false">K797*Assumptions!$B$3</f>
        <v>16.3503270752969</v>
      </c>
      <c r="M797" s="19" t="n">
        <f aca="false">L797/Assumptions!$B$4</f>
        <v>0.363340601673264</v>
      </c>
      <c r="N797" s="9" t="s">
        <v>1365</v>
      </c>
    </row>
    <row r="798" customFormat="false" ht="15" hidden="false" customHeight="false" outlineLevel="0" collapsed="false">
      <c r="A798" s="9" t="s">
        <v>2161</v>
      </c>
      <c r="B798" s="9" t="s">
        <v>932</v>
      </c>
      <c r="C798" s="9" t="str">
        <f aca="false">IFERROR(INDEX(Destination!$B$2:$B$501,MATCH(B798,Destination!$A$2:$A$501,0)),"")</f>
        <v>Old Delhi</v>
      </c>
      <c r="D798" s="9" t="s">
        <v>944</v>
      </c>
      <c r="E798" s="9" t="str">
        <f aca="false">IFERROR(INDEX(Destination!$B$2:$B$501,MATCH(D798,Destination!$A$2:$A$501,0)),"")</f>
        <v>Lotus Temple</v>
      </c>
      <c r="F798" s="9" t="s">
        <v>1364</v>
      </c>
      <c r="G798" s="12" t="n">
        <f aca="false">INDEX(Destination!$F$2:$F$501,MATCH(B798,Destination!$A$2:$A$501,0))</f>
        <v>28.66</v>
      </c>
      <c r="H798" s="12" t="n">
        <f aca="false">INDEX(Destination!$G$2:$G$501,MATCH(B798,Destination!$A$2:$A$501,0))</f>
        <v>77.23</v>
      </c>
      <c r="I798" s="12" t="n">
        <f aca="false">INDEX(Destination!$F$2:$F$501,MATCH(D798,Destination!$A$2:$A$501,0))</f>
        <v>28.55</v>
      </c>
      <c r="J798" s="12" t="n">
        <f aca="false">INDEX(Destination!$G$2:$G$501,MATCH(D798,Destination!$A$2:$A$501,0))</f>
        <v>77.26</v>
      </c>
      <c r="K798" s="17" t="n">
        <f aca="false">Assumptions!$B$2*2*ASIN(SQRT(SIN(RADIANS(I798-G798)/2)^2+COS(RADIANS(G798))*COS(RADIANS(I798))*SIN(RADIANS(J798-H798)/2)^2))</f>
        <v>12.5771746733053</v>
      </c>
      <c r="L798" s="18" t="n">
        <f aca="false">K798*Assumptions!$B$3</f>
        <v>16.3503270752969</v>
      </c>
      <c r="M798" s="19" t="n">
        <f aca="false">L798/Assumptions!$B$4</f>
        <v>0.363340601673264</v>
      </c>
      <c r="N798" s="9" t="s">
        <v>1365</v>
      </c>
    </row>
    <row r="799" customFormat="false" ht="15" hidden="false" customHeight="false" outlineLevel="0" collapsed="false">
      <c r="A799" s="9" t="s">
        <v>2162</v>
      </c>
      <c r="B799" s="9" t="s">
        <v>932</v>
      </c>
      <c r="C799" s="9" t="str">
        <f aca="false">IFERROR(INDEX(Destination!$B$2:$B$501,MATCH(B799,Destination!$A$2:$A$501,0)),"")</f>
        <v>Old Delhi</v>
      </c>
      <c r="D799" s="9" t="s">
        <v>950</v>
      </c>
      <c r="E799" s="9" t="str">
        <f aca="false">IFERROR(INDEX(Destination!$B$2:$B$501,MATCH(D799,Destination!$A$2:$A$501,0)),"")</f>
        <v>Qutub Minar</v>
      </c>
      <c r="F799" s="9" t="s">
        <v>1364</v>
      </c>
      <c r="G799" s="12" t="n">
        <f aca="false">INDEX(Destination!$F$2:$F$501,MATCH(B799,Destination!$A$2:$A$501,0))</f>
        <v>28.66</v>
      </c>
      <c r="H799" s="12" t="n">
        <f aca="false">INDEX(Destination!$G$2:$G$501,MATCH(B799,Destination!$A$2:$A$501,0))</f>
        <v>77.23</v>
      </c>
      <c r="I799" s="12" t="n">
        <f aca="false">INDEX(Destination!$F$2:$F$501,MATCH(D799,Destination!$A$2:$A$501,0))</f>
        <v>28.52</v>
      </c>
      <c r="J799" s="12" t="n">
        <f aca="false">INDEX(Destination!$G$2:$G$501,MATCH(D799,Destination!$A$2:$A$501,0))</f>
        <v>77.19</v>
      </c>
      <c r="K799" s="17" t="n">
        <f aca="false">Assumptions!$B$2*2*ASIN(SQRT(SIN(RADIANS(I799-G799)/2)^2+COS(RADIANS(G799))*COS(RADIANS(I799))*SIN(RADIANS(J799-H799)/2)^2))</f>
        <v>16.0497079634137</v>
      </c>
      <c r="L799" s="18" t="n">
        <f aca="false">K799*Assumptions!$B$3</f>
        <v>20.8646203524378</v>
      </c>
      <c r="M799" s="19" t="n">
        <f aca="false">L799/Assumptions!$B$4</f>
        <v>0.463658230054173</v>
      </c>
      <c r="N799" s="9" t="s">
        <v>1365</v>
      </c>
    </row>
    <row r="800" customFormat="false" ht="15" hidden="false" customHeight="false" outlineLevel="0" collapsed="false">
      <c r="A800" s="9" t="s">
        <v>2163</v>
      </c>
      <c r="B800" s="9" t="s">
        <v>935</v>
      </c>
      <c r="C800" s="9" t="str">
        <f aca="false">IFERROR(INDEX(Destination!$B$2:$B$501,MATCH(B800,Destination!$A$2:$A$501,0)),"")</f>
        <v>Mehrauli</v>
      </c>
      <c r="D800" s="9" t="s">
        <v>939</v>
      </c>
      <c r="E800" s="9" t="str">
        <f aca="false">IFERROR(INDEX(Destination!$B$2:$B$501,MATCH(D800,Destination!$A$2:$A$501,0)),"")</f>
        <v>Nizamuddin</v>
      </c>
      <c r="F800" s="9" t="s">
        <v>1364</v>
      </c>
      <c r="G800" s="12" t="n">
        <f aca="false">INDEX(Destination!$F$2:$F$501,MATCH(B800,Destination!$A$2:$A$501,0))</f>
        <v>28.52</v>
      </c>
      <c r="H800" s="12" t="n">
        <f aca="false">INDEX(Destination!$G$2:$G$501,MATCH(B800,Destination!$A$2:$A$501,0))</f>
        <v>77.18</v>
      </c>
      <c r="I800" s="12" t="n">
        <f aca="false">INDEX(Destination!$F$2:$F$501,MATCH(D800,Destination!$A$2:$A$501,0))</f>
        <v>28.59</v>
      </c>
      <c r="J800" s="12" t="n">
        <f aca="false">INDEX(Destination!$G$2:$G$501,MATCH(D800,Destination!$A$2:$A$501,0))</f>
        <v>77.25</v>
      </c>
      <c r="K800" s="17" t="n">
        <f aca="false">Assumptions!$B$2*2*ASIN(SQRT(SIN(RADIANS(I800-G800)/2)^2+COS(RADIANS(G800))*COS(RADIANS(I800))*SIN(RADIANS(J800-H800)/2)^2))</f>
        <v>10.3598931476357</v>
      </c>
      <c r="L800" s="18" t="n">
        <f aca="false">K800*Assumptions!$B$3</f>
        <v>13.4678610919264</v>
      </c>
      <c r="M800" s="19" t="n">
        <f aca="false">L800/Assumptions!$B$4</f>
        <v>0.299285802042809</v>
      </c>
      <c r="N800" s="9" t="s">
        <v>1365</v>
      </c>
    </row>
    <row r="801" customFormat="false" ht="15" hidden="false" customHeight="false" outlineLevel="0" collapsed="false">
      <c r="A801" s="9" t="s">
        <v>2164</v>
      </c>
      <c r="B801" s="9" t="s">
        <v>935</v>
      </c>
      <c r="C801" s="9" t="str">
        <f aca="false">IFERROR(INDEX(Destination!$B$2:$B$501,MATCH(B801,Destination!$A$2:$A$501,0)),"")</f>
        <v>Mehrauli</v>
      </c>
      <c r="D801" s="9" t="s">
        <v>941</v>
      </c>
      <c r="E801" s="9" t="str">
        <f aca="false">IFERROR(INDEX(Destination!$B$2:$B$501,MATCH(D801,Destination!$A$2:$A$501,0)),"")</f>
        <v>Akshardham</v>
      </c>
      <c r="F801" s="9" t="s">
        <v>1364</v>
      </c>
      <c r="G801" s="12" t="n">
        <f aca="false">INDEX(Destination!$F$2:$F$501,MATCH(B801,Destination!$A$2:$A$501,0))</f>
        <v>28.52</v>
      </c>
      <c r="H801" s="12" t="n">
        <f aca="false">INDEX(Destination!$G$2:$G$501,MATCH(B801,Destination!$A$2:$A$501,0))</f>
        <v>77.18</v>
      </c>
      <c r="I801" s="12" t="n">
        <f aca="false">INDEX(Destination!$F$2:$F$501,MATCH(D801,Destination!$A$2:$A$501,0))</f>
        <v>28.61</v>
      </c>
      <c r="J801" s="12" t="n">
        <f aca="false">INDEX(Destination!$G$2:$G$501,MATCH(D801,Destination!$A$2:$A$501,0))</f>
        <v>77.28</v>
      </c>
      <c r="K801" s="17" t="n">
        <f aca="false">Assumptions!$B$2*2*ASIN(SQRT(SIN(RADIANS(I801-G801)/2)^2+COS(RADIANS(G801))*COS(RADIANS(I801))*SIN(RADIANS(J801-H801)/2)^2))</f>
        <v>13.9830307538446</v>
      </c>
      <c r="L801" s="18" t="n">
        <f aca="false">K801*Assumptions!$B$3</f>
        <v>18.1779399799979</v>
      </c>
      <c r="M801" s="19" t="n">
        <f aca="false">L801/Assumptions!$B$4</f>
        <v>0.403954221777732</v>
      </c>
      <c r="N801" s="9" t="s">
        <v>1365</v>
      </c>
    </row>
    <row r="802" customFormat="false" ht="15" hidden="false" customHeight="false" outlineLevel="0" collapsed="false">
      <c r="A802" s="9" t="s">
        <v>2165</v>
      </c>
      <c r="B802" s="9" t="s">
        <v>935</v>
      </c>
      <c r="C802" s="9" t="str">
        <f aca="false">IFERROR(INDEX(Destination!$B$2:$B$501,MATCH(B802,Destination!$A$2:$A$501,0)),"")</f>
        <v>Mehrauli</v>
      </c>
      <c r="D802" s="9" t="s">
        <v>946</v>
      </c>
      <c r="E802" s="9" t="str">
        <f aca="false">IFERROR(INDEX(Destination!$B$2:$B$501,MATCH(D802,Destination!$A$2:$A$501,0)),"")</f>
        <v>India Gate</v>
      </c>
      <c r="F802" s="9" t="s">
        <v>1364</v>
      </c>
      <c r="G802" s="12" t="n">
        <f aca="false">INDEX(Destination!$F$2:$F$501,MATCH(B802,Destination!$A$2:$A$501,0))</f>
        <v>28.52</v>
      </c>
      <c r="H802" s="12" t="n">
        <f aca="false">INDEX(Destination!$G$2:$G$501,MATCH(B802,Destination!$A$2:$A$501,0))</f>
        <v>77.18</v>
      </c>
      <c r="I802" s="12" t="n">
        <f aca="false">INDEX(Destination!$F$2:$F$501,MATCH(D802,Destination!$A$2:$A$501,0))</f>
        <v>28.61</v>
      </c>
      <c r="J802" s="12" t="n">
        <f aca="false">INDEX(Destination!$G$2:$G$501,MATCH(D802,Destination!$A$2:$A$501,0))</f>
        <v>77.23</v>
      </c>
      <c r="K802" s="17" t="n">
        <f aca="false">Assumptions!$B$2*2*ASIN(SQRT(SIN(RADIANS(I802-G802)/2)^2+COS(RADIANS(G802))*COS(RADIANS(I802))*SIN(RADIANS(J802-H802)/2)^2))</f>
        <v>11.1352809551851</v>
      </c>
      <c r="L802" s="18" t="n">
        <f aca="false">K802*Assumptions!$B$3</f>
        <v>14.4758652417407</v>
      </c>
      <c r="M802" s="19" t="n">
        <f aca="false">L802/Assumptions!$B$4</f>
        <v>0.321685894260904</v>
      </c>
      <c r="N802" s="9" t="s">
        <v>1365</v>
      </c>
    </row>
    <row r="803" customFormat="false" ht="15" hidden="false" customHeight="false" outlineLevel="0" collapsed="false">
      <c r="A803" s="9" t="s">
        <v>2166</v>
      </c>
      <c r="B803" s="9" t="s">
        <v>935</v>
      </c>
      <c r="C803" s="9" t="str">
        <f aca="false">IFERROR(INDEX(Destination!$B$2:$B$501,MATCH(B803,Destination!$A$2:$A$501,0)),"")</f>
        <v>Mehrauli</v>
      </c>
      <c r="D803" s="9" t="s">
        <v>952</v>
      </c>
      <c r="E803" s="9" t="str">
        <f aca="false">IFERROR(INDEX(Destination!$B$2:$B$501,MATCH(D803,Destination!$A$2:$A$501,0)),"")</f>
        <v>Humayun's Tomb</v>
      </c>
      <c r="F803" s="9" t="s">
        <v>1364</v>
      </c>
      <c r="G803" s="12" t="n">
        <f aca="false">INDEX(Destination!$F$2:$F$501,MATCH(B803,Destination!$A$2:$A$501,0))</f>
        <v>28.52</v>
      </c>
      <c r="H803" s="12" t="n">
        <f aca="false">INDEX(Destination!$G$2:$G$501,MATCH(B803,Destination!$A$2:$A$501,0))</f>
        <v>77.18</v>
      </c>
      <c r="I803" s="12" t="n">
        <f aca="false">INDEX(Destination!$F$2:$F$501,MATCH(D803,Destination!$A$2:$A$501,0))</f>
        <v>28.59</v>
      </c>
      <c r="J803" s="12" t="n">
        <f aca="false">INDEX(Destination!$G$2:$G$501,MATCH(D803,Destination!$A$2:$A$501,0))</f>
        <v>77.25</v>
      </c>
      <c r="K803" s="17" t="n">
        <f aca="false">Assumptions!$B$2*2*ASIN(SQRT(SIN(RADIANS(I803-G803)/2)^2+COS(RADIANS(G803))*COS(RADIANS(I803))*SIN(RADIANS(J803-H803)/2)^2))</f>
        <v>10.3598931476357</v>
      </c>
      <c r="L803" s="18" t="n">
        <f aca="false">K803*Assumptions!$B$3</f>
        <v>13.4678610919264</v>
      </c>
      <c r="M803" s="19" t="n">
        <f aca="false">L803/Assumptions!$B$4</f>
        <v>0.299285802042809</v>
      </c>
      <c r="N803" s="9" t="s">
        <v>1365</v>
      </c>
    </row>
    <row r="804" customFormat="false" ht="15" hidden="false" customHeight="false" outlineLevel="0" collapsed="false">
      <c r="A804" s="9" t="s">
        <v>2167</v>
      </c>
      <c r="B804" s="9" t="s">
        <v>935</v>
      </c>
      <c r="C804" s="9" t="str">
        <f aca="false">IFERROR(INDEX(Destination!$B$2:$B$501,MATCH(B804,Destination!$A$2:$A$501,0)),"")</f>
        <v>Mehrauli</v>
      </c>
      <c r="D804" s="9" t="s">
        <v>956</v>
      </c>
      <c r="E804" s="9" t="str">
        <f aca="false">IFERROR(INDEX(Destination!$B$2:$B$501,MATCH(D804,Destination!$A$2:$A$501,0)),"")</f>
        <v>National Museum</v>
      </c>
      <c r="F804" s="9" t="s">
        <v>1364</v>
      </c>
      <c r="G804" s="12" t="n">
        <f aca="false">INDEX(Destination!$F$2:$F$501,MATCH(B804,Destination!$A$2:$A$501,0))</f>
        <v>28.52</v>
      </c>
      <c r="H804" s="12" t="n">
        <f aca="false">INDEX(Destination!$G$2:$G$501,MATCH(B804,Destination!$A$2:$A$501,0))</f>
        <v>77.18</v>
      </c>
      <c r="I804" s="12" t="n">
        <f aca="false">INDEX(Destination!$F$2:$F$501,MATCH(D804,Destination!$A$2:$A$501,0))</f>
        <v>28.61</v>
      </c>
      <c r="J804" s="12" t="n">
        <f aca="false">INDEX(Destination!$G$2:$G$501,MATCH(D804,Destination!$A$2:$A$501,0))</f>
        <v>77.22</v>
      </c>
      <c r="K804" s="17" t="n">
        <f aca="false">Assumptions!$B$2*2*ASIN(SQRT(SIN(RADIANS(I804-G804)/2)^2+COS(RADIANS(G804))*COS(RADIANS(I804))*SIN(RADIANS(J804-H804)/2)^2))</f>
        <v>10.7429419378021</v>
      </c>
      <c r="L804" s="18" t="n">
        <f aca="false">K804*Assumptions!$B$3</f>
        <v>13.9658245191427</v>
      </c>
      <c r="M804" s="19" t="n">
        <f aca="false">L804/Assumptions!$B$4</f>
        <v>0.310351655980949</v>
      </c>
      <c r="N804" s="9" t="s">
        <v>1365</v>
      </c>
    </row>
    <row r="805" customFormat="false" ht="15" hidden="false" customHeight="false" outlineLevel="0" collapsed="false">
      <c r="A805" s="9" t="s">
        <v>2168</v>
      </c>
      <c r="B805" s="9" t="s">
        <v>935</v>
      </c>
      <c r="C805" s="9" t="str">
        <f aca="false">IFERROR(INDEX(Destination!$B$2:$B$501,MATCH(B805,Destination!$A$2:$A$501,0)),"")</f>
        <v>Mehrauli</v>
      </c>
      <c r="D805" s="9" t="s">
        <v>958</v>
      </c>
      <c r="E805" s="9" t="str">
        <f aca="false">IFERROR(INDEX(Destination!$B$2:$B$501,MATCH(D805,Destination!$A$2:$A$501,0)),"")</f>
        <v>Rashtrapati Bhavan</v>
      </c>
      <c r="F805" s="9" t="s">
        <v>1364</v>
      </c>
      <c r="G805" s="12" t="n">
        <f aca="false">INDEX(Destination!$F$2:$F$501,MATCH(B805,Destination!$A$2:$A$501,0))</f>
        <v>28.52</v>
      </c>
      <c r="H805" s="12" t="n">
        <f aca="false">INDEX(Destination!$G$2:$G$501,MATCH(B805,Destination!$A$2:$A$501,0))</f>
        <v>77.18</v>
      </c>
      <c r="I805" s="12" t="n">
        <f aca="false">INDEX(Destination!$F$2:$F$501,MATCH(D805,Destination!$A$2:$A$501,0))</f>
        <v>28.61</v>
      </c>
      <c r="J805" s="12" t="n">
        <f aca="false">INDEX(Destination!$G$2:$G$501,MATCH(D805,Destination!$A$2:$A$501,0))</f>
        <v>77.2</v>
      </c>
      <c r="K805" s="17" t="n">
        <f aca="false">Assumptions!$B$2*2*ASIN(SQRT(SIN(RADIANS(I805-G805)/2)^2+COS(RADIANS(G805))*COS(RADIANS(I805))*SIN(RADIANS(J805-H805)/2)^2))</f>
        <v>10.1963667079804</v>
      </c>
      <c r="L805" s="18" t="n">
        <f aca="false">K805*Assumptions!$B$3</f>
        <v>13.2552767203745</v>
      </c>
      <c r="M805" s="19" t="n">
        <f aca="false">L805/Assumptions!$B$4</f>
        <v>0.294561704897211</v>
      </c>
      <c r="N805" s="9" t="s">
        <v>1365</v>
      </c>
    </row>
    <row r="806" customFormat="false" ht="15" hidden="false" customHeight="false" outlineLevel="0" collapsed="false">
      <c r="A806" s="9" t="s">
        <v>2169</v>
      </c>
      <c r="B806" s="9" t="s">
        <v>935</v>
      </c>
      <c r="C806" s="9" t="str">
        <f aca="false">IFERROR(INDEX(Destination!$B$2:$B$501,MATCH(B806,Destination!$A$2:$A$501,0)),"")</f>
        <v>Mehrauli</v>
      </c>
      <c r="D806" s="9" t="s">
        <v>960</v>
      </c>
      <c r="E806" s="9" t="str">
        <f aca="false">IFERROR(INDEX(Destination!$B$2:$B$501,MATCH(D806,Destination!$A$2:$A$501,0)),"")</f>
        <v>Gurugram</v>
      </c>
      <c r="F806" s="9" t="s">
        <v>1364</v>
      </c>
      <c r="G806" s="12" t="n">
        <f aca="false">INDEX(Destination!$F$2:$F$501,MATCH(B806,Destination!$A$2:$A$501,0))</f>
        <v>28.52</v>
      </c>
      <c r="H806" s="12" t="n">
        <f aca="false">INDEX(Destination!$G$2:$G$501,MATCH(B806,Destination!$A$2:$A$501,0))</f>
        <v>77.18</v>
      </c>
      <c r="I806" s="12" t="n">
        <f aca="false">INDEX(Destination!$F$2:$F$501,MATCH(D806,Destination!$A$2:$A$501,0))</f>
        <v>28.46</v>
      </c>
      <c r="J806" s="12" t="n">
        <f aca="false">INDEX(Destination!$G$2:$G$501,MATCH(D806,Destination!$A$2:$A$501,0))</f>
        <v>77.03</v>
      </c>
      <c r="K806" s="17" t="n">
        <f aca="false">Assumptions!$B$2*2*ASIN(SQRT(SIN(RADIANS(I806-G806)/2)^2+COS(RADIANS(G806))*COS(RADIANS(I806))*SIN(RADIANS(J806-H806)/2)^2))</f>
        <v>16.1061838165472</v>
      </c>
      <c r="L806" s="18" t="n">
        <f aca="false">K806*Assumptions!$B$3</f>
        <v>20.9380389615114</v>
      </c>
      <c r="M806" s="19" t="n">
        <f aca="false">L806/Assumptions!$B$4</f>
        <v>0.465289754700253</v>
      </c>
      <c r="N806" s="9" t="s">
        <v>1365</v>
      </c>
    </row>
    <row r="807" customFormat="false" ht="15" hidden="false" customHeight="false" outlineLevel="0" collapsed="false">
      <c r="A807" s="9" t="s">
        <v>2170</v>
      </c>
      <c r="B807" s="9" t="s">
        <v>937</v>
      </c>
      <c r="C807" s="9" t="str">
        <f aca="false">IFERROR(INDEX(Destination!$B$2:$B$501,MATCH(B807,Destination!$A$2:$A$501,0)),"")</f>
        <v>Hauz Khas</v>
      </c>
      <c r="D807" s="9" t="s">
        <v>941</v>
      </c>
      <c r="E807" s="9" t="str">
        <f aca="false">IFERROR(INDEX(Destination!$B$2:$B$501,MATCH(D807,Destination!$A$2:$A$501,0)),"")</f>
        <v>Akshardham</v>
      </c>
      <c r="F807" s="9" t="s">
        <v>1364</v>
      </c>
      <c r="G807" s="12" t="n">
        <f aca="false">INDEX(Destination!$F$2:$F$501,MATCH(B807,Destination!$A$2:$A$501,0))</f>
        <v>28.55</v>
      </c>
      <c r="H807" s="12" t="n">
        <f aca="false">INDEX(Destination!$G$2:$G$501,MATCH(B807,Destination!$A$2:$A$501,0))</f>
        <v>77.2</v>
      </c>
      <c r="I807" s="12" t="n">
        <f aca="false">INDEX(Destination!$F$2:$F$501,MATCH(D807,Destination!$A$2:$A$501,0))</f>
        <v>28.61</v>
      </c>
      <c r="J807" s="12" t="n">
        <f aca="false">INDEX(Destination!$G$2:$G$501,MATCH(D807,Destination!$A$2:$A$501,0))</f>
        <v>77.28</v>
      </c>
      <c r="K807" s="17" t="n">
        <f aca="false">Assumptions!$B$2*2*ASIN(SQRT(SIN(RADIANS(I807-G807)/2)^2+COS(RADIANS(G807))*COS(RADIANS(I807))*SIN(RADIANS(J807-H807)/2)^2))</f>
        <v>10.2729565943214</v>
      </c>
      <c r="L807" s="18" t="n">
        <f aca="false">K807*Assumptions!$B$3</f>
        <v>13.3548435726178</v>
      </c>
      <c r="M807" s="19" t="n">
        <f aca="false">L807/Assumptions!$B$4</f>
        <v>0.296774301613728</v>
      </c>
      <c r="N807" s="9" t="s">
        <v>1365</v>
      </c>
    </row>
    <row r="808" customFormat="false" ht="15" hidden="false" customHeight="false" outlineLevel="0" collapsed="false">
      <c r="A808" s="9" t="s">
        <v>2171</v>
      </c>
      <c r="B808" s="9" t="s">
        <v>937</v>
      </c>
      <c r="C808" s="9" t="str">
        <f aca="false">IFERROR(INDEX(Destination!$B$2:$B$501,MATCH(B808,Destination!$A$2:$A$501,0)),"")</f>
        <v>Hauz Khas</v>
      </c>
      <c r="D808" s="9" t="s">
        <v>948</v>
      </c>
      <c r="E808" s="9" t="str">
        <f aca="false">IFERROR(INDEX(Destination!$B$2:$B$501,MATCH(D808,Destination!$A$2:$A$501,0)),"")</f>
        <v>Red Fort</v>
      </c>
      <c r="F808" s="9" t="s">
        <v>1364</v>
      </c>
      <c r="G808" s="12" t="n">
        <f aca="false">INDEX(Destination!$F$2:$F$501,MATCH(B808,Destination!$A$2:$A$501,0))</f>
        <v>28.55</v>
      </c>
      <c r="H808" s="12" t="n">
        <f aca="false">INDEX(Destination!$G$2:$G$501,MATCH(B808,Destination!$A$2:$A$501,0))</f>
        <v>77.2</v>
      </c>
      <c r="I808" s="12" t="n">
        <f aca="false">INDEX(Destination!$F$2:$F$501,MATCH(D808,Destination!$A$2:$A$501,0))</f>
        <v>28.66</v>
      </c>
      <c r="J808" s="12" t="n">
        <f aca="false">INDEX(Destination!$G$2:$G$501,MATCH(D808,Destination!$A$2:$A$501,0))</f>
        <v>77.24</v>
      </c>
      <c r="K808" s="17" t="n">
        <f aca="false">Assumptions!$B$2*2*ASIN(SQRT(SIN(RADIANS(I808-G808)/2)^2+COS(RADIANS(G808))*COS(RADIANS(I808))*SIN(RADIANS(J808-H808)/2)^2))</f>
        <v>12.8396433045089</v>
      </c>
      <c r="L808" s="18" t="n">
        <f aca="false">K808*Assumptions!$B$3</f>
        <v>16.6915362958616</v>
      </c>
      <c r="M808" s="19" t="n">
        <f aca="false">L808/Assumptions!$B$4</f>
        <v>0.370923028796925</v>
      </c>
      <c r="N808" s="9" t="s">
        <v>1365</v>
      </c>
    </row>
    <row r="809" customFormat="false" ht="15" hidden="false" customHeight="false" outlineLevel="0" collapsed="false">
      <c r="A809" s="9" t="s">
        <v>2172</v>
      </c>
      <c r="B809" s="9" t="s">
        <v>937</v>
      </c>
      <c r="C809" s="9" t="str">
        <f aca="false">IFERROR(INDEX(Destination!$B$2:$B$501,MATCH(B809,Destination!$A$2:$A$501,0)),"")</f>
        <v>Hauz Khas</v>
      </c>
      <c r="D809" s="9" t="s">
        <v>960</v>
      </c>
      <c r="E809" s="9" t="str">
        <f aca="false">IFERROR(INDEX(Destination!$B$2:$B$501,MATCH(D809,Destination!$A$2:$A$501,0)),"")</f>
        <v>Gurugram</v>
      </c>
      <c r="F809" s="9" t="s">
        <v>1364</v>
      </c>
      <c r="G809" s="12" t="n">
        <f aca="false">INDEX(Destination!$F$2:$F$501,MATCH(B809,Destination!$A$2:$A$501,0))</f>
        <v>28.55</v>
      </c>
      <c r="H809" s="12" t="n">
        <f aca="false">INDEX(Destination!$G$2:$G$501,MATCH(B809,Destination!$A$2:$A$501,0))</f>
        <v>77.2</v>
      </c>
      <c r="I809" s="12" t="n">
        <f aca="false">INDEX(Destination!$F$2:$F$501,MATCH(D809,Destination!$A$2:$A$501,0))</f>
        <v>28.46</v>
      </c>
      <c r="J809" s="12" t="n">
        <f aca="false">INDEX(Destination!$G$2:$G$501,MATCH(D809,Destination!$A$2:$A$501,0))</f>
        <v>77.03</v>
      </c>
      <c r="K809" s="17" t="n">
        <f aca="false">Assumptions!$B$2*2*ASIN(SQRT(SIN(RADIANS(I809-G809)/2)^2+COS(RADIANS(G809))*COS(RADIANS(I809))*SIN(RADIANS(J809-H809)/2)^2))</f>
        <v>19.3932069734225</v>
      </c>
      <c r="L809" s="18" t="n">
        <f aca="false">K809*Assumptions!$B$3</f>
        <v>25.2111690654492</v>
      </c>
      <c r="M809" s="19" t="n">
        <f aca="false">L809/Assumptions!$B$4</f>
        <v>0.560248201454427</v>
      </c>
      <c r="N809" s="9" t="s">
        <v>1365</v>
      </c>
    </row>
    <row r="810" customFormat="false" ht="15" hidden="false" customHeight="false" outlineLevel="0" collapsed="false">
      <c r="A810" s="9" t="s">
        <v>2173</v>
      </c>
      <c r="B810" s="9" t="s">
        <v>939</v>
      </c>
      <c r="C810" s="9" t="str">
        <f aca="false">IFERROR(INDEX(Destination!$B$2:$B$501,MATCH(B810,Destination!$A$2:$A$501,0)),"")</f>
        <v>Nizamuddin</v>
      </c>
      <c r="D810" s="9" t="s">
        <v>960</v>
      </c>
      <c r="E810" s="9" t="str">
        <f aca="false">IFERROR(INDEX(Destination!$B$2:$B$501,MATCH(D810,Destination!$A$2:$A$501,0)),"")</f>
        <v>Gurugram</v>
      </c>
      <c r="F810" s="9" t="s">
        <v>1364</v>
      </c>
      <c r="G810" s="12" t="n">
        <f aca="false">INDEX(Destination!$F$2:$F$501,MATCH(B810,Destination!$A$2:$A$501,0))</f>
        <v>28.59</v>
      </c>
      <c r="H810" s="12" t="n">
        <f aca="false">INDEX(Destination!$G$2:$G$501,MATCH(B810,Destination!$A$2:$A$501,0))</f>
        <v>77.25</v>
      </c>
      <c r="I810" s="12" t="n">
        <f aca="false">INDEX(Destination!$F$2:$F$501,MATCH(D810,Destination!$A$2:$A$501,0))</f>
        <v>28.46</v>
      </c>
      <c r="J810" s="12" t="n">
        <f aca="false">INDEX(Destination!$G$2:$G$501,MATCH(D810,Destination!$A$2:$A$501,0))</f>
        <v>77.03</v>
      </c>
      <c r="K810" s="17" t="n">
        <f aca="false">Assumptions!$B$2*2*ASIN(SQRT(SIN(RADIANS(I810-G810)/2)^2+COS(RADIANS(G810))*COS(RADIANS(I810))*SIN(RADIANS(J810-H810)/2)^2))</f>
        <v>25.9020956044312</v>
      </c>
      <c r="L810" s="18" t="n">
        <f aca="false">K810*Assumptions!$B$3</f>
        <v>33.6727242857605</v>
      </c>
      <c r="M810" s="19" t="n">
        <f aca="false">L810/Assumptions!$B$4</f>
        <v>0.74828276190579</v>
      </c>
      <c r="N810" s="9" t="s">
        <v>1365</v>
      </c>
    </row>
    <row r="811" customFormat="false" ht="15" hidden="false" customHeight="false" outlineLevel="0" collapsed="false">
      <c r="A811" s="9" t="s">
        <v>2174</v>
      </c>
      <c r="B811" s="9" t="s">
        <v>941</v>
      </c>
      <c r="C811" s="9" t="str">
        <f aca="false">IFERROR(INDEX(Destination!$B$2:$B$501,MATCH(B811,Destination!$A$2:$A$501,0)),"")</f>
        <v>Akshardham</v>
      </c>
      <c r="D811" s="9" t="s">
        <v>950</v>
      </c>
      <c r="E811" s="9" t="str">
        <f aca="false">IFERROR(INDEX(Destination!$B$2:$B$501,MATCH(D811,Destination!$A$2:$A$501,0)),"")</f>
        <v>Qutub Minar</v>
      </c>
      <c r="F811" s="9" t="s">
        <v>1364</v>
      </c>
      <c r="G811" s="12" t="n">
        <f aca="false">INDEX(Destination!$F$2:$F$501,MATCH(B811,Destination!$A$2:$A$501,0))</f>
        <v>28.61</v>
      </c>
      <c r="H811" s="12" t="n">
        <f aca="false">INDEX(Destination!$G$2:$G$501,MATCH(B811,Destination!$A$2:$A$501,0))</f>
        <v>77.28</v>
      </c>
      <c r="I811" s="12" t="n">
        <f aca="false">INDEX(Destination!$F$2:$F$501,MATCH(D811,Destination!$A$2:$A$501,0))</f>
        <v>28.52</v>
      </c>
      <c r="J811" s="12" t="n">
        <f aca="false">INDEX(Destination!$G$2:$G$501,MATCH(D811,Destination!$A$2:$A$501,0))</f>
        <v>77.19</v>
      </c>
      <c r="K811" s="17" t="n">
        <f aca="false">Assumptions!$B$2*2*ASIN(SQRT(SIN(RADIANS(I811-G811)/2)^2+COS(RADIANS(G811))*COS(RADIANS(I811))*SIN(RADIANS(J811-H811)/2)^2))</f>
        <v>13.3193110676522</v>
      </c>
      <c r="L811" s="18" t="n">
        <f aca="false">K811*Assumptions!$B$3</f>
        <v>17.3151043879479</v>
      </c>
      <c r="M811" s="19" t="n">
        <f aca="false">L811/Assumptions!$B$4</f>
        <v>0.384780097509953</v>
      </c>
      <c r="N811" s="9" t="s">
        <v>1365</v>
      </c>
    </row>
    <row r="812" customFormat="false" ht="15" hidden="false" customHeight="false" outlineLevel="0" collapsed="false">
      <c r="A812" s="9" t="s">
        <v>2175</v>
      </c>
      <c r="B812" s="9" t="s">
        <v>944</v>
      </c>
      <c r="C812" s="9" t="str">
        <f aca="false">IFERROR(INDEX(Destination!$B$2:$B$501,MATCH(B812,Destination!$A$2:$A$501,0)),"")</f>
        <v>Lotus Temple</v>
      </c>
      <c r="D812" s="9" t="s">
        <v>948</v>
      </c>
      <c r="E812" s="9" t="str">
        <f aca="false">IFERROR(INDEX(Destination!$B$2:$B$501,MATCH(D812,Destination!$A$2:$A$501,0)),"")</f>
        <v>Red Fort</v>
      </c>
      <c r="F812" s="9" t="s">
        <v>1364</v>
      </c>
      <c r="G812" s="12" t="n">
        <f aca="false">INDEX(Destination!$F$2:$F$501,MATCH(B812,Destination!$A$2:$A$501,0))</f>
        <v>28.55</v>
      </c>
      <c r="H812" s="12" t="n">
        <f aca="false">INDEX(Destination!$G$2:$G$501,MATCH(B812,Destination!$A$2:$A$501,0))</f>
        <v>77.26</v>
      </c>
      <c r="I812" s="12" t="n">
        <f aca="false">INDEX(Destination!$F$2:$F$501,MATCH(D812,Destination!$A$2:$A$501,0))</f>
        <v>28.66</v>
      </c>
      <c r="J812" s="12" t="n">
        <f aca="false">INDEX(Destination!$G$2:$G$501,MATCH(D812,Destination!$A$2:$A$501,0))</f>
        <v>77.24</v>
      </c>
      <c r="K812" s="17" t="n">
        <f aca="false">Assumptions!$B$2*2*ASIN(SQRT(SIN(RADIANS(I812-G812)/2)^2+COS(RADIANS(G812))*COS(RADIANS(I812))*SIN(RADIANS(J812-H812)/2)^2))</f>
        <v>12.3862923772668</v>
      </c>
      <c r="L812" s="18" t="n">
        <f aca="false">K812*Assumptions!$B$3</f>
        <v>16.1021800904469</v>
      </c>
      <c r="M812" s="19" t="n">
        <f aca="false">L812/Assumptions!$B$4</f>
        <v>0.357826224232152</v>
      </c>
      <c r="N812" s="9" t="s">
        <v>1365</v>
      </c>
    </row>
    <row r="813" customFormat="false" ht="15" hidden="false" customHeight="false" outlineLevel="0" collapsed="false">
      <c r="A813" s="9" t="s">
        <v>2176</v>
      </c>
      <c r="B813" s="9" t="s">
        <v>944</v>
      </c>
      <c r="C813" s="9" t="str">
        <f aca="false">IFERROR(INDEX(Destination!$B$2:$B$501,MATCH(B813,Destination!$A$2:$A$501,0)),"")</f>
        <v>Lotus Temple</v>
      </c>
      <c r="D813" s="9" t="s">
        <v>960</v>
      </c>
      <c r="E813" s="9" t="str">
        <f aca="false">IFERROR(INDEX(Destination!$B$2:$B$501,MATCH(D813,Destination!$A$2:$A$501,0)),"")</f>
        <v>Gurugram</v>
      </c>
      <c r="F813" s="9" t="s">
        <v>1364</v>
      </c>
      <c r="G813" s="12" t="n">
        <f aca="false">INDEX(Destination!$F$2:$F$501,MATCH(B813,Destination!$A$2:$A$501,0))</f>
        <v>28.55</v>
      </c>
      <c r="H813" s="12" t="n">
        <f aca="false">INDEX(Destination!$G$2:$G$501,MATCH(B813,Destination!$A$2:$A$501,0))</f>
        <v>77.26</v>
      </c>
      <c r="I813" s="12" t="n">
        <f aca="false">INDEX(Destination!$F$2:$F$501,MATCH(D813,Destination!$A$2:$A$501,0))</f>
        <v>28.46</v>
      </c>
      <c r="J813" s="12" t="n">
        <f aca="false">INDEX(Destination!$G$2:$G$501,MATCH(D813,Destination!$A$2:$A$501,0))</f>
        <v>77.03</v>
      </c>
      <c r="K813" s="17" t="n">
        <f aca="false">Assumptions!$B$2*2*ASIN(SQRT(SIN(RADIANS(I813-G813)/2)^2+COS(RADIANS(G813))*COS(RADIANS(I813))*SIN(RADIANS(J813-H813)/2)^2))</f>
        <v>24.6019377777642</v>
      </c>
      <c r="L813" s="18" t="n">
        <f aca="false">K813*Assumptions!$B$3</f>
        <v>31.9825191110935</v>
      </c>
      <c r="M813" s="19" t="n">
        <f aca="false">L813/Assumptions!$B$4</f>
        <v>0.710722646913189</v>
      </c>
      <c r="N813" s="9" t="s">
        <v>1365</v>
      </c>
    </row>
    <row r="814" customFormat="false" ht="15" hidden="false" customHeight="false" outlineLevel="0" collapsed="false">
      <c r="A814" s="9" t="s">
        <v>2177</v>
      </c>
      <c r="B814" s="9" t="s">
        <v>946</v>
      </c>
      <c r="C814" s="9" t="str">
        <f aca="false">IFERROR(INDEX(Destination!$B$2:$B$501,MATCH(B814,Destination!$A$2:$A$501,0)),"")</f>
        <v>India Gate</v>
      </c>
      <c r="D814" s="9" t="s">
        <v>950</v>
      </c>
      <c r="E814" s="9" t="str">
        <f aca="false">IFERROR(INDEX(Destination!$B$2:$B$501,MATCH(D814,Destination!$A$2:$A$501,0)),"")</f>
        <v>Qutub Minar</v>
      </c>
      <c r="F814" s="9" t="s">
        <v>1364</v>
      </c>
      <c r="G814" s="12" t="n">
        <f aca="false">INDEX(Destination!$F$2:$F$501,MATCH(B814,Destination!$A$2:$A$501,0))</f>
        <v>28.61</v>
      </c>
      <c r="H814" s="12" t="n">
        <f aca="false">INDEX(Destination!$G$2:$G$501,MATCH(B814,Destination!$A$2:$A$501,0))</f>
        <v>77.23</v>
      </c>
      <c r="I814" s="12" t="n">
        <f aca="false">INDEX(Destination!$F$2:$F$501,MATCH(D814,Destination!$A$2:$A$501,0))</f>
        <v>28.52</v>
      </c>
      <c r="J814" s="12" t="n">
        <f aca="false">INDEX(Destination!$G$2:$G$501,MATCH(D814,Destination!$A$2:$A$501,0))</f>
        <v>77.19</v>
      </c>
      <c r="K814" s="17" t="n">
        <f aca="false">Assumptions!$B$2*2*ASIN(SQRT(SIN(RADIANS(I814-G814)/2)^2+COS(RADIANS(G814))*COS(RADIANS(I814))*SIN(RADIANS(J814-H814)/2)^2))</f>
        <v>10.7429419378026</v>
      </c>
      <c r="L814" s="18" t="n">
        <f aca="false">K814*Assumptions!$B$3</f>
        <v>13.9658245191434</v>
      </c>
      <c r="M814" s="19" t="n">
        <f aca="false">L814/Assumptions!$B$4</f>
        <v>0.310351655980964</v>
      </c>
      <c r="N814" s="9" t="s">
        <v>1365</v>
      </c>
    </row>
    <row r="815" customFormat="false" ht="15" hidden="false" customHeight="false" outlineLevel="0" collapsed="false">
      <c r="A815" s="9" t="s">
        <v>2178</v>
      </c>
      <c r="B815" s="9" t="s">
        <v>946</v>
      </c>
      <c r="C815" s="9" t="str">
        <f aca="false">IFERROR(INDEX(Destination!$B$2:$B$501,MATCH(B815,Destination!$A$2:$A$501,0)),"")</f>
        <v>India Gate</v>
      </c>
      <c r="D815" s="9" t="s">
        <v>960</v>
      </c>
      <c r="E815" s="9" t="str">
        <f aca="false">IFERROR(INDEX(Destination!$B$2:$B$501,MATCH(D815,Destination!$A$2:$A$501,0)),"")</f>
        <v>Gurugram</v>
      </c>
      <c r="F815" s="9" t="s">
        <v>1364</v>
      </c>
      <c r="G815" s="12" t="n">
        <f aca="false">INDEX(Destination!$F$2:$F$501,MATCH(B815,Destination!$A$2:$A$501,0))</f>
        <v>28.61</v>
      </c>
      <c r="H815" s="12" t="n">
        <f aca="false">INDEX(Destination!$G$2:$G$501,MATCH(B815,Destination!$A$2:$A$501,0))</f>
        <v>77.23</v>
      </c>
      <c r="I815" s="12" t="n">
        <f aca="false">INDEX(Destination!$F$2:$F$501,MATCH(D815,Destination!$A$2:$A$501,0))</f>
        <v>28.46</v>
      </c>
      <c r="J815" s="12" t="n">
        <f aca="false">INDEX(Destination!$G$2:$G$501,MATCH(D815,Destination!$A$2:$A$501,0))</f>
        <v>77.03</v>
      </c>
      <c r="K815" s="17" t="n">
        <f aca="false">Assumptions!$B$2*2*ASIN(SQRT(SIN(RADIANS(I815-G815)/2)^2+COS(RADIANS(G815))*COS(RADIANS(I815))*SIN(RADIANS(J815-H815)/2)^2))</f>
        <v>25.6887330688436</v>
      </c>
      <c r="L815" s="18" t="n">
        <f aca="false">K815*Assumptions!$B$3</f>
        <v>33.3953529894967</v>
      </c>
      <c r="M815" s="19" t="n">
        <f aca="false">L815/Assumptions!$B$4</f>
        <v>0.742118955322149</v>
      </c>
      <c r="N815" s="9" t="s">
        <v>1365</v>
      </c>
    </row>
    <row r="816" customFormat="false" ht="15" hidden="false" customHeight="false" outlineLevel="0" collapsed="false">
      <c r="A816" s="9" t="s">
        <v>2179</v>
      </c>
      <c r="B816" s="9" t="s">
        <v>948</v>
      </c>
      <c r="C816" s="9" t="str">
        <f aca="false">IFERROR(INDEX(Destination!$B$2:$B$501,MATCH(B816,Destination!$A$2:$A$501,0)),"")</f>
        <v>Red Fort</v>
      </c>
      <c r="D816" s="9" t="s">
        <v>950</v>
      </c>
      <c r="E816" s="9" t="str">
        <f aca="false">IFERROR(INDEX(Destination!$B$2:$B$501,MATCH(D816,Destination!$A$2:$A$501,0)),"")</f>
        <v>Qutub Minar</v>
      </c>
      <c r="F816" s="9" t="s">
        <v>1364</v>
      </c>
      <c r="G816" s="12" t="n">
        <f aca="false">INDEX(Destination!$F$2:$F$501,MATCH(B816,Destination!$A$2:$A$501,0))</f>
        <v>28.66</v>
      </c>
      <c r="H816" s="12" t="n">
        <f aca="false">INDEX(Destination!$G$2:$G$501,MATCH(B816,Destination!$A$2:$A$501,0))</f>
        <v>77.24</v>
      </c>
      <c r="I816" s="12" t="n">
        <f aca="false">INDEX(Destination!$F$2:$F$501,MATCH(D816,Destination!$A$2:$A$501,0))</f>
        <v>28.52</v>
      </c>
      <c r="J816" s="12" t="n">
        <f aca="false">INDEX(Destination!$G$2:$G$501,MATCH(D816,Destination!$A$2:$A$501,0))</f>
        <v>77.19</v>
      </c>
      <c r="K816" s="17" t="n">
        <f aca="false">Assumptions!$B$2*2*ASIN(SQRT(SIN(RADIANS(I816-G816)/2)^2+COS(RADIANS(G816))*COS(RADIANS(I816))*SIN(RADIANS(J816-H816)/2)^2))</f>
        <v>16.3148007091526</v>
      </c>
      <c r="L816" s="18" t="n">
        <f aca="false">K816*Assumptions!$B$3</f>
        <v>21.2092409218984</v>
      </c>
      <c r="M816" s="19" t="n">
        <f aca="false">L816/Assumptions!$B$4</f>
        <v>0.471316464931075</v>
      </c>
      <c r="N816" s="9" t="s">
        <v>1365</v>
      </c>
    </row>
    <row r="817" customFormat="false" ht="15" hidden="false" customHeight="false" outlineLevel="0" collapsed="false">
      <c r="A817" s="9" t="s">
        <v>2180</v>
      </c>
      <c r="B817" s="9" t="s">
        <v>950</v>
      </c>
      <c r="C817" s="9" t="str">
        <f aca="false">IFERROR(INDEX(Destination!$B$2:$B$501,MATCH(B817,Destination!$A$2:$A$501,0)),"")</f>
        <v>Qutub Minar</v>
      </c>
      <c r="D817" s="9" t="s">
        <v>956</v>
      </c>
      <c r="E817" s="9" t="str">
        <f aca="false">IFERROR(INDEX(Destination!$B$2:$B$501,MATCH(D817,Destination!$A$2:$A$501,0)),"")</f>
        <v>National Museum</v>
      </c>
      <c r="F817" s="9" t="s">
        <v>1364</v>
      </c>
      <c r="G817" s="12" t="n">
        <f aca="false">INDEX(Destination!$F$2:$F$501,MATCH(B817,Destination!$A$2:$A$501,0))</f>
        <v>28.52</v>
      </c>
      <c r="H817" s="12" t="n">
        <f aca="false">INDEX(Destination!$G$2:$G$501,MATCH(B817,Destination!$A$2:$A$501,0))</f>
        <v>77.19</v>
      </c>
      <c r="I817" s="12" t="n">
        <f aca="false">INDEX(Destination!$F$2:$F$501,MATCH(D817,Destination!$A$2:$A$501,0))</f>
        <v>28.61</v>
      </c>
      <c r="J817" s="12" t="n">
        <f aca="false">INDEX(Destination!$G$2:$G$501,MATCH(D817,Destination!$A$2:$A$501,0))</f>
        <v>77.22</v>
      </c>
      <c r="K817" s="17" t="n">
        <f aca="false">Assumptions!$B$2*2*ASIN(SQRT(SIN(RADIANS(I817-G817)/2)^2+COS(RADIANS(G817))*COS(RADIANS(I817))*SIN(RADIANS(J817-H817)/2)^2))</f>
        <v>10.4275886711356</v>
      </c>
      <c r="L817" s="18" t="n">
        <f aca="false">K817*Assumptions!$B$3</f>
        <v>13.5558652724763</v>
      </c>
      <c r="M817" s="19" t="n">
        <f aca="false">L817/Assumptions!$B$4</f>
        <v>0.301241450499472</v>
      </c>
      <c r="N817" s="9" t="s">
        <v>1365</v>
      </c>
    </row>
    <row r="818" customFormat="false" ht="15" hidden="false" customHeight="false" outlineLevel="0" collapsed="false">
      <c r="A818" s="9" t="s">
        <v>2181</v>
      </c>
      <c r="B818" s="9" t="s">
        <v>950</v>
      </c>
      <c r="C818" s="9" t="str">
        <f aca="false">IFERROR(INDEX(Destination!$B$2:$B$501,MATCH(B818,Destination!$A$2:$A$501,0)),"")</f>
        <v>Qutub Minar</v>
      </c>
      <c r="D818" s="9" t="s">
        <v>958</v>
      </c>
      <c r="E818" s="9" t="str">
        <f aca="false">IFERROR(INDEX(Destination!$B$2:$B$501,MATCH(D818,Destination!$A$2:$A$501,0)),"")</f>
        <v>Rashtrapati Bhavan</v>
      </c>
      <c r="F818" s="9" t="s">
        <v>1364</v>
      </c>
      <c r="G818" s="12" t="n">
        <f aca="false">INDEX(Destination!$F$2:$F$501,MATCH(B818,Destination!$A$2:$A$501,0))</f>
        <v>28.52</v>
      </c>
      <c r="H818" s="12" t="n">
        <f aca="false">INDEX(Destination!$G$2:$G$501,MATCH(B818,Destination!$A$2:$A$501,0))</f>
        <v>77.19</v>
      </c>
      <c r="I818" s="12" t="n">
        <f aca="false">INDEX(Destination!$F$2:$F$501,MATCH(D818,Destination!$A$2:$A$501,0))</f>
        <v>28.61</v>
      </c>
      <c r="J818" s="12" t="n">
        <f aca="false">INDEX(Destination!$G$2:$G$501,MATCH(D818,Destination!$A$2:$A$501,0))</f>
        <v>77.2</v>
      </c>
      <c r="K818" s="17" t="n">
        <f aca="false">Assumptions!$B$2*2*ASIN(SQRT(SIN(RADIANS(I818-G818)/2)^2+COS(RADIANS(G818))*COS(RADIANS(I818))*SIN(RADIANS(J818-H818)/2)^2))</f>
        <v>10.0550816585376</v>
      </c>
      <c r="L818" s="18" t="n">
        <f aca="false">K818*Assumptions!$B$3</f>
        <v>13.0716061560989</v>
      </c>
      <c r="M818" s="19" t="n">
        <f aca="false">L818/Assumptions!$B$4</f>
        <v>0.290480136802197</v>
      </c>
      <c r="N818" s="9" t="s">
        <v>1365</v>
      </c>
    </row>
    <row r="819" customFormat="false" ht="15" hidden="false" customHeight="false" outlineLevel="0" collapsed="false">
      <c r="A819" s="9" t="s">
        <v>2182</v>
      </c>
      <c r="B819" s="9" t="s">
        <v>950</v>
      </c>
      <c r="C819" s="9" t="str">
        <f aca="false">IFERROR(INDEX(Destination!$B$2:$B$501,MATCH(B819,Destination!$A$2:$A$501,0)),"")</f>
        <v>Qutub Minar</v>
      </c>
      <c r="D819" s="9" t="s">
        <v>960</v>
      </c>
      <c r="E819" s="9" t="str">
        <f aca="false">IFERROR(INDEX(Destination!$B$2:$B$501,MATCH(D819,Destination!$A$2:$A$501,0)),"")</f>
        <v>Gurugram</v>
      </c>
      <c r="F819" s="9" t="s">
        <v>1364</v>
      </c>
      <c r="G819" s="12" t="n">
        <f aca="false">INDEX(Destination!$F$2:$F$501,MATCH(B819,Destination!$A$2:$A$501,0))</f>
        <v>28.52</v>
      </c>
      <c r="H819" s="12" t="n">
        <f aca="false">INDEX(Destination!$G$2:$G$501,MATCH(B819,Destination!$A$2:$A$501,0))</f>
        <v>77.19</v>
      </c>
      <c r="I819" s="12" t="n">
        <f aca="false">INDEX(Destination!$F$2:$F$501,MATCH(D819,Destination!$A$2:$A$501,0))</f>
        <v>28.46</v>
      </c>
      <c r="J819" s="12" t="n">
        <f aca="false">INDEX(Destination!$G$2:$G$501,MATCH(D819,Destination!$A$2:$A$501,0))</f>
        <v>77.03</v>
      </c>
      <c r="K819" s="17" t="n">
        <f aca="false">Assumptions!$B$2*2*ASIN(SQRT(SIN(RADIANS(I819-G819)/2)^2+COS(RADIANS(G819))*COS(RADIANS(I819))*SIN(RADIANS(J819-H819)/2)^2))</f>
        <v>17.0005079733058</v>
      </c>
      <c r="L819" s="18" t="n">
        <f aca="false">K819*Assumptions!$B$3</f>
        <v>22.1006603652975</v>
      </c>
      <c r="M819" s="19" t="n">
        <f aca="false">L819/Assumptions!$B$4</f>
        <v>0.4911257858955</v>
      </c>
      <c r="N819" s="9" t="s">
        <v>1365</v>
      </c>
    </row>
    <row r="820" customFormat="false" ht="15" hidden="false" customHeight="false" outlineLevel="0" collapsed="false">
      <c r="A820" s="9" t="s">
        <v>2183</v>
      </c>
      <c r="B820" s="9" t="s">
        <v>952</v>
      </c>
      <c r="C820" s="9" t="str">
        <f aca="false">IFERROR(INDEX(Destination!$B$2:$B$501,MATCH(B820,Destination!$A$2:$A$501,0)),"")</f>
        <v>Humayun's Tomb</v>
      </c>
      <c r="D820" s="9" t="s">
        <v>960</v>
      </c>
      <c r="E820" s="9" t="str">
        <f aca="false">IFERROR(INDEX(Destination!$B$2:$B$501,MATCH(D820,Destination!$A$2:$A$501,0)),"")</f>
        <v>Gurugram</v>
      </c>
      <c r="F820" s="9" t="s">
        <v>1364</v>
      </c>
      <c r="G820" s="12" t="n">
        <f aca="false">INDEX(Destination!$F$2:$F$501,MATCH(B820,Destination!$A$2:$A$501,0))</f>
        <v>28.59</v>
      </c>
      <c r="H820" s="12" t="n">
        <f aca="false">INDEX(Destination!$G$2:$G$501,MATCH(B820,Destination!$A$2:$A$501,0))</f>
        <v>77.25</v>
      </c>
      <c r="I820" s="12" t="n">
        <f aca="false">INDEX(Destination!$F$2:$F$501,MATCH(D820,Destination!$A$2:$A$501,0))</f>
        <v>28.46</v>
      </c>
      <c r="J820" s="12" t="n">
        <f aca="false">INDEX(Destination!$G$2:$G$501,MATCH(D820,Destination!$A$2:$A$501,0))</f>
        <v>77.03</v>
      </c>
      <c r="K820" s="17" t="n">
        <f aca="false">Assumptions!$B$2*2*ASIN(SQRT(SIN(RADIANS(I820-G820)/2)^2+COS(RADIANS(G820))*COS(RADIANS(I820))*SIN(RADIANS(J820-H820)/2)^2))</f>
        <v>25.9020956044312</v>
      </c>
      <c r="L820" s="18" t="n">
        <f aca="false">K820*Assumptions!$B$3</f>
        <v>33.6727242857605</v>
      </c>
      <c r="M820" s="19" t="n">
        <f aca="false">L820/Assumptions!$B$4</f>
        <v>0.74828276190579</v>
      </c>
      <c r="N820" s="9" t="s">
        <v>1365</v>
      </c>
    </row>
    <row r="821" customFormat="false" ht="15" hidden="false" customHeight="false" outlineLevel="0" collapsed="false">
      <c r="A821" s="9" t="s">
        <v>2184</v>
      </c>
      <c r="B821" s="9" t="s">
        <v>954</v>
      </c>
      <c r="C821" s="9" t="str">
        <f aca="false">IFERROR(INDEX(Destination!$B$2:$B$501,MATCH(B821,Destination!$A$2:$A$501,0)),"")</f>
        <v>Lodhi Garden</v>
      </c>
      <c r="D821" s="9" t="s">
        <v>960</v>
      </c>
      <c r="E821" s="9" t="str">
        <f aca="false">IFERROR(INDEX(Destination!$B$2:$B$501,MATCH(D821,Destination!$A$2:$A$501,0)),"")</f>
        <v>Gurugram</v>
      </c>
      <c r="F821" s="9" t="s">
        <v>1364</v>
      </c>
      <c r="G821" s="12" t="n">
        <f aca="false">INDEX(Destination!$F$2:$F$501,MATCH(B821,Destination!$A$2:$A$501,0))</f>
        <v>28.59</v>
      </c>
      <c r="H821" s="12" t="n">
        <f aca="false">INDEX(Destination!$G$2:$G$501,MATCH(B821,Destination!$A$2:$A$501,0))</f>
        <v>77.22</v>
      </c>
      <c r="I821" s="12" t="n">
        <f aca="false">INDEX(Destination!$F$2:$F$501,MATCH(D821,Destination!$A$2:$A$501,0))</f>
        <v>28.46</v>
      </c>
      <c r="J821" s="12" t="n">
        <f aca="false">INDEX(Destination!$G$2:$G$501,MATCH(D821,Destination!$A$2:$A$501,0))</f>
        <v>77.03</v>
      </c>
      <c r="K821" s="17" t="n">
        <f aca="false">Assumptions!$B$2*2*ASIN(SQRT(SIN(RADIANS(I821-G821)/2)^2+COS(RADIANS(G821))*COS(RADIANS(I821))*SIN(RADIANS(J821-H821)/2)^2))</f>
        <v>23.5269893195618</v>
      </c>
      <c r="L821" s="18" t="n">
        <f aca="false">K821*Assumptions!$B$3</f>
        <v>30.5850861154304</v>
      </c>
      <c r="M821" s="19" t="n">
        <f aca="false">L821/Assumptions!$B$4</f>
        <v>0.679668580342898</v>
      </c>
      <c r="N821" s="9" t="s">
        <v>1365</v>
      </c>
    </row>
    <row r="822" customFormat="false" ht="15" hidden="false" customHeight="false" outlineLevel="0" collapsed="false">
      <c r="A822" s="9" t="s">
        <v>2185</v>
      </c>
      <c r="B822" s="9" t="s">
        <v>956</v>
      </c>
      <c r="C822" s="9" t="str">
        <f aca="false">IFERROR(INDEX(Destination!$B$2:$B$501,MATCH(B822,Destination!$A$2:$A$501,0)),"")</f>
        <v>National Museum</v>
      </c>
      <c r="D822" s="9" t="s">
        <v>960</v>
      </c>
      <c r="E822" s="9" t="str">
        <f aca="false">IFERROR(INDEX(Destination!$B$2:$B$501,MATCH(D822,Destination!$A$2:$A$501,0)),"")</f>
        <v>Gurugram</v>
      </c>
      <c r="F822" s="9" t="s">
        <v>1364</v>
      </c>
      <c r="G822" s="12" t="n">
        <f aca="false">INDEX(Destination!$F$2:$F$501,MATCH(B822,Destination!$A$2:$A$501,0))</f>
        <v>28.61</v>
      </c>
      <c r="H822" s="12" t="n">
        <f aca="false">INDEX(Destination!$G$2:$G$501,MATCH(B822,Destination!$A$2:$A$501,0))</f>
        <v>77.22</v>
      </c>
      <c r="I822" s="12" t="n">
        <f aca="false">INDEX(Destination!$F$2:$F$501,MATCH(D822,Destination!$A$2:$A$501,0))</f>
        <v>28.46</v>
      </c>
      <c r="J822" s="12" t="n">
        <f aca="false">INDEX(Destination!$G$2:$G$501,MATCH(D822,Destination!$A$2:$A$501,0))</f>
        <v>77.03</v>
      </c>
      <c r="K822" s="17" t="n">
        <f aca="false">Assumptions!$B$2*2*ASIN(SQRT(SIN(RADIANS(I822-G822)/2)^2+COS(RADIANS(G822))*COS(RADIANS(I822))*SIN(RADIANS(J822-H822)/2)^2))</f>
        <v>24.9538353791653</v>
      </c>
      <c r="L822" s="18" t="n">
        <f aca="false">K822*Assumptions!$B$3</f>
        <v>32.4399859929149</v>
      </c>
      <c r="M822" s="19" t="n">
        <f aca="false">L822/Assumptions!$B$4</f>
        <v>0.720888577620332</v>
      </c>
      <c r="N822" s="9" t="s">
        <v>1365</v>
      </c>
    </row>
    <row r="823" customFormat="false" ht="15" hidden="false" customHeight="false" outlineLevel="0" collapsed="false">
      <c r="A823" s="9" t="s">
        <v>2186</v>
      </c>
      <c r="B823" s="9" t="s">
        <v>958</v>
      </c>
      <c r="C823" s="9" t="str">
        <f aca="false">IFERROR(INDEX(Destination!$B$2:$B$501,MATCH(B823,Destination!$A$2:$A$501,0)),"")</f>
        <v>Rashtrapati Bhavan</v>
      </c>
      <c r="D823" s="9" t="s">
        <v>960</v>
      </c>
      <c r="E823" s="9" t="str">
        <f aca="false">IFERROR(INDEX(Destination!$B$2:$B$501,MATCH(D823,Destination!$A$2:$A$501,0)),"")</f>
        <v>Gurugram</v>
      </c>
      <c r="F823" s="9" t="s">
        <v>1364</v>
      </c>
      <c r="G823" s="12" t="n">
        <f aca="false">INDEX(Destination!$F$2:$F$501,MATCH(B823,Destination!$A$2:$A$501,0))</f>
        <v>28.61</v>
      </c>
      <c r="H823" s="12" t="n">
        <f aca="false">INDEX(Destination!$G$2:$G$501,MATCH(B823,Destination!$A$2:$A$501,0))</f>
        <v>77.2</v>
      </c>
      <c r="I823" s="12" t="n">
        <f aca="false">INDEX(Destination!$F$2:$F$501,MATCH(D823,Destination!$A$2:$A$501,0))</f>
        <v>28.46</v>
      </c>
      <c r="J823" s="12" t="n">
        <f aca="false">INDEX(Destination!$G$2:$G$501,MATCH(D823,Destination!$A$2:$A$501,0))</f>
        <v>77.03</v>
      </c>
      <c r="K823" s="17" t="n">
        <f aca="false">Assumptions!$B$2*2*ASIN(SQRT(SIN(RADIANS(I823-G823)/2)^2+COS(RADIANS(G823))*COS(RADIANS(I823))*SIN(RADIANS(J823-H823)/2)^2))</f>
        <v>23.5368942579374</v>
      </c>
      <c r="L823" s="18" t="n">
        <f aca="false">K823*Assumptions!$B$3</f>
        <v>30.5979625353186</v>
      </c>
      <c r="M823" s="19" t="n">
        <f aca="false">L823/Assumptions!$B$4</f>
        <v>0.679954723007081</v>
      </c>
      <c r="N823" s="9" t="s">
        <v>1365</v>
      </c>
    </row>
    <row r="824" customFormat="false" ht="15" hidden="false" customHeight="false" outlineLevel="0" collapsed="false">
      <c r="A824" s="9" t="s">
        <v>2187</v>
      </c>
      <c r="B824" s="9" t="s">
        <v>988</v>
      </c>
      <c r="C824" s="9" t="str">
        <f aca="false">IFERROR(INDEX(Destination!$B$2:$B$501,MATCH(B824,Destination!$A$2:$A$501,0)),"")</f>
        <v>Silvassa</v>
      </c>
      <c r="D824" s="9" t="s">
        <v>990</v>
      </c>
      <c r="E824" s="9" t="str">
        <f aca="false">IFERROR(INDEX(Destination!$B$2:$B$501,MATCH(D824,Destination!$A$2:$A$501,0)),"")</f>
        <v>Daman</v>
      </c>
      <c r="F824" s="9" t="s">
        <v>1364</v>
      </c>
      <c r="G824" s="12" t="n">
        <f aca="false">INDEX(Destination!$F$2:$F$501,MATCH(B824,Destination!$A$2:$A$501,0))</f>
        <v>20.27</v>
      </c>
      <c r="H824" s="12" t="n">
        <f aca="false">INDEX(Destination!$G$2:$G$501,MATCH(B824,Destination!$A$2:$A$501,0))</f>
        <v>73.01</v>
      </c>
      <c r="I824" s="12" t="n">
        <f aca="false">INDEX(Destination!$F$2:$F$501,MATCH(D824,Destination!$A$2:$A$501,0))</f>
        <v>20.4</v>
      </c>
      <c r="J824" s="12" t="n">
        <f aca="false">INDEX(Destination!$G$2:$G$501,MATCH(D824,Destination!$A$2:$A$501,0))</f>
        <v>72.83</v>
      </c>
      <c r="K824" s="17" t="n">
        <f aca="false">Assumptions!$B$2*2*ASIN(SQRT(SIN(RADIANS(I824-G824)/2)^2+COS(RADIANS(G824))*COS(RADIANS(I824))*SIN(RADIANS(J824-H824)/2)^2))</f>
        <v>23.6892918637884</v>
      </c>
      <c r="L824" s="18" t="n">
        <f aca="false">K824*Assumptions!$B$3</f>
        <v>30.7960794229249</v>
      </c>
      <c r="M824" s="19" t="n">
        <f aca="false">L824/Assumptions!$B$4</f>
        <v>0.684357320509443</v>
      </c>
      <c r="N824" s="9" t="s">
        <v>1365</v>
      </c>
    </row>
    <row r="825" customFormat="false" ht="15" hidden="false" customHeight="false" outlineLevel="0" collapsed="false">
      <c r="A825" s="9" t="s">
        <v>2188</v>
      </c>
      <c r="B825" s="9" t="s">
        <v>992</v>
      </c>
      <c r="C825" s="9" t="str">
        <f aca="false">IFERROR(INDEX(Destination!$B$2:$B$501,MATCH(B825,Destination!$A$2:$A$501,0)),"")</f>
        <v>Ayodhya</v>
      </c>
      <c r="D825" s="9" t="s">
        <v>994</v>
      </c>
      <c r="E825" s="9" t="str">
        <f aca="false">IFERROR(INDEX(Destination!$B$2:$B$501,MATCH(D825,Destination!$A$2:$A$501,0)),"")</f>
        <v>Kashi</v>
      </c>
      <c r="F825" s="9" t="s">
        <v>1364</v>
      </c>
      <c r="G825" s="12" t="n">
        <f aca="false">INDEX(Destination!$F$2:$F$501,MATCH(B825,Destination!$A$2:$A$501,0))</f>
        <v>26.8</v>
      </c>
      <c r="H825" s="12" t="n">
        <f aca="false">INDEX(Destination!$G$2:$G$501,MATCH(B825,Destination!$A$2:$A$501,0))</f>
        <v>82.2</v>
      </c>
      <c r="I825" s="12" t="n">
        <f aca="false">INDEX(Destination!$F$2:$F$501,MATCH(D825,Destination!$A$2:$A$501,0))</f>
        <v>25.31</v>
      </c>
      <c r="J825" s="12" t="n">
        <f aca="false">INDEX(Destination!$G$2:$G$501,MATCH(D825,Destination!$A$2:$A$501,0))</f>
        <v>83.01</v>
      </c>
      <c r="K825" s="17" t="n">
        <f aca="false">Assumptions!$B$2*2*ASIN(SQRT(SIN(RADIANS(I825-G825)/2)^2+COS(RADIANS(G825))*COS(RADIANS(I825))*SIN(RADIANS(J825-H825)/2)^2))</f>
        <v>184.381445509162</v>
      </c>
      <c r="L825" s="18" t="n">
        <f aca="false">K825*Assumptions!$B$3</f>
        <v>239.695879161911</v>
      </c>
      <c r="M825" s="19" t="n">
        <f aca="false">L825/Assumptions!$B$4</f>
        <v>5.32657509248691</v>
      </c>
      <c r="N825" s="9" t="s">
        <v>1365</v>
      </c>
    </row>
  </sheetData>
  <autoFilter ref="A1:N8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7" min="6" style="0" width="11"/>
    <col collapsed="false" customWidth="true" hidden="false" outlineLevel="0" max="10" min="8" style="0" width="13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46"/>
  </cols>
  <sheetData>
    <row r="1" customFormat="false" ht="31.5" hidden="false" customHeight="true" outlineLevel="0" collapsed="false">
      <c r="A1" s="3" t="s">
        <v>2189</v>
      </c>
      <c r="B1" s="3" t="s">
        <v>1144</v>
      </c>
      <c r="C1" s="3" t="s">
        <v>48</v>
      </c>
      <c r="D1" s="3" t="s">
        <v>49</v>
      </c>
      <c r="E1" s="3" t="s">
        <v>2190</v>
      </c>
      <c r="F1" s="3" t="s">
        <v>53</v>
      </c>
      <c r="G1" s="3" t="s">
        <v>54</v>
      </c>
      <c r="H1" s="3" t="s">
        <v>2191</v>
      </c>
      <c r="I1" s="3" t="s">
        <v>2192</v>
      </c>
      <c r="J1" s="3" t="s">
        <v>2193</v>
      </c>
      <c r="K1" s="3" t="s">
        <v>2194</v>
      </c>
      <c r="L1" s="3" t="s">
        <v>2195</v>
      </c>
      <c r="M1" s="3" t="s">
        <v>2196</v>
      </c>
    </row>
    <row r="2" customFormat="false" ht="15" hidden="false" customHeight="false" outlineLevel="0" collapsed="false">
      <c r="A2" s="9" t="s">
        <v>2197</v>
      </c>
      <c r="B2" s="9" t="s">
        <v>2198</v>
      </c>
      <c r="C2" s="9" t="s">
        <v>194</v>
      </c>
      <c r="D2" s="9" t="str">
        <f aca="false">IFERROR(INDEX(Destination!$B$2:$B$501,MATCH(C2,Destination!$A$2:$A$501,0)),"")</f>
        <v>Pushkar</v>
      </c>
      <c r="E2" s="9" t="s">
        <v>2199</v>
      </c>
      <c r="F2" s="12" t="n">
        <f aca="false">INDEX(Destination!$F$2:$F$501,MATCH(C2,Destination!$A$2:$A$501,0))</f>
        <v>26.49</v>
      </c>
      <c r="G2" s="12" t="n">
        <f aca="false">INDEX(Destination!$G$2:$G$501,MATCH(C2,Destination!$A$2:$A$501,0))</f>
        <v>74.55</v>
      </c>
      <c r="H2" s="9" t="s">
        <v>2200</v>
      </c>
      <c r="I2" s="20"/>
      <c r="J2" s="20"/>
      <c r="K2" s="9" t="n">
        <v>7</v>
      </c>
      <c r="L2" s="9" t="s">
        <v>2201</v>
      </c>
      <c r="M2" s="9" t="s">
        <v>2202</v>
      </c>
    </row>
    <row r="3" customFormat="false" ht="15" hidden="false" customHeight="false" outlineLevel="0" collapsed="false">
      <c r="A3" s="9" t="s">
        <v>2203</v>
      </c>
      <c r="B3" s="9" t="s">
        <v>2204</v>
      </c>
      <c r="C3" s="9" t="s">
        <v>72</v>
      </c>
      <c r="D3" s="9" t="str">
        <f aca="false">IFERROR(INDEX(Destination!$B$2:$B$501,MATCH(C3,Destination!$A$2:$A$501,0)),"")</f>
        <v>Varanasi</v>
      </c>
      <c r="E3" s="9" t="s">
        <v>2205</v>
      </c>
      <c r="F3" s="12" t="n">
        <f aca="false">INDEX(Destination!$F$2:$F$501,MATCH(C3,Destination!$A$2:$A$501,0))</f>
        <v>25.32</v>
      </c>
      <c r="G3" s="12" t="n">
        <f aca="false">INDEX(Destination!$G$2:$G$501,MATCH(C3,Destination!$A$2:$A$501,0))</f>
        <v>82.99</v>
      </c>
      <c r="H3" s="9" t="s">
        <v>2200</v>
      </c>
      <c r="I3" s="20"/>
      <c r="J3" s="20"/>
      <c r="K3" s="9" t="n">
        <v>1</v>
      </c>
      <c r="L3" s="9" t="s">
        <v>1150</v>
      </c>
      <c r="M3" s="9" t="s">
        <v>2202</v>
      </c>
    </row>
    <row r="4" customFormat="false" ht="15" hidden="false" customHeight="false" outlineLevel="0" collapsed="false">
      <c r="A4" s="9" t="s">
        <v>2206</v>
      </c>
      <c r="B4" s="9" t="s">
        <v>2207</v>
      </c>
      <c r="C4" s="9" t="s">
        <v>68</v>
      </c>
      <c r="D4" s="9" t="str">
        <f aca="false">IFERROR(INDEX(Destination!$B$2:$B$501,MATCH(C4,Destination!$A$2:$A$501,0)),"")</f>
        <v>Jaipur</v>
      </c>
      <c r="E4" s="9"/>
      <c r="F4" s="12" t="n">
        <f aca="false">INDEX(Destination!$F$2:$F$501,MATCH(C4,Destination!$A$2:$A$501,0))</f>
        <v>26.91</v>
      </c>
      <c r="G4" s="12" t="n">
        <f aca="false">INDEX(Destination!$G$2:$G$501,MATCH(C4,Destination!$A$2:$A$501,0))</f>
        <v>75.79</v>
      </c>
      <c r="H4" s="9" t="s">
        <v>2208</v>
      </c>
      <c r="I4" s="20"/>
      <c r="J4" s="20"/>
      <c r="K4" s="9" t="n">
        <v>5</v>
      </c>
      <c r="L4" s="9" t="s">
        <v>2209</v>
      </c>
      <c r="M4" s="9" t="s">
        <v>2202</v>
      </c>
    </row>
    <row r="5" customFormat="false" ht="15" hidden="false" customHeight="false" outlineLevel="0" collapsed="false">
      <c r="A5" s="9" t="s">
        <v>2210</v>
      </c>
      <c r="B5" s="9" t="s">
        <v>2211</v>
      </c>
      <c r="C5" s="9" t="s">
        <v>829</v>
      </c>
      <c r="D5" s="9" t="str">
        <f aca="false">IFERROR(INDEX(Destination!$B$2:$B$501,MATCH(C5,Destination!$A$2:$A$501,0)),"")</f>
        <v>Kohima</v>
      </c>
      <c r="E5" s="9" t="s">
        <v>2212</v>
      </c>
      <c r="F5" s="12" t="n">
        <f aca="false">INDEX(Destination!$F$2:$F$501,MATCH(C5,Destination!$A$2:$A$501,0))</f>
        <v>25.67</v>
      </c>
      <c r="G5" s="12" t="n">
        <f aca="false">INDEX(Destination!$G$2:$G$501,MATCH(C5,Destination!$A$2:$A$501,0))</f>
        <v>94.11</v>
      </c>
      <c r="H5" s="9" t="s">
        <v>2213</v>
      </c>
      <c r="I5" s="20"/>
      <c r="J5" s="20"/>
      <c r="K5" s="9" t="n">
        <v>10</v>
      </c>
      <c r="L5" s="9" t="s">
        <v>2214</v>
      </c>
      <c r="M5" s="9" t="s">
        <v>2202</v>
      </c>
    </row>
    <row r="6" customFormat="false" ht="15" hidden="false" customHeight="false" outlineLevel="0" collapsed="false">
      <c r="A6" s="9" t="s">
        <v>2215</v>
      </c>
      <c r="B6" s="9" t="s">
        <v>2216</v>
      </c>
      <c r="C6" s="9" t="s">
        <v>623</v>
      </c>
      <c r="D6" s="9" t="str">
        <f aca="false">IFERROR(INDEX(Destination!$B$2:$B$501,MATCH(C6,Destination!$A$2:$A$501,0)),"")</f>
        <v>Puri</v>
      </c>
      <c r="E6" s="9" t="s">
        <v>2217</v>
      </c>
      <c r="F6" s="12" t="n">
        <f aca="false">INDEX(Destination!$F$2:$F$501,MATCH(C6,Destination!$A$2:$A$501,0))</f>
        <v>19.81</v>
      </c>
      <c r="G6" s="12" t="n">
        <f aca="false">INDEX(Destination!$G$2:$G$501,MATCH(C6,Destination!$A$2:$A$501,0))</f>
        <v>85.83</v>
      </c>
      <c r="H6" s="9" t="s">
        <v>2218</v>
      </c>
      <c r="I6" s="20"/>
      <c r="J6" s="20"/>
      <c r="K6" s="9" t="n">
        <v>9</v>
      </c>
      <c r="L6" s="9" t="s">
        <v>1150</v>
      </c>
      <c r="M6" s="9" t="s">
        <v>2202</v>
      </c>
    </row>
    <row r="7" customFormat="false" ht="15" hidden="false" customHeight="false" outlineLevel="0" collapsed="false">
      <c r="A7" s="9" t="s">
        <v>2219</v>
      </c>
      <c r="B7" s="9" t="s">
        <v>2220</v>
      </c>
      <c r="C7" s="9" t="s">
        <v>75</v>
      </c>
      <c r="D7" s="9" t="str">
        <f aca="false">IFERROR(INDEX(Destination!$B$2:$B$501,MATCH(C7,Destination!$A$2:$A$501,0)),"")</f>
        <v>Mysuru</v>
      </c>
      <c r="E7" s="9" t="s">
        <v>1193</v>
      </c>
      <c r="F7" s="12" t="n">
        <f aca="false">INDEX(Destination!$F$2:$F$501,MATCH(C7,Destination!$A$2:$A$501,0))</f>
        <v>12.3</v>
      </c>
      <c r="G7" s="12" t="n">
        <f aca="false">INDEX(Destination!$G$2:$G$501,MATCH(C7,Destination!$A$2:$A$501,0))</f>
        <v>76.64</v>
      </c>
      <c r="H7" s="9" t="s">
        <v>2221</v>
      </c>
      <c r="I7" s="20"/>
      <c r="J7" s="20"/>
      <c r="K7" s="9" t="n">
        <v>10</v>
      </c>
      <c r="L7" s="9" t="s">
        <v>2214</v>
      </c>
      <c r="M7" s="9" t="s">
        <v>2202</v>
      </c>
    </row>
    <row r="8" customFormat="false" ht="15" hidden="false" customHeight="false" outlineLevel="0" collapsed="false">
      <c r="A8" s="9" t="s">
        <v>2222</v>
      </c>
      <c r="B8" s="9" t="s">
        <v>2223</v>
      </c>
      <c r="C8" s="9" t="s">
        <v>542</v>
      </c>
      <c r="D8" s="9" t="str">
        <f aca="false">IFERROR(INDEX(Destination!$B$2:$B$501,MATCH(C8,Destination!$A$2:$A$501,0)),"")</f>
        <v>Thrissur</v>
      </c>
      <c r="E8" s="9" t="s">
        <v>2224</v>
      </c>
      <c r="F8" s="12" t="n">
        <f aca="false">INDEX(Destination!$F$2:$F$501,MATCH(C8,Destination!$A$2:$A$501,0))</f>
        <v>10.53</v>
      </c>
      <c r="G8" s="12" t="n">
        <f aca="false">INDEX(Destination!$G$2:$G$501,MATCH(C8,Destination!$A$2:$A$501,0))</f>
        <v>76.21</v>
      </c>
      <c r="H8" s="9" t="s">
        <v>2225</v>
      </c>
      <c r="I8" s="20"/>
      <c r="J8" s="20"/>
      <c r="K8" s="9" t="n">
        <v>1</v>
      </c>
      <c r="L8" s="9" t="s">
        <v>1150</v>
      </c>
      <c r="M8" s="9" t="s">
        <v>2202</v>
      </c>
    </row>
    <row r="9" customFormat="false" ht="15" hidden="false" customHeight="false" outlineLevel="0" collapsed="false">
      <c r="A9" s="9" t="s">
        <v>2226</v>
      </c>
      <c r="B9" s="9" t="s">
        <v>2227</v>
      </c>
      <c r="C9" s="9" t="s">
        <v>508</v>
      </c>
      <c r="D9" s="9" t="str">
        <f aca="false">IFERROR(INDEX(Destination!$B$2:$B$501,MATCH(C9,Destination!$A$2:$A$501,0)),"")</f>
        <v>Thiruvananthapuram</v>
      </c>
      <c r="E9" s="9"/>
      <c r="F9" s="12" t="n">
        <f aca="false">INDEX(Destination!$F$2:$F$501,MATCH(C9,Destination!$A$2:$A$501,0))</f>
        <v>8.52</v>
      </c>
      <c r="G9" s="12" t="n">
        <f aca="false">INDEX(Destination!$G$2:$G$501,MATCH(C9,Destination!$A$2:$A$501,0))</f>
        <v>76.94</v>
      </c>
      <c r="H9" s="9" t="s">
        <v>2228</v>
      </c>
      <c r="I9" s="20"/>
      <c r="J9" s="20"/>
      <c r="K9" s="9" t="n">
        <v>10</v>
      </c>
      <c r="L9" s="9" t="s">
        <v>2229</v>
      </c>
      <c r="M9" s="9" t="s">
        <v>2202</v>
      </c>
    </row>
    <row r="10" customFormat="false" ht="15" hidden="false" customHeight="false" outlineLevel="0" collapsed="false">
      <c r="A10" s="9" t="s">
        <v>2230</v>
      </c>
      <c r="B10" s="9" t="s">
        <v>2231</v>
      </c>
      <c r="C10" s="9" t="s">
        <v>496</v>
      </c>
      <c r="D10" s="9" t="str">
        <f aca="false">IFERROR(INDEX(Destination!$B$2:$B$501,MATCH(C10,Destination!$A$2:$A$501,0)),"")</f>
        <v>Alleppey</v>
      </c>
      <c r="E10" s="9" t="s">
        <v>2232</v>
      </c>
      <c r="F10" s="12" t="n">
        <f aca="false">INDEX(Destination!$F$2:$F$501,MATCH(C10,Destination!$A$2:$A$501,0))</f>
        <v>9.49</v>
      </c>
      <c r="G10" s="12" t="n">
        <f aca="false">INDEX(Destination!$G$2:$G$501,MATCH(C10,Destination!$A$2:$A$501,0))</f>
        <v>76.34</v>
      </c>
      <c r="H10" s="9" t="s">
        <v>2233</v>
      </c>
      <c r="I10" s="20"/>
      <c r="J10" s="20"/>
      <c r="K10" s="9" t="n">
        <v>1</v>
      </c>
      <c r="L10" s="9" t="s">
        <v>2234</v>
      </c>
      <c r="M10" s="9" t="s">
        <v>2202</v>
      </c>
    </row>
    <row r="11" customFormat="false" ht="15" hidden="false" customHeight="false" outlineLevel="0" collapsed="false">
      <c r="A11" s="9" t="s">
        <v>2235</v>
      </c>
      <c r="B11" s="9" t="s">
        <v>2236</v>
      </c>
      <c r="C11" s="9" t="s">
        <v>652</v>
      </c>
      <c r="D11" s="9" t="str">
        <f aca="false">IFERROR(INDEX(Destination!$B$2:$B$501,MATCH(C11,Destination!$A$2:$A$501,0)),"")</f>
        <v>Kolkata</v>
      </c>
      <c r="E11" s="9"/>
      <c r="F11" s="12" t="n">
        <f aca="false">INDEX(Destination!$F$2:$F$501,MATCH(C11,Destination!$A$2:$A$501,0))</f>
        <v>22.57</v>
      </c>
      <c r="G11" s="12" t="n">
        <f aca="false">INDEX(Destination!$G$2:$G$501,MATCH(C11,Destination!$A$2:$A$501,0))</f>
        <v>88.36</v>
      </c>
      <c r="H11" s="9" t="s">
        <v>2221</v>
      </c>
      <c r="I11" s="20"/>
      <c r="J11" s="20"/>
      <c r="K11" s="9" t="n">
        <v>5</v>
      </c>
      <c r="L11" s="9" t="s">
        <v>1150</v>
      </c>
      <c r="M11" s="9" t="s">
        <v>2202</v>
      </c>
    </row>
    <row r="12" customFormat="false" ht="15" hidden="false" customHeight="false" outlineLevel="0" collapsed="false">
      <c r="A12" s="9" t="s">
        <v>2237</v>
      </c>
      <c r="B12" s="9" t="s">
        <v>2238</v>
      </c>
      <c r="C12" s="9" t="s">
        <v>288</v>
      </c>
      <c r="D12" s="9" t="str">
        <f aca="false">IFERROR(INDEX(Destination!$B$2:$B$501,MATCH(C12,Destination!$A$2:$A$501,0)),"")</f>
        <v>Mumbai</v>
      </c>
      <c r="E12" s="9"/>
      <c r="F12" s="12" t="n">
        <f aca="false">INDEX(Destination!$F$2:$F$501,MATCH(C12,Destination!$A$2:$A$501,0))</f>
        <v>19.08</v>
      </c>
      <c r="G12" s="12" t="n">
        <f aca="false">INDEX(Destination!$G$2:$G$501,MATCH(C12,Destination!$A$2:$A$501,0))</f>
        <v>72.88</v>
      </c>
      <c r="H12" s="9" t="s">
        <v>2228</v>
      </c>
      <c r="I12" s="20"/>
      <c r="J12" s="20"/>
      <c r="K12" s="9" t="n">
        <v>10</v>
      </c>
      <c r="L12" s="9" t="s">
        <v>1150</v>
      </c>
      <c r="M12" s="9" t="s">
        <v>2202</v>
      </c>
    </row>
    <row r="13" customFormat="false" ht="15" hidden="false" customHeight="false" outlineLevel="0" collapsed="false">
      <c r="A13" s="9" t="s">
        <v>2239</v>
      </c>
      <c r="B13" s="9" t="s">
        <v>2240</v>
      </c>
      <c r="C13" s="9" t="s">
        <v>625</v>
      </c>
      <c r="D13" s="9" t="str">
        <f aca="false">IFERROR(INDEX(Destination!$B$2:$B$501,MATCH(C13,Destination!$A$2:$A$501,0)),"")</f>
        <v>Konark</v>
      </c>
      <c r="E13" s="9" t="s">
        <v>2241</v>
      </c>
      <c r="F13" s="12" t="n">
        <f aca="false">INDEX(Destination!$F$2:$F$501,MATCH(C13,Destination!$A$2:$A$501,0))</f>
        <v>19.89</v>
      </c>
      <c r="G13" s="12" t="n">
        <f aca="false">INDEX(Destination!$G$2:$G$501,MATCH(C13,Destination!$A$2:$A$501,0))</f>
        <v>86.09</v>
      </c>
      <c r="H13" s="9" t="s">
        <v>2213</v>
      </c>
      <c r="I13" s="20"/>
      <c r="J13" s="20"/>
      <c r="K13" s="9" t="n">
        <v>5</v>
      </c>
      <c r="L13" s="9" t="s">
        <v>2214</v>
      </c>
      <c r="M13" s="9" t="s">
        <v>2202</v>
      </c>
    </row>
    <row r="14" customFormat="false" ht="15" hidden="false" customHeight="false" outlineLevel="0" collapsed="false">
      <c r="A14" s="9" t="s">
        <v>2242</v>
      </c>
      <c r="B14" s="9" t="s">
        <v>2243</v>
      </c>
      <c r="C14" s="9" t="s">
        <v>124</v>
      </c>
      <c r="D14" s="9" t="str">
        <f aca="false">IFERROR(INDEX(Destination!$B$2:$B$501,MATCH(C14,Destination!$A$2:$A$501,0)),"")</f>
        <v>Khajuraho</v>
      </c>
      <c r="E14" s="9" t="s">
        <v>2244</v>
      </c>
      <c r="F14" s="12" t="n">
        <f aca="false">INDEX(Destination!$F$2:$F$501,MATCH(C14,Destination!$A$2:$A$501,0))</f>
        <v>24.85</v>
      </c>
      <c r="G14" s="12" t="n">
        <f aca="false">INDEX(Destination!$G$2:$G$501,MATCH(C14,Destination!$A$2:$A$501,0))</f>
        <v>79.92</v>
      </c>
      <c r="H14" s="9" t="s">
        <v>2245</v>
      </c>
      <c r="I14" s="20"/>
      <c r="J14" s="20"/>
      <c r="K14" s="9" t="n">
        <v>7</v>
      </c>
      <c r="L14" s="9" t="s">
        <v>2214</v>
      </c>
      <c r="M14" s="9" t="s">
        <v>2202</v>
      </c>
    </row>
    <row r="15" customFormat="false" ht="15" hidden="false" customHeight="false" outlineLevel="0" collapsed="false">
      <c r="A15" s="9" t="s">
        <v>2246</v>
      </c>
      <c r="B15" s="9" t="s">
        <v>2247</v>
      </c>
      <c r="C15" s="9" t="s">
        <v>339</v>
      </c>
      <c r="D15" s="9" t="str">
        <f aca="false">IFERROR(INDEX(Destination!$B$2:$B$501,MATCH(C15,Destination!$A$2:$A$501,0)),"")</f>
        <v>Panaji</v>
      </c>
      <c r="E15" s="9"/>
      <c r="F15" s="12" t="n">
        <f aca="false">INDEX(Destination!$F$2:$F$501,MATCH(C15,Destination!$A$2:$A$501,0))</f>
        <v>15.5</v>
      </c>
      <c r="G15" s="12" t="n">
        <f aca="false">INDEX(Destination!$G$2:$G$501,MATCH(C15,Destination!$A$2:$A$501,0))</f>
        <v>73.83</v>
      </c>
      <c r="H15" s="9" t="s">
        <v>2248</v>
      </c>
      <c r="I15" s="20"/>
      <c r="J15" s="20"/>
      <c r="K15" s="9" t="n">
        <v>4</v>
      </c>
      <c r="L15" s="9" t="s">
        <v>2229</v>
      </c>
      <c r="M15" s="9" t="s">
        <v>2202</v>
      </c>
    </row>
    <row r="16" customFormat="false" ht="15" hidden="false" customHeight="false" outlineLevel="0" collapsed="false">
      <c r="A16" s="9" t="s">
        <v>2249</v>
      </c>
      <c r="B16" s="9" t="s">
        <v>2250</v>
      </c>
      <c r="C16" s="9" t="s">
        <v>923</v>
      </c>
      <c r="D16" s="9" t="str">
        <f aca="false">IFERROR(INDEX(Destination!$B$2:$B$501,MATCH(C16,Destination!$A$2:$A$501,0)),"")</f>
        <v>Hemis</v>
      </c>
      <c r="E16" s="9" t="s">
        <v>2251</v>
      </c>
      <c r="F16" s="12" t="n">
        <f aca="false">INDEX(Destination!$F$2:$F$501,MATCH(C16,Destination!$A$2:$A$501,0))</f>
        <v>33.91</v>
      </c>
      <c r="G16" s="12" t="n">
        <f aca="false">INDEX(Destination!$G$2:$G$501,MATCH(C16,Destination!$A$2:$A$501,0))</f>
        <v>77.7</v>
      </c>
      <c r="H16" s="9" t="s">
        <v>2218</v>
      </c>
      <c r="I16" s="20"/>
      <c r="J16" s="20"/>
      <c r="K16" s="9" t="n">
        <v>2</v>
      </c>
      <c r="L16" s="9" t="s">
        <v>1150</v>
      </c>
      <c r="M16" s="9" t="s">
        <v>2202</v>
      </c>
    </row>
    <row r="17" customFormat="false" ht="15" hidden="false" customHeight="false" outlineLevel="0" collapsed="false">
      <c r="A17" s="9" t="s">
        <v>2252</v>
      </c>
      <c r="B17" s="9" t="s">
        <v>2253</v>
      </c>
      <c r="C17" s="9" t="s">
        <v>262</v>
      </c>
      <c r="D17" s="9" t="str">
        <f aca="false">IFERROR(INDEX(Destination!$B$2:$B$501,MATCH(C17,Destination!$A$2:$A$501,0)),"")</f>
        <v>Kutch</v>
      </c>
      <c r="E17" s="9" t="s">
        <v>2254</v>
      </c>
      <c r="F17" s="12" t="n">
        <f aca="false">INDEX(Destination!$F$2:$F$501,MATCH(C17,Destination!$A$2:$A$501,0))</f>
        <v>23.5</v>
      </c>
      <c r="G17" s="12" t="n">
        <f aca="false">INDEX(Destination!$G$2:$G$501,MATCH(C17,Destination!$A$2:$A$501,0))</f>
        <v>69.8</v>
      </c>
      <c r="H17" s="9" t="s">
        <v>99</v>
      </c>
      <c r="I17" s="20"/>
      <c r="J17" s="20"/>
      <c r="K17" s="9" t="n">
        <v>100</v>
      </c>
      <c r="L17" s="9" t="s">
        <v>2214</v>
      </c>
      <c r="M17" s="9" t="s">
        <v>2202</v>
      </c>
    </row>
    <row r="18" customFormat="false" ht="15" hidden="false" customHeight="false" outlineLevel="0" collapsed="false">
      <c r="A18" s="9" t="s">
        <v>2255</v>
      </c>
      <c r="B18" s="9" t="s">
        <v>2256</v>
      </c>
      <c r="C18" s="9" t="s">
        <v>247</v>
      </c>
      <c r="D18" s="9" t="str">
        <f aca="false">IFERROR(INDEX(Destination!$B$2:$B$501,MATCH(C18,Destination!$A$2:$A$501,0)),"")</f>
        <v>Ahmedabad</v>
      </c>
      <c r="E18" s="9"/>
      <c r="F18" s="12" t="n">
        <f aca="false">INDEX(Destination!$F$2:$F$501,MATCH(C18,Destination!$A$2:$A$501,0))</f>
        <v>23.02</v>
      </c>
      <c r="G18" s="12" t="n">
        <f aca="false">INDEX(Destination!$G$2:$G$501,MATCH(C18,Destination!$A$2:$A$501,0))</f>
        <v>72.57</v>
      </c>
      <c r="H18" s="9" t="s">
        <v>2208</v>
      </c>
      <c r="I18" s="20"/>
      <c r="J18" s="20"/>
      <c r="K18" s="9" t="n">
        <v>7</v>
      </c>
      <c r="L18" s="9" t="s">
        <v>2229</v>
      </c>
      <c r="M18" s="9" t="s">
        <v>2202</v>
      </c>
    </row>
    <row r="19" customFormat="false" ht="15" hidden="false" customHeight="false" outlineLevel="0" collapsed="false">
      <c r="A19" s="9" t="s">
        <v>2257</v>
      </c>
      <c r="B19" s="9" t="s">
        <v>2258</v>
      </c>
      <c r="C19" s="9" t="s">
        <v>60</v>
      </c>
      <c r="D19" s="9" t="str">
        <f aca="false">IFERROR(INDEX(Destination!$B$2:$B$501,MATCH(C19,Destination!$A$2:$A$501,0)),"")</f>
        <v>Agra</v>
      </c>
      <c r="E19" s="9" t="s">
        <v>2259</v>
      </c>
      <c r="F19" s="12" t="n">
        <f aca="false">INDEX(Destination!$F$2:$F$501,MATCH(C19,Destination!$A$2:$A$501,0))</f>
        <v>27.18</v>
      </c>
      <c r="G19" s="12" t="n">
        <f aca="false">INDEX(Destination!$G$2:$G$501,MATCH(C19,Destination!$A$2:$A$501,0))</f>
        <v>78.02</v>
      </c>
      <c r="H19" s="9" t="s">
        <v>2245</v>
      </c>
      <c r="I19" s="20"/>
      <c r="J19" s="20"/>
      <c r="K19" s="9" t="n">
        <v>10</v>
      </c>
      <c r="L19" s="9" t="s">
        <v>2214</v>
      </c>
      <c r="M19" s="9" t="s">
        <v>2202</v>
      </c>
    </row>
    <row r="20" customFormat="false" ht="15" hidden="false" customHeight="false" outlineLevel="0" collapsed="false">
      <c r="A20" s="9" t="s">
        <v>2260</v>
      </c>
      <c r="B20" s="9" t="s">
        <v>2261</v>
      </c>
      <c r="C20" s="9" t="s">
        <v>192</v>
      </c>
      <c r="D20" s="9" t="str">
        <f aca="false">IFERROR(INDEX(Destination!$B$2:$B$501,MATCH(C20,Destination!$A$2:$A$501,0)),"")</f>
        <v>Jaisalmer</v>
      </c>
      <c r="E20" s="9"/>
      <c r="F20" s="12" t="n">
        <f aca="false">INDEX(Destination!$F$2:$F$501,MATCH(C20,Destination!$A$2:$A$501,0))</f>
        <v>26.92</v>
      </c>
      <c r="G20" s="12" t="n">
        <f aca="false">INDEX(Destination!$G$2:$G$501,MATCH(C20,Destination!$A$2:$A$501,0))</f>
        <v>70.91</v>
      </c>
      <c r="H20" s="9" t="s">
        <v>2245</v>
      </c>
      <c r="I20" s="20"/>
      <c r="J20" s="20"/>
      <c r="K20" s="9" t="n">
        <v>3</v>
      </c>
      <c r="L20" s="9" t="s">
        <v>2214</v>
      </c>
      <c r="M20" s="9" t="s">
        <v>2202</v>
      </c>
    </row>
    <row r="21" customFormat="false" ht="15" hidden="false" customHeight="false" outlineLevel="0" collapsed="false">
      <c r="A21" s="9" t="s">
        <v>2262</v>
      </c>
      <c r="B21" s="9" t="s">
        <v>2263</v>
      </c>
      <c r="C21" s="9" t="s">
        <v>834</v>
      </c>
      <c r="D21" s="9" t="str">
        <f aca="false">IFERROR(INDEX(Destination!$B$2:$B$501,MATCH(C21,Destination!$A$2:$A$501,0)),"")</f>
        <v>Imphal</v>
      </c>
      <c r="E21" s="9"/>
      <c r="F21" s="12" t="n">
        <f aca="false">INDEX(Destination!$F$2:$F$501,MATCH(C21,Destination!$A$2:$A$501,0))</f>
        <v>24.82</v>
      </c>
      <c r="G21" s="12" t="n">
        <f aca="false">INDEX(Destination!$G$2:$G$501,MATCH(C21,Destination!$A$2:$A$501,0))</f>
        <v>93.94</v>
      </c>
      <c r="H21" s="9" t="s">
        <v>2200</v>
      </c>
      <c r="I21" s="20"/>
      <c r="J21" s="20"/>
      <c r="K21" s="9" t="n">
        <v>10</v>
      </c>
      <c r="L21" s="9" t="s">
        <v>2214</v>
      </c>
      <c r="M21" s="9" t="s">
        <v>2202</v>
      </c>
    </row>
    <row r="22" customFormat="false" ht="15" hidden="false" customHeight="false" outlineLevel="0" collapsed="false">
      <c r="A22" s="9" t="s">
        <v>2264</v>
      </c>
      <c r="B22" s="9" t="s">
        <v>2265</v>
      </c>
      <c r="C22" s="9" t="s">
        <v>806</v>
      </c>
      <c r="D22" s="9" t="str">
        <f aca="false">IFERROR(INDEX(Destination!$B$2:$B$501,MATCH(C22,Destination!$A$2:$A$501,0)),"")</f>
        <v>Ziro</v>
      </c>
      <c r="E22" s="9"/>
      <c r="F22" s="12" t="n">
        <f aca="false">INDEX(Destination!$F$2:$F$501,MATCH(C22,Destination!$A$2:$A$501,0))</f>
        <v>27.55</v>
      </c>
      <c r="G22" s="12" t="n">
        <f aca="false">INDEX(Destination!$G$2:$G$501,MATCH(C22,Destination!$A$2:$A$501,0))</f>
        <v>93.83</v>
      </c>
      <c r="H22" s="9" t="s">
        <v>2266</v>
      </c>
      <c r="I22" s="20"/>
      <c r="J22" s="20"/>
      <c r="K22" s="9" t="n">
        <v>4</v>
      </c>
      <c r="L22" s="9" t="s">
        <v>2267</v>
      </c>
      <c r="M22" s="9" t="s">
        <v>2202</v>
      </c>
    </row>
    <row r="23" customFormat="false" ht="15" hidden="false" customHeight="false" outlineLevel="0" collapsed="false">
      <c r="A23" s="9" t="s">
        <v>2268</v>
      </c>
      <c r="B23" s="9" t="s">
        <v>2269</v>
      </c>
      <c r="C23" s="9" t="s">
        <v>992</v>
      </c>
      <c r="D23" s="9" t="str">
        <f aca="false">IFERROR(INDEX(Destination!$B$2:$B$501,MATCH(C23,Destination!$A$2:$A$501,0)),"")</f>
        <v>Ayodhya</v>
      </c>
      <c r="E23" s="9" t="s">
        <v>2270</v>
      </c>
      <c r="F23" s="12" t="n">
        <f aca="false">INDEX(Destination!$F$2:$F$501,MATCH(C23,Destination!$A$2:$A$501,0))</f>
        <v>26.8</v>
      </c>
      <c r="G23" s="12" t="n">
        <f aca="false">INDEX(Destination!$G$2:$G$501,MATCH(C23,Destination!$A$2:$A$501,0))</f>
        <v>82.2</v>
      </c>
      <c r="H23" s="9" t="s">
        <v>2271</v>
      </c>
      <c r="I23" s="20"/>
      <c r="J23" s="20"/>
      <c r="K23" s="9" t="n">
        <v>1</v>
      </c>
      <c r="L23" s="9" t="s">
        <v>1150</v>
      </c>
      <c r="M23" s="9" t="s">
        <v>2202</v>
      </c>
    </row>
    <row r="24" customFormat="false" ht="15" hidden="false" customHeight="false" outlineLevel="0" collapsed="false">
      <c r="A24" s="9" t="s">
        <v>2272</v>
      </c>
      <c r="B24" s="9" t="s">
        <v>2273</v>
      </c>
      <c r="C24" s="9" t="s">
        <v>433</v>
      </c>
      <c r="D24" s="9" t="str">
        <f aca="false">IFERROR(INDEX(Destination!$B$2:$B$501,MATCH(C24,Destination!$A$2:$A$501,0)),"")</f>
        <v>Madurai</v>
      </c>
      <c r="E24" s="9" t="s">
        <v>2274</v>
      </c>
      <c r="F24" s="12" t="n">
        <f aca="false">INDEX(Destination!$F$2:$F$501,MATCH(C24,Destination!$A$2:$A$501,0))</f>
        <v>9.93</v>
      </c>
      <c r="G24" s="12" t="n">
        <f aca="false">INDEX(Destination!$G$2:$G$501,MATCH(C24,Destination!$A$2:$A$501,0))</f>
        <v>78.12</v>
      </c>
      <c r="H24" s="9" t="s">
        <v>2225</v>
      </c>
      <c r="I24" s="20"/>
      <c r="J24" s="20"/>
      <c r="K24" s="9" t="n">
        <v>12</v>
      </c>
      <c r="L24" s="9" t="s">
        <v>1150</v>
      </c>
      <c r="M24" s="9" t="s">
        <v>2202</v>
      </c>
    </row>
    <row r="25" customFormat="false" ht="15" hidden="false" customHeight="false" outlineLevel="0" collapsed="false">
      <c r="A25" s="9" t="s">
        <v>2275</v>
      </c>
      <c r="B25" s="9" t="s">
        <v>2276</v>
      </c>
      <c r="C25" s="9" t="s">
        <v>427</v>
      </c>
      <c r="D25" s="9" t="str">
        <f aca="false">IFERROR(INDEX(Destination!$B$2:$B$501,MATCH(C25,Destination!$A$2:$A$501,0)),"")</f>
        <v>Chennai</v>
      </c>
      <c r="E25" s="9"/>
      <c r="F25" s="12" t="n">
        <f aca="false">INDEX(Destination!$F$2:$F$501,MATCH(C25,Destination!$A$2:$A$501,0))</f>
        <v>13.08</v>
      </c>
      <c r="G25" s="12" t="n">
        <f aca="false">INDEX(Destination!$G$2:$G$501,MATCH(C25,Destination!$A$2:$A$501,0))</f>
        <v>80.27</v>
      </c>
      <c r="H25" s="9" t="s">
        <v>2277</v>
      </c>
      <c r="I25" s="20"/>
      <c r="J25" s="20"/>
      <c r="K25" s="9" t="n">
        <v>30</v>
      </c>
      <c r="L25" s="9" t="s">
        <v>2267</v>
      </c>
      <c r="M25" s="9" t="s">
        <v>2202</v>
      </c>
    </row>
    <row r="26" customFormat="false" ht="15" hidden="false" customHeight="false" outlineLevel="0" collapsed="false">
      <c r="A26" s="9" t="s">
        <v>2278</v>
      </c>
      <c r="B26" s="9" t="s">
        <v>2279</v>
      </c>
      <c r="C26" s="9" t="s">
        <v>889</v>
      </c>
      <c r="D26" s="9" t="str">
        <f aca="false">IFERROR(INDEX(Destination!$B$2:$B$501,MATCH(C26,Destination!$A$2:$A$501,0)),"")</f>
        <v>Kullu</v>
      </c>
      <c r="E26" s="9" t="s">
        <v>2280</v>
      </c>
      <c r="F26" s="12" t="n">
        <f aca="false">INDEX(Destination!$F$2:$F$501,MATCH(C26,Destination!$A$2:$A$501,0))</f>
        <v>31.96</v>
      </c>
      <c r="G26" s="12" t="n">
        <f aca="false">INDEX(Destination!$G$2:$G$501,MATCH(C26,Destination!$A$2:$A$501,0))</f>
        <v>77.11</v>
      </c>
      <c r="H26" s="9" t="s">
        <v>2281</v>
      </c>
      <c r="I26" s="20"/>
      <c r="J26" s="20"/>
      <c r="K26" s="9" t="n">
        <v>7</v>
      </c>
      <c r="L26" s="9" t="s">
        <v>2229</v>
      </c>
      <c r="M26" s="9" t="s">
        <v>2202</v>
      </c>
    </row>
    <row r="27" customFormat="false" ht="15" hidden="false" customHeight="false" outlineLevel="0" collapsed="false">
      <c r="A27" s="9" t="s">
        <v>2282</v>
      </c>
      <c r="B27" s="9" t="s">
        <v>2283</v>
      </c>
      <c r="C27" s="9" t="s">
        <v>146</v>
      </c>
      <c r="D27" s="9" t="str">
        <f aca="false">IFERROR(INDEX(Destination!$B$2:$B$501,MATCH(C27,Destination!$A$2:$A$501,0)),"")</f>
        <v>Rishikesh</v>
      </c>
      <c r="E27" s="9"/>
      <c r="F27" s="12" t="n">
        <f aca="false">INDEX(Destination!$F$2:$F$501,MATCH(C27,Destination!$A$2:$A$501,0))</f>
        <v>30.09</v>
      </c>
      <c r="G27" s="12" t="n">
        <f aca="false">INDEX(Destination!$G$2:$G$501,MATCH(C27,Destination!$A$2:$A$501,0))</f>
        <v>78.27</v>
      </c>
      <c r="H27" s="9" t="s">
        <v>2284</v>
      </c>
      <c r="I27" s="20"/>
      <c r="J27" s="20"/>
      <c r="K27" s="9" t="n">
        <v>7</v>
      </c>
      <c r="L27" s="9" t="s">
        <v>2214</v>
      </c>
      <c r="M27" s="9" t="s">
        <v>2202</v>
      </c>
    </row>
    <row r="28" customFormat="false" ht="15" hidden="false" customHeight="false" outlineLevel="0" collapsed="false">
      <c r="A28" s="9" t="s">
        <v>2285</v>
      </c>
      <c r="B28" s="9" t="s">
        <v>2286</v>
      </c>
      <c r="C28" s="9" t="s">
        <v>198</v>
      </c>
      <c r="D28" s="9" t="str">
        <f aca="false">IFERROR(INDEX(Destination!$B$2:$B$501,MATCH(C28,Destination!$A$2:$A$501,0)),"")</f>
        <v>Bikaner</v>
      </c>
      <c r="E28" s="9"/>
      <c r="F28" s="12" t="n">
        <f aca="false">INDEX(Destination!$F$2:$F$501,MATCH(C28,Destination!$A$2:$A$501,0))</f>
        <v>28.02</v>
      </c>
      <c r="G28" s="12" t="n">
        <f aca="false">INDEX(Destination!$G$2:$G$501,MATCH(C28,Destination!$A$2:$A$501,0))</f>
        <v>73.31</v>
      </c>
      <c r="H28" s="9" t="s">
        <v>2208</v>
      </c>
      <c r="I28" s="20"/>
      <c r="J28" s="20"/>
      <c r="K28" s="9" t="n">
        <v>2</v>
      </c>
      <c r="L28" s="9" t="s">
        <v>2229</v>
      </c>
      <c r="M28" s="9" t="s">
        <v>2202</v>
      </c>
    </row>
    <row r="29" customFormat="false" ht="15" hidden="false" customHeight="false" outlineLevel="0" collapsed="false">
      <c r="A29" s="9" t="s">
        <v>2287</v>
      </c>
      <c r="B29" s="9" t="s">
        <v>2288</v>
      </c>
      <c r="C29" s="9" t="s">
        <v>190</v>
      </c>
      <c r="D29" s="9" t="str">
        <f aca="false">IFERROR(INDEX(Destination!$B$2:$B$501,MATCH(C29,Destination!$A$2:$A$501,0)),"")</f>
        <v>Udaipur</v>
      </c>
      <c r="E29" s="9"/>
      <c r="F29" s="12" t="n">
        <f aca="false">INDEX(Destination!$F$2:$F$501,MATCH(C29,Destination!$A$2:$A$501,0))</f>
        <v>24.58</v>
      </c>
      <c r="G29" s="12" t="n">
        <f aca="false">INDEX(Destination!$G$2:$G$501,MATCH(C29,Destination!$A$2:$A$501,0))</f>
        <v>73.68</v>
      </c>
      <c r="H29" s="9" t="s">
        <v>2289</v>
      </c>
      <c r="I29" s="20"/>
      <c r="J29" s="20"/>
      <c r="K29" s="9" t="n">
        <v>3</v>
      </c>
      <c r="L29" s="9" t="s">
        <v>2229</v>
      </c>
      <c r="M29" s="9" t="s">
        <v>2202</v>
      </c>
    </row>
    <row r="30" customFormat="false" ht="15" hidden="false" customHeight="false" outlineLevel="0" collapsed="false">
      <c r="A30" s="9" t="s">
        <v>2290</v>
      </c>
      <c r="B30" s="9" t="s">
        <v>2291</v>
      </c>
      <c r="C30" s="9" t="s">
        <v>188</v>
      </c>
      <c r="D30" s="9" t="str">
        <f aca="false">IFERROR(INDEX(Destination!$B$2:$B$501,MATCH(C30,Destination!$A$2:$A$501,0)),"")</f>
        <v>Jodhpur</v>
      </c>
      <c r="E30" s="9" t="s">
        <v>2292</v>
      </c>
      <c r="F30" s="12" t="n">
        <f aca="false">INDEX(Destination!$F$2:$F$501,MATCH(C30,Destination!$A$2:$A$501,0))</f>
        <v>26.3</v>
      </c>
      <c r="G30" s="12" t="n">
        <f aca="false">INDEX(Destination!$G$2:$G$501,MATCH(C30,Destination!$A$2:$A$501,0))</f>
        <v>73.02</v>
      </c>
      <c r="H30" s="9" t="s">
        <v>2281</v>
      </c>
      <c r="I30" s="20"/>
      <c r="J30" s="20"/>
      <c r="K30" s="9" t="n">
        <v>5</v>
      </c>
      <c r="L30" s="9" t="s">
        <v>2267</v>
      </c>
      <c r="M30" s="9" t="s">
        <v>2202</v>
      </c>
    </row>
  </sheetData>
  <autoFilter ref="A1:M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7" min="5" style="0" width="18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31.5" hidden="false" customHeight="true" outlineLevel="0" collapsed="false">
      <c r="A1" s="3" t="s">
        <v>2293</v>
      </c>
      <c r="B1" s="3" t="s">
        <v>2294</v>
      </c>
      <c r="C1" s="3" t="s">
        <v>2295</v>
      </c>
      <c r="D1" s="3" t="s">
        <v>2296</v>
      </c>
      <c r="E1" s="3" t="s">
        <v>2297</v>
      </c>
      <c r="F1" s="3" t="s">
        <v>2298</v>
      </c>
      <c r="G1" s="3" t="s">
        <v>2299</v>
      </c>
      <c r="H1" s="3" t="s">
        <v>1272</v>
      </c>
      <c r="I1" s="3" t="s">
        <v>2300</v>
      </c>
      <c r="J1" s="3" t="s">
        <v>2301</v>
      </c>
    </row>
    <row r="2" customFormat="false" ht="15" hidden="false" customHeight="false" outlineLevel="0" collapsed="false">
      <c r="A2" s="10" t="s">
        <v>1263</v>
      </c>
      <c r="B2" s="10" t="s">
        <v>2302</v>
      </c>
      <c r="C2" s="10" t="s">
        <v>18</v>
      </c>
      <c r="D2" s="10" t="s">
        <v>1319</v>
      </c>
      <c r="E2" s="10" t="s">
        <v>2303</v>
      </c>
      <c r="F2" s="10" t="s">
        <v>2304</v>
      </c>
      <c r="G2" s="10" t="s">
        <v>2305</v>
      </c>
      <c r="H2" s="10" t="n">
        <v>18000</v>
      </c>
      <c r="I2" s="10" t="s">
        <v>2306</v>
      </c>
      <c r="J2" s="10" t="s">
        <v>2307</v>
      </c>
    </row>
  </sheetData>
  <autoFilter ref="A1:J2"/>
  <dataValidations count="2">
    <dataValidation allowBlank="true" errorStyle="stop" operator="between" showDropDown="false" showErrorMessage="false" showInputMessage="false" sqref="C3:C1002" type="list">
      <formula1>"Hotel,Activity,Restaurant,Transport,Event"</formula1>
      <formula2>0</formula2>
    </dataValidation>
    <dataValidation allowBlank="true" errorStyle="stop" operator="between" showDropDown="false" showErrorMessage="false" showInputMessage="false" sqref="I3:I1002" type="list">
      <formula1>"Draft,Pending,Confirmed,Cancelled,Completed"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30"/>
  </cols>
  <sheetData>
    <row r="1" customFormat="false" ht="31.5" hidden="false" customHeight="true" outlineLevel="0" collapsed="false">
      <c r="A1" s="3" t="s">
        <v>2294</v>
      </c>
      <c r="B1" s="3" t="s">
        <v>2308</v>
      </c>
      <c r="C1" s="3" t="s">
        <v>2309</v>
      </c>
      <c r="D1" s="3" t="s">
        <v>2192</v>
      </c>
      <c r="E1" s="3" t="s">
        <v>2193</v>
      </c>
      <c r="F1" s="3" t="s">
        <v>2310</v>
      </c>
      <c r="G1" s="3" t="s">
        <v>2311</v>
      </c>
      <c r="H1" s="3" t="s">
        <v>2312</v>
      </c>
      <c r="I1" s="3" t="s">
        <v>2313</v>
      </c>
      <c r="J1" s="3" t="s">
        <v>2314</v>
      </c>
      <c r="K1" s="3" t="s">
        <v>59</v>
      </c>
    </row>
    <row r="2" customFormat="false" ht="15" hidden="false" customHeight="false" outlineLevel="0" collapsed="false">
      <c r="A2" s="10" t="s">
        <v>1263</v>
      </c>
      <c r="B2" s="10" t="s">
        <v>2315</v>
      </c>
      <c r="C2" s="10" t="n">
        <v>2</v>
      </c>
      <c r="D2" s="10" t="s">
        <v>2316</v>
      </c>
      <c r="E2" s="10" t="s">
        <v>2317</v>
      </c>
      <c r="F2" s="10" t="n">
        <v>60000</v>
      </c>
      <c r="G2" s="10" t="s">
        <v>2318</v>
      </c>
      <c r="H2" s="10" t="s">
        <v>2319</v>
      </c>
      <c r="I2" s="10" t="s">
        <v>927</v>
      </c>
      <c r="J2" s="10" t="s">
        <v>2320</v>
      </c>
      <c r="K2" s="10" t="s">
        <v>2321</v>
      </c>
    </row>
  </sheetData>
  <autoFilter ref="A1:K2"/>
  <dataValidations count="1">
    <dataValidation allowBlank="true" errorStyle="stop" operator="between" showDropDown="false" showErrorMessage="false" showInputMessage="false" sqref="G3:G1002" type="list">
      <formula1>"Budget,Mid-range,Premium,Luxury"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31.5" hidden="false" customHeight="true" outlineLevel="0" collapsed="false">
      <c r="A1" s="3" t="s">
        <v>2322</v>
      </c>
      <c r="B1" s="3" t="s">
        <v>2323</v>
      </c>
      <c r="C1" s="3" t="s">
        <v>2324</v>
      </c>
      <c r="D1" s="3" t="s">
        <v>2325</v>
      </c>
    </row>
    <row r="2" customFormat="false" ht="15" hidden="false" customHeight="false" outlineLevel="0" collapsed="false">
      <c r="A2" s="21" t="s">
        <v>2326</v>
      </c>
      <c r="B2" s="11" t="n">
        <v>6371</v>
      </c>
      <c r="C2" s="9" t="s">
        <v>2327</v>
      </c>
      <c r="D2" s="9" t="s">
        <v>2328</v>
      </c>
    </row>
    <row r="3" customFormat="false" ht="15" hidden="false" customHeight="false" outlineLevel="0" collapsed="false">
      <c r="A3" s="21" t="s">
        <v>2329</v>
      </c>
      <c r="B3" s="11" t="n">
        <v>1.3</v>
      </c>
      <c r="C3" s="9" t="s">
        <v>2330</v>
      </c>
      <c r="D3" s="9" t="s">
        <v>2331</v>
      </c>
    </row>
    <row r="4" customFormat="false" ht="15" hidden="false" customHeight="false" outlineLevel="0" collapsed="false">
      <c r="A4" s="21" t="s">
        <v>2332</v>
      </c>
      <c r="B4" s="11" t="n">
        <v>45</v>
      </c>
      <c r="C4" s="9" t="s">
        <v>2333</v>
      </c>
      <c r="D4" s="9" t="s">
        <v>2334</v>
      </c>
    </row>
    <row r="6" customFormat="false" ht="15" hidden="false" customHeight="false" outlineLevel="0" collapsed="false">
      <c r="A6" s="22" t="s">
        <v>2335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2026-09-19T13:49:08Z</dcterms:created>
  <dc:creator>openpyxl</dc:creator>
  <dc:description/>
  <dc:language>en-US</dc:language>
  <cp:lastModifiedBy/>
  <dcterms:modified xsi:type="dcterms:W3CDTF">2026-09-19T13:49:08Z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